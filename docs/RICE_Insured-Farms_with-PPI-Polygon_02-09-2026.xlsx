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_Insured Farms_with PPI Pol" sheetId="1" r:id="rId4"/>
    <sheet state="visible" name="Additional" sheetId="2" r:id="rId5"/>
    <sheet state="visible" name="Qualified for ParamIns. " sheetId="3" r:id="rId6"/>
    <sheet state="visible" name="Period of Exposures" sheetId="4" r:id="rId7"/>
  </sheets>
  <definedNames/>
  <calcPr/>
  <extLst>
    <ext uri="GoogleSheetsCustomDataVersion2">
      <go:sheetsCustomData xmlns:go="http://customooxmlschemas.google.com/" r:id="rId8" roundtripDataChecksum="yGf3qMn+RApNh7kfinJpink7mZP6Qug642RUgLr/rlc="/>
    </ext>
  </extLst>
</workbook>
</file>

<file path=xl/sharedStrings.xml><?xml version="1.0" encoding="utf-8"?>
<sst xmlns="http://schemas.openxmlformats.org/spreadsheetml/2006/main" count="14892" uniqueCount="3832">
  <si>
    <t>No.</t>
  </si>
  <si>
    <t>Program Type</t>
  </si>
  <si>
    <t>Province</t>
  </si>
  <si>
    <t>Municipality</t>
  </si>
  <si>
    <t>Barangay</t>
  </si>
  <si>
    <t>Policy No.</t>
  </si>
  <si>
    <t>Effectivity Date</t>
  </si>
  <si>
    <t>Expiry Date</t>
  </si>
  <si>
    <t>Surname</t>
  </si>
  <si>
    <t>Firstname</t>
  </si>
  <si>
    <t>Middlename</t>
  </si>
  <si>
    <t>AreaInsured</t>
  </si>
  <si>
    <t>AmountofCover</t>
  </si>
  <si>
    <t>Stage No.</t>
  </si>
  <si>
    <t>FarmersID</t>
  </si>
  <si>
    <t>RSBSA No.</t>
  </si>
  <si>
    <t>Farm ID</t>
  </si>
  <si>
    <t>Georef ID</t>
  </si>
  <si>
    <t>RiskExposureAmount</t>
  </si>
  <si>
    <t>Stage</t>
  </si>
  <si>
    <t>EstimatedDamage</t>
  </si>
  <si>
    <t>Days from Planting to  Typhoon Occurance</t>
  </si>
  <si>
    <t>Adjuster's Stage of Crop Calculation</t>
  </si>
  <si>
    <t>RSBSA</t>
  </si>
  <si>
    <t>Agusan del Norte</t>
  </si>
  <si>
    <t>BUTUAN CITY</t>
  </si>
  <si>
    <t>LEMON</t>
  </si>
  <si>
    <t xml:space="preserve">AGUDONG </t>
  </si>
  <si>
    <t>ALLAN</t>
  </si>
  <si>
    <t>ALUAG</t>
  </si>
  <si>
    <t>16-02-02-052-000075</t>
  </si>
  <si>
    <t>2 - Mx. Tl. Stg. (LATE VEGETATIVE)</t>
  </si>
  <si>
    <t>ANTONGALON</t>
  </si>
  <si>
    <t>AJOS</t>
  </si>
  <si>
    <t>EDNA</t>
  </si>
  <si>
    <t>COMPESINO</t>
  </si>
  <si>
    <t>16-02-02-009-000004</t>
  </si>
  <si>
    <t>3 - P. I. Stg. (REPRODUCTIVE)</t>
  </si>
  <si>
    <t>ALAGO</t>
  </si>
  <si>
    <t>HENRY</t>
  </si>
  <si>
    <t>EFONDOL</t>
  </si>
  <si>
    <t>16-02-02-009-000005</t>
  </si>
  <si>
    <t>AVENIDO</t>
  </si>
  <si>
    <t>DANILO</t>
  </si>
  <si>
    <t>BAAY</t>
  </si>
  <si>
    <t>16-02-02-052-000062</t>
  </si>
  <si>
    <t>AYUBAN</t>
  </si>
  <si>
    <t>MARCELINA</t>
  </si>
  <si>
    <t>CAJUTOL</t>
  </si>
  <si>
    <t>16-02-02-052-000102</t>
  </si>
  <si>
    <t>Misamis Oriental</t>
  </si>
  <si>
    <t>ALUBIJID</t>
  </si>
  <si>
    <t>LOURDES</t>
  </si>
  <si>
    <t>TAMBIS</t>
  </si>
  <si>
    <t>JUANITO JR</t>
  </si>
  <si>
    <t xml:space="preserve"> ROILO</t>
  </si>
  <si>
    <t>4 - Booting Stg. (REPRODUCTIVE)</t>
  </si>
  <si>
    <t>BASAG</t>
  </si>
  <si>
    <t>BAGO</t>
  </si>
  <si>
    <t>RICHIELE</t>
  </si>
  <si>
    <t>GENODEPANON</t>
  </si>
  <si>
    <t>16-02-02-019-000371</t>
  </si>
  <si>
    <t>1 - Mn. Tl. Stg. (EARLY VEGETATIVE)</t>
  </si>
  <si>
    <t>AUPAGAN</t>
  </si>
  <si>
    <t>BASANAL</t>
  </si>
  <si>
    <t>SOL</t>
  </si>
  <si>
    <t>DEL MUNDO</t>
  </si>
  <si>
    <t>16-02-02-010-000015</t>
  </si>
  <si>
    <t>Surigao del Norte</t>
  </si>
  <si>
    <t>BACUAG</t>
  </si>
  <si>
    <t>DUGSANGON</t>
  </si>
  <si>
    <t>GALAGAR</t>
  </si>
  <si>
    <t>NICOLAS</t>
  </si>
  <si>
    <t>ILIGAN</t>
  </si>
  <si>
    <t>16-67-02-004-000248</t>
  </si>
  <si>
    <t>BERDIN</t>
  </si>
  <si>
    <t>RAY</t>
  </si>
  <si>
    <t>HINGPIT</t>
  </si>
  <si>
    <t>BORCIS</t>
  </si>
  <si>
    <t>EUGENE</t>
  </si>
  <si>
    <t>LANGANLANGAN</t>
  </si>
  <si>
    <t>16-02-02-009-000008</t>
  </si>
  <si>
    <t>BORNALES</t>
  </si>
  <si>
    <t>ARC WILLIAM</t>
  </si>
  <si>
    <t>HERIA</t>
  </si>
  <si>
    <t>ARTUS</t>
  </si>
  <si>
    <t>MONEBIT</t>
  </si>
  <si>
    <t>16-02-02-009-000032</t>
  </si>
  <si>
    <t>CABARSE</t>
  </si>
  <si>
    <t>FEDERICO</t>
  </si>
  <si>
    <t>PALIMA</t>
  </si>
  <si>
    <t>GASPAR</t>
  </si>
  <si>
    <t>TAGRA</t>
  </si>
  <si>
    <t>16-02-02-009-000010</t>
  </si>
  <si>
    <t>ROSELINDO SR.</t>
  </si>
  <si>
    <t>CAGA</t>
  </si>
  <si>
    <t>LINO</t>
  </si>
  <si>
    <t>MAPUTI</t>
  </si>
  <si>
    <t>16-02-02-009-000012</t>
  </si>
  <si>
    <t>CARIN</t>
  </si>
  <si>
    <t>CARMELITA</t>
  </si>
  <si>
    <t>CESNEROS</t>
  </si>
  <si>
    <t>MARGARITO</t>
  </si>
  <si>
    <t>CESNIROS</t>
  </si>
  <si>
    <t>CATAP</t>
  </si>
  <si>
    <t>LAURO</t>
  </si>
  <si>
    <t>ACEDO</t>
  </si>
  <si>
    <t>16-02-02-019-000433</t>
  </si>
  <si>
    <t>CERNA</t>
  </si>
  <si>
    <t>DIVINA</t>
  </si>
  <si>
    <t>GALISA</t>
  </si>
  <si>
    <t>16-02-02-019-000385</t>
  </si>
  <si>
    <t>BOBON</t>
  </si>
  <si>
    <t xml:space="preserve">COLIMA </t>
  </si>
  <si>
    <t>GEMMA</t>
  </si>
  <si>
    <t>OYAN</t>
  </si>
  <si>
    <t>16-02-02-024-000022</t>
  </si>
  <si>
    <t>COLIMA</t>
  </si>
  <si>
    <t>JAYROL</t>
  </si>
  <si>
    <t>TANIO</t>
  </si>
  <si>
    <t>16-02-02-024-000017</t>
  </si>
  <si>
    <t>Agusan del Sur</t>
  </si>
  <si>
    <t>SAN FRANCISCO</t>
  </si>
  <si>
    <t>LAPINIGAN</t>
  </si>
  <si>
    <t>COLON</t>
  </si>
  <si>
    <t>ESTRELLA</t>
  </si>
  <si>
    <t>CUIZON</t>
  </si>
  <si>
    <t>CUARES</t>
  </si>
  <si>
    <t>BRILLO</t>
  </si>
  <si>
    <t>GALANIDA</t>
  </si>
  <si>
    <t>16-02-02-009-000208</t>
  </si>
  <si>
    <t>PAUTAO</t>
  </si>
  <si>
    <t>IBARRA</t>
  </si>
  <si>
    <t>REVILYN</t>
  </si>
  <si>
    <t>UGAY</t>
  </si>
  <si>
    <t>16-67-02-005-000188</t>
  </si>
  <si>
    <t>DICDICAN</t>
  </si>
  <si>
    <t>MONDEJAR</t>
  </si>
  <si>
    <t>16-02-02-019-000105</t>
  </si>
  <si>
    <t>LORETO JR</t>
  </si>
  <si>
    <t>SUPANGAN</t>
  </si>
  <si>
    <t>TEOTIMO</t>
  </si>
  <si>
    <t>LINARES</t>
  </si>
  <si>
    <t>16-02-02-009-000059</t>
  </si>
  <si>
    <t>TINIWISAN</t>
  </si>
  <si>
    <t>DUNCANO</t>
  </si>
  <si>
    <t>VIRGILIO</t>
  </si>
  <si>
    <t>D</t>
  </si>
  <si>
    <t>ESPORA</t>
  </si>
  <si>
    <t>SHIRLEY</t>
  </si>
  <si>
    <t>OTACAN</t>
  </si>
  <si>
    <t>16-02-02-009-000021</t>
  </si>
  <si>
    <t>ESPURA</t>
  </si>
  <si>
    <t>ROGELIO</t>
  </si>
  <si>
    <t>GUERTA</t>
  </si>
  <si>
    <t>16-02-02-009-000020</t>
  </si>
  <si>
    <t>FERRER</t>
  </si>
  <si>
    <t>ARNOLD</t>
  </si>
  <si>
    <t>SALCEDO</t>
  </si>
  <si>
    <t>16-02-02-019-000374</t>
  </si>
  <si>
    <t>SUMILIHON</t>
  </si>
  <si>
    <t>GUIBAO</t>
  </si>
  <si>
    <t>EDITHA</t>
  </si>
  <si>
    <t>CAGAS</t>
  </si>
  <si>
    <t>16-02-02-080-000058</t>
  </si>
  <si>
    <t xml:space="preserve">ILIGAN </t>
  </si>
  <si>
    <t>JERRY</t>
  </si>
  <si>
    <t>ROGADOR</t>
  </si>
  <si>
    <t>16-67-02-004-000108</t>
  </si>
  <si>
    <t>INSON</t>
  </si>
  <si>
    <t>EDWIN</t>
  </si>
  <si>
    <t>RUBIO</t>
  </si>
  <si>
    <t>16-67-02-004-000008</t>
  </si>
  <si>
    <t>GOMO</t>
  </si>
  <si>
    <t>LOLITA</t>
  </si>
  <si>
    <t>OMANGUIN</t>
  </si>
  <si>
    <t>16-02-02-010-000084</t>
  </si>
  <si>
    <t>KINAMLUTAN</t>
  </si>
  <si>
    <t>HANTUD</t>
  </si>
  <si>
    <t>LORLINIE</t>
  </si>
  <si>
    <t>MAGNO</t>
  </si>
  <si>
    <t>16-02-02-049-000136</t>
  </si>
  <si>
    <t>HENILO</t>
  </si>
  <si>
    <t>MARK DAVE</t>
  </si>
  <si>
    <t>CABUGAO</t>
  </si>
  <si>
    <t>ASTILLO</t>
  </si>
  <si>
    <t>SULFECIO JR.</t>
  </si>
  <si>
    <t>GERALDO</t>
  </si>
  <si>
    <t>IDO</t>
  </si>
  <si>
    <t>MODESTO JR.</t>
  </si>
  <si>
    <t>BAJA</t>
  </si>
  <si>
    <t>0 - S/T Stg (EARLY VEGETATIVE)</t>
  </si>
  <si>
    <t>AMPAYON</t>
  </si>
  <si>
    <t>JALIQUE</t>
  </si>
  <si>
    <t>SALVACION</t>
  </si>
  <si>
    <t>CALIWAN</t>
  </si>
  <si>
    <t>16-02-02-009-000025</t>
  </si>
  <si>
    <t>LOGAOS</t>
  </si>
  <si>
    <t>CONSTANCIA</t>
  </si>
  <si>
    <t>DIVINO</t>
  </si>
  <si>
    <t>16-02-02-049-000108</t>
  </si>
  <si>
    <t>BEJAR</t>
  </si>
  <si>
    <t>BIMBO</t>
  </si>
  <si>
    <t>GINGO</t>
  </si>
  <si>
    <t>16-67-02-001-000002</t>
  </si>
  <si>
    <t>LUCERO</t>
  </si>
  <si>
    <t>CHARLITO</t>
  </si>
  <si>
    <t>ROSETE</t>
  </si>
  <si>
    <t>16-02-02-009-000029</t>
  </si>
  <si>
    <t xml:space="preserve">DALAGAN </t>
  </si>
  <si>
    <t xml:space="preserve">RICHIE </t>
  </si>
  <si>
    <t>L.</t>
  </si>
  <si>
    <t>MANTE</t>
  </si>
  <si>
    <t>NOEL</t>
  </si>
  <si>
    <t>MANTILLA</t>
  </si>
  <si>
    <t>16-02-02-019-000394</t>
  </si>
  <si>
    <t>MAQUILING</t>
  </si>
  <si>
    <t>MILDRED</t>
  </si>
  <si>
    <t>16-02-02-009-000047</t>
  </si>
  <si>
    <t>NAVARRO</t>
  </si>
  <si>
    <t>LAGUNDA</t>
  </si>
  <si>
    <t>16-02-02-009-000039</t>
  </si>
  <si>
    <t>DEMETRIO</t>
  </si>
  <si>
    <t>L</t>
  </si>
  <si>
    <t>16-02-02-009-000049</t>
  </si>
  <si>
    <t>PAULIN</t>
  </si>
  <si>
    <t>EDGARDO</t>
  </si>
  <si>
    <t>CAï¿½ONERO</t>
  </si>
  <si>
    <t>16-02-02-009-000040</t>
  </si>
  <si>
    <t>PERPAS</t>
  </si>
  <si>
    <t>NESTOR</t>
  </si>
  <si>
    <t>PANES</t>
  </si>
  <si>
    <t>16-02-02-052-000077</t>
  </si>
  <si>
    <t>POLISTICO</t>
  </si>
  <si>
    <t>MARIO</t>
  </si>
  <si>
    <t>DAGUPLO</t>
  </si>
  <si>
    <t>16-02-02-019-000393</t>
  </si>
  <si>
    <t>SENCIL</t>
  </si>
  <si>
    <t>CONRADO JR.</t>
  </si>
  <si>
    <t>ACAS</t>
  </si>
  <si>
    <t>SOBREDO</t>
  </si>
  <si>
    <t>LUCIANA</t>
  </si>
  <si>
    <t>CASINILLO</t>
  </si>
  <si>
    <t>16-02-02-009-000215</t>
  </si>
  <si>
    <t xml:space="preserve">DELA CRUZ </t>
  </si>
  <si>
    <t>EDEN</t>
  </si>
  <si>
    <t>HANDAYAN</t>
  </si>
  <si>
    <t>16-67-02-001-000317</t>
  </si>
  <si>
    <t>TINGCOY</t>
  </si>
  <si>
    <t>JONATHAN</t>
  </si>
  <si>
    <t>LABASTIDA</t>
  </si>
  <si>
    <t>16-02-02-086-000130</t>
  </si>
  <si>
    <t>TODAVIA</t>
  </si>
  <si>
    <t>PIO JR</t>
  </si>
  <si>
    <t>SORIA</t>
  </si>
  <si>
    <t>VELASCO</t>
  </si>
  <si>
    <t>RICARDO</t>
  </si>
  <si>
    <t>DELA CRUZ</t>
  </si>
  <si>
    <t>YAGONG</t>
  </si>
  <si>
    <t>CRISTINA</t>
  </si>
  <si>
    <t>BERMOY</t>
  </si>
  <si>
    <t>16-02-02-019-000335</t>
  </si>
  <si>
    <t>GIGAQUIT</t>
  </si>
  <si>
    <t>MAHANUB</t>
  </si>
  <si>
    <t>ABARICO</t>
  </si>
  <si>
    <t>REPARADA</t>
  </si>
  <si>
    <t>CUARIO</t>
  </si>
  <si>
    <t>16-67-11-010-000257</t>
  </si>
  <si>
    <t>CAM-BOAYON</t>
  </si>
  <si>
    <t>AGUILAR</t>
  </si>
  <si>
    <t>RECHEEL</t>
  </si>
  <si>
    <t>B.</t>
  </si>
  <si>
    <t>16-67-11-004-000052</t>
  </si>
  <si>
    <t>SAN ISIDRO</t>
  </si>
  <si>
    <t>ASUMEN</t>
  </si>
  <si>
    <t>RESTITUTA</t>
  </si>
  <si>
    <t>S.</t>
  </si>
  <si>
    <t>16-67-11-010-000309</t>
  </si>
  <si>
    <t>BUNAWAN</t>
  </si>
  <si>
    <t>LIBERTAD</t>
  </si>
  <si>
    <t>BAGSAIN</t>
  </si>
  <si>
    <t>GINA</t>
  </si>
  <si>
    <t>FAENSOLIN</t>
  </si>
  <si>
    <t>BUENAVISTA</t>
  </si>
  <si>
    <t>MATABAO</t>
  </si>
  <si>
    <t>BALANSAG</t>
  </si>
  <si>
    <t>ANNILEE</t>
  </si>
  <si>
    <t>CAJELES</t>
  </si>
  <si>
    <t>16-02-01-011-000178</t>
  </si>
  <si>
    <t>SURIGAO CITY</t>
  </si>
  <si>
    <t>RIZAL</t>
  </si>
  <si>
    <t>BALUTAN</t>
  </si>
  <si>
    <t>MERNALYN</t>
  </si>
  <si>
    <t>TALISAY</t>
  </si>
  <si>
    <t>16-67-24-037-000033</t>
  </si>
  <si>
    <t>BARRI</t>
  </si>
  <si>
    <t>ELIZABETH</t>
  </si>
  <si>
    <t>EGOT</t>
  </si>
  <si>
    <t>16-67-24-037-000084</t>
  </si>
  <si>
    <t>MAGALLANES</t>
  </si>
  <si>
    <t>TAOD-OY</t>
  </si>
  <si>
    <t>BOLOTAOLO</t>
  </si>
  <si>
    <t>MODESTA</t>
  </si>
  <si>
    <t>TIEMPO</t>
  </si>
  <si>
    <t>16-02-08-008-000378</t>
  </si>
  <si>
    <t>REMEDIOS T. ROMUALDEZ</t>
  </si>
  <si>
    <t>POBLACION II</t>
  </si>
  <si>
    <t>BONGAOS</t>
  </si>
  <si>
    <t>LEVI</t>
  </si>
  <si>
    <t>ANTEGRA</t>
  </si>
  <si>
    <t>16-02-12-002-000035</t>
  </si>
  <si>
    <t>Surigao del Sur</t>
  </si>
  <si>
    <t>MADRID</t>
  </si>
  <si>
    <t>BAYOGO</t>
  </si>
  <si>
    <t>BONGCAYAO</t>
  </si>
  <si>
    <t>TEODULO JR.</t>
  </si>
  <si>
    <t>TANGHAL</t>
  </si>
  <si>
    <t xml:space="preserve">BURDAS </t>
  </si>
  <si>
    <t>REYMUALDO</t>
  </si>
  <si>
    <t>M</t>
  </si>
  <si>
    <t>16-67-24-037-000035</t>
  </si>
  <si>
    <t>POBLACION</t>
  </si>
  <si>
    <t>CACHERO</t>
  </si>
  <si>
    <t>MADELO</t>
  </si>
  <si>
    <t>16-67-02-007-000452</t>
  </si>
  <si>
    <t>CANDA</t>
  </si>
  <si>
    <t>DEOGRACIA</t>
  </si>
  <si>
    <t>LATORRE</t>
  </si>
  <si>
    <t>16-67-11-010-000108</t>
  </si>
  <si>
    <t>TAGO</t>
  </si>
  <si>
    <t>BAJAO</t>
  </si>
  <si>
    <t>CONIA</t>
  </si>
  <si>
    <t>NELSON</t>
  </si>
  <si>
    <t>ARAï¿½O</t>
  </si>
  <si>
    <t>16-68-18-005-000186</t>
  </si>
  <si>
    <t>CUASITO</t>
  </si>
  <si>
    <t>FLORENCIA</t>
  </si>
  <si>
    <t>BANGGA</t>
  </si>
  <si>
    <t>16-67-11-010-000122</t>
  </si>
  <si>
    <t>LUNA</t>
  </si>
  <si>
    <t>DAHUG</t>
  </si>
  <si>
    <t>MARGARITA</t>
  </si>
  <si>
    <t>PACOT</t>
  </si>
  <si>
    <t>16-67-24-026-000016</t>
  </si>
  <si>
    <t>TALO-AO</t>
  </si>
  <si>
    <t>ZAPANTA</t>
  </si>
  <si>
    <t>PEDROSA</t>
  </si>
  <si>
    <t>F.</t>
  </si>
  <si>
    <t>SANTO NIï¿½O</t>
  </si>
  <si>
    <t>DE JESUS</t>
  </si>
  <si>
    <t>ROMULO JR.</t>
  </si>
  <si>
    <t>MATIAS</t>
  </si>
  <si>
    <t>MAT-I</t>
  </si>
  <si>
    <t>DEGUIï¿½O</t>
  </si>
  <si>
    <t>RONIE</t>
  </si>
  <si>
    <t>16-67-24-031-000861</t>
  </si>
  <si>
    <t>PEDRO</t>
  </si>
  <si>
    <t>CURITAO</t>
  </si>
  <si>
    <t>16-02-02-052-000011</t>
  </si>
  <si>
    <t>BASILISA</t>
  </si>
  <si>
    <t>DEJOLDE</t>
  </si>
  <si>
    <t>ROBERT</t>
  </si>
  <si>
    <t>RAMA</t>
  </si>
  <si>
    <t>ANOMAR</t>
  </si>
  <si>
    <t>DELA TORRE</t>
  </si>
  <si>
    <t>ALFREDO</t>
  </si>
  <si>
    <t>PANER</t>
  </si>
  <si>
    <t>16-67-24-003-000121</t>
  </si>
  <si>
    <t>DESTAJO</t>
  </si>
  <si>
    <t>EPIFANIO</t>
  </si>
  <si>
    <t>16-67-02-004-000026</t>
  </si>
  <si>
    <t>REX</t>
  </si>
  <si>
    <t>ARMODIA</t>
  </si>
  <si>
    <t>16-67-02-004-000059</t>
  </si>
  <si>
    <t>TANDAG CITY</t>
  </si>
  <si>
    <t>ROSARIO</t>
  </si>
  <si>
    <t>DIAZ</t>
  </si>
  <si>
    <t>FEMILYN</t>
  </si>
  <si>
    <t>MARTINEZ</t>
  </si>
  <si>
    <t>16-68-19-015-000194</t>
  </si>
  <si>
    <t>DIESTO</t>
  </si>
  <si>
    <t>RENE</t>
  </si>
  <si>
    <t>DESCUATAN</t>
  </si>
  <si>
    <t>16-68-18-005-000170</t>
  </si>
  <si>
    <t>TRENTO</t>
  </si>
  <si>
    <t>KAPATUNGAN</t>
  </si>
  <si>
    <t xml:space="preserve">DOMINGO </t>
  </si>
  <si>
    <t xml:space="preserve">NELSON </t>
  </si>
  <si>
    <t>AREVALO</t>
  </si>
  <si>
    <t>16-03-12-003-000770</t>
  </si>
  <si>
    <t>CABADBARAN CITY</t>
  </si>
  <si>
    <t>CAASINAN</t>
  </si>
  <si>
    <t>DONOSO</t>
  </si>
  <si>
    <t>JUSTINIANO</t>
  </si>
  <si>
    <t>GONZALES</t>
  </si>
  <si>
    <t>16-02-03-040-000001</t>
  </si>
  <si>
    <t>DUMOGHO</t>
  </si>
  <si>
    <t>LORNA</t>
  </si>
  <si>
    <t>AALA</t>
  </si>
  <si>
    <t>BAYUGAN CITY</t>
  </si>
  <si>
    <t>CAGBAS</t>
  </si>
  <si>
    <t>EBAYA</t>
  </si>
  <si>
    <t>AIDA</t>
  </si>
  <si>
    <t>GIMOTO</t>
  </si>
  <si>
    <t>16-03-01-030-000087</t>
  </si>
  <si>
    <t>VILLAFRANCA</t>
  </si>
  <si>
    <t>ECAY</t>
  </si>
  <si>
    <t>TERESITA</t>
  </si>
  <si>
    <t>DESALES</t>
  </si>
  <si>
    <t>16-67-11-013-000062</t>
  </si>
  <si>
    <t>TUBOD</t>
  </si>
  <si>
    <t>MOTORPOOL</t>
  </si>
  <si>
    <t>ELICANO</t>
  </si>
  <si>
    <t>ROWENA</t>
  </si>
  <si>
    <t>NALITAN</t>
  </si>
  <si>
    <t>16-67-27-005-000031</t>
  </si>
  <si>
    <t>PAYAPAG</t>
  </si>
  <si>
    <t>ELICO</t>
  </si>
  <si>
    <t>RICO SR.</t>
  </si>
  <si>
    <t>TUQUIB</t>
  </si>
  <si>
    <t>PLACER</t>
  </si>
  <si>
    <t>AMOSLOG</t>
  </si>
  <si>
    <t>ELIMANCO</t>
  </si>
  <si>
    <t>JESUS</t>
  </si>
  <si>
    <t>BARADILLO</t>
  </si>
  <si>
    <t>16-67-17-002-000213</t>
  </si>
  <si>
    <t>RUBEN</t>
  </si>
  <si>
    <t>16-67-17-002-000039</t>
  </si>
  <si>
    <t>ELLE</t>
  </si>
  <si>
    <t>CALANG</t>
  </si>
  <si>
    <t>16-67-24-003-000001</t>
  </si>
  <si>
    <t>TOGBONGON</t>
  </si>
  <si>
    <t>ELUMBA</t>
  </si>
  <si>
    <t>VALENTINO</t>
  </si>
  <si>
    <t>MAPA</t>
  </si>
  <si>
    <t>16-67-24-065-000282</t>
  </si>
  <si>
    <t>ENALDO</t>
  </si>
  <si>
    <t>NENITA</t>
  </si>
  <si>
    <t>HERMANO</t>
  </si>
  <si>
    <t>16-67-11-010-000242</t>
  </si>
  <si>
    <t>BAYRON</t>
  </si>
  <si>
    <t>AMELITA</t>
  </si>
  <si>
    <t>M.</t>
  </si>
  <si>
    <t>16-02-02-086-000057</t>
  </si>
  <si>
    <t>CAGWAIT</t>
  </si>
  <si>
    <t>ERADIL</t>
  </si>
  <si>
    <t>ESTERLINA</t>
  </si>
  <si>
    <t>MILANO</t>
  </si>
  <si>
    <t>16-68-04-009-000263</t>
  </si>
  <si>
    <t>ESCABAL</t>
  </si>
  <si>
    <t>ACHAS</t>
  </si>
  <si>
    <t>16-67-24-003-000004</t>
  </si>
  <si>
    <t>MAICA</t>
  </si>
  <si>
    <t>ESCARSA</t>
  </si>
  <si>
    <t>OFELIA</t>
  </si>
  <si>
    <t>ALBAR</t>
  </si>
  <si>
    <t>16-03-12-003-000349</t>
  </si>
  <si>
    <t>RULLY</t>
  </si>
  <si>
    <t>D.</t>
  </si>
  <si>
    <t>16-03-12-003-000749</t>
  </si>
  <si>
    <t>EUSTAQUIO</t>
  </si>
  <si>
    <t>BEOTISIMA</t>
  </si>
  <si>
    <t>BERMUDO</t>
  </si>
  <si>
    <t>FADERAN</t>
  </si>
  <si>
    <t>EMILIO JR</t>
  </si>
  <si>
    <t>FELITRO</t>
  </si>
  <si>
    <t xml:space="preserve">FAENSOLEN </t>
  </si>
  <si>
    <t>RODEL</t>
  </si>
  <si>
    <t>16-03-02-003-000485</t>
  </si>
  <si>
    <t xml:space="preserve">FRANCISCO </t>
  </si>
  <si>
    <t>EMILIA</t>
  </si>
  <si>
    <t>PACANOS</t>
  </si>
  <si>
    <t>16-03-02-003-000042</t>
  </si>
  <si>
    <t>CABONCE</t>
  </si>
  <si>
    <t>EDUARDO JR.</t>
  </si>
  <si>
    <t>POBLETE</t>
  </si>
  <si>
    <t>TALIGAMAN</t>
  </si>
  <si>
    <t>CELERINA</t>
  </si>
  <si>
    <t>A</t>
  </si>
  <si>
    <t>GARDOSE</t>
  </si>
  <si>
    <t>JOSE RAMERO</t>
  </si>
  <si>
    <t>ENCOLESIO</t>
  </si>
  <si>
    <t>16-003-12-003-000060</t>
  </si>
  <si>
    <t>LA PAZ</t>
  </si>
  <si>
    <t>GERETAPE</t>
  </si>
  <si>
    <t>FERNANDO</t>
  </si>
  <si>
    <t>BAES</t>
  </si>
  <si>
    <t>16-03-04-006-000164</t>
  </si>
  <si>
    <t>GOHOL</t>
  </si>
  <si>
    <t>JENIME</t>
  </si>
  <si>
    <t>GARRIDO</t>
  </si>
  <si>
    <t>ERNESTO</t>
  </si>
  <si>
    <t>MAKILING</t>
  </si>
  <si>
    <t>16-02-01-011-000191</t>
  </si>
  <si>
    <t>ESPERON</t>
  </si>
  <si>
    <t>16-67-11-010-000243</t>
  </si>
  <si>
    <t>GUINDULMAN</t>
  </si>
  <si>
    <t>CAMINGUE</t>
  </si>
  <si>
    <t>16-67-24-037-000112</t>
  </si>
  <si>
    <t>GALENDEZ</t>
  </si>
  <si>
    <t>WALTER</t>
  </si>
  <si>
    <t>ALPAR</t>
  </si>
  <si>
    <t>16-02-02-009-000024</t>
  </si>
  <si>
    <t>GARDOCE</t>
  </si>
  <si>
    <t>MARY ANN</t>
  </si>
  <si>
    <t>PALER</t>
  </si>
  <si>
    <t>16-02-02-019-000142</t>
  </si>
  <si>
    <t>OROK</t>
  </si>
  <si>
    <t>GURABIL</t>
  </si>
  <si>
    <t>GEORGE</t>
  </si>
  <si>
    <t>CATUBIGAN</t>
  </si>
  <si>
    <t>16-67-24-067-000074</t>
  </si>
  <si>
    <t>BEBIANA</t>
  </si>
  <si>
    <t xml:space="preserve"> NAVARRO</t>
  </si>
  <si>
    <t>16-02-02-009-000060</t>
  </si>
  <si>
    <t>MAG-ISA</t>
  </si>
  <si>
    <t>ANICETO</t>
  </si>
  <si>
    <t>MALGAPO</t>
  </si>
  <si>
    <t>TAGALOG</t>
  </si>
  <si>
    <t>REY</t>
  </si>
  <si>
    <t>MOSQUEDA</t>
  </si>
  <si>
    <t>16-02-02-009-000042</t>
  </si>
  <si>
    <t>MANAPA</t>
  </si>
  <si>
    <t>JOTOJOT</t>
  </si>
  <si>
    <t>EMMANUEL</t>
  </si>
  <si>
    <t>TUBA-ON</t>
  </si>
  <si>
    <t>LOAYON</t>
  </si>
  <si>
    <t>FELIX</t>
  </si>
  <si>
    <t>ENCINADA</t>
  </si>
  <si>
    <t>16-67-11-010-000163</t>
  </si>
  <si>
    <t>JOVELYN</t>
  </si>
  <si>
    <t>16-67-02-005-000016</t>
  </si>
  <si>
    <t>MONTA</t>
  </si>
  <si>
    <t>JUNREY</t>
  </si>
  <si>
    <t>16-67-02-005-000037</t>
  </si>
  <si>
    <t>NELITA</t>
  </si>
  <si>
    <t>T</t>
  </si>
  <si>
    <t>16-67-02-005-000052</t>
  </si>
  <si>
    <t>LAS NIEVES</t>
  </si>
  <si>
    <t>NACORDA</t>
  </si>
  <si>
    <t>FRANCISCO</t>
  </si>
  <si>
    <t>CUYAG</t>
  </si>
  <si>
    <t>16-02-07-019-000015</t>
  </si>
  <si>
    <t>OMAC</t>
  </si>
  <si>
    <t>JOSEPHINE</t>
  </si>
  <si>
    <t>PLAZA</t>
  </si>
  <si>
    <t>16-67-24-065-000057</t>
  </si>
  <si>
    <t>ESTER</t>
  </si>
  <si>
    <t>T.</t>
  </si>
  <si>
    <t>PASLON</t>
  </si>
  <si>
    <t>NESTOR     JR.</t>
  </si>
  <si>
    <t>CALVO</t>
  </si>
  <si>
    <t>PEDRAYA</t>
  </si>
  <si>
    <t>CHARISMA</t>
  </si>
  <si>
    <t>VILLA-ABRILLE</t>
  </si>
  <si>
    <t>16-67-24-067-000184</t>
  </si>
  <si>
    <t>PIGDAULAN</t>
  </si>
  <si>
    <t>PEPITO</t>
  </si>
  <si>
    <t>PHIL</t>
  </si>
  <si>
    <t>TENIO</t>
  </si>
  <si>
    <t>16-02-02-103-000026</t>
  </si>
  <si>
    <t>PETILO</t>
  </si>
  <si>
    <t>MARIANO JR</t>
  </si>
  <si>
    <t>ARREZA</t>
  </si>
  <si>
    <t>PILAN</t>
  </si>
  <si>
    <t>CLAUDIO JR</t>
  </si>
  <si>
    <t>LERIO</t>
  </si>
  <si>
    <t>NELINDA</t>
  </si>
  <si>
    <t>16-67-24-065-000067</t>
  </si>
  <si>
    <t>LESACA</t>
  </si>
  <si>
    <t>16-67-24-065-000060</t>
  </si>
  <si>
    <t>SAN ROQUE</t>
  </si>
  <si>
    <t>PITANG</t>
  </si>
  <si>
    <t>REMEDIOS</t>
  </si>
  <si>
    <t>DEGAMON</t>
  </si>
  <si>
    <t>16-67-24-043-000019</t>
  </si>
  <si>
    <t>PLACIBE</t>
  </si>
  <si>
    <t>ROWENO</t>
  </si>
  <si>
    <t>R</t>
  </si>
  <si>
    <t>16-67-24-026-000062</t>
  </si>
  <si>
    <t>BITAN-AGAN</t>
  </si>
  <si>
    <t>PUSPOS</t>
  </si>
  <si>
    <t>APRIL</t>
  </si>
  <si>
    <t>CURAY</t>
  </si>
  <si>
    <t>16-02-02-023-000059</t>
  </si>
  <si>
    <t>QUITALIG</t>
  </si>
  <si>
    <t>JOCELYN</t>
  </si>
  <si>
    <t>ASIDO</t>
  </si>
  <si>
    <t>16-67-24-048-000005</t>
  </si>
  <si>
    <t>RELOVA</t>
  </si>
  <si>
    <t>TIMPO</t>
  </si>
  <si>
    <t>16-02-08-008-000240</t>
  </si>
  <si>
    <t>ERWIN</t>
  </si>
  <si>
    <t>16-02-02-100-000177</t>
  </si>
  <si>
    <t>SAN VICENTE</t>
  </si>
  <si>
    <t>REYES</t>
  </si>
  <si>
    <t>ROMEO</t>
  </si>
  <si>
    <t>LAGUESMA</t>
  </si>
  <si>
    <t>16-02-02-077-000071</t>
  </si>
  <si>
    <t>WILMA</t>
  </si>
  <si>
    <t>A.</t>
  </si>
  <si>
    <t>16-02-02-077-000168</t>
  </si>
  <si>
    <t>MAHAY</t>
  </si>
  <si>
    <t>RODOTA</t>
  </si>
  <si>
    <t>TINDOY</t>
  </si>
  <si>
    <t>16-02-02-061-000096</t>
  </si>
  <si>
    <t>ROLUNA</t>
  </si>
  <si>
    <t>JOVENIEL</t>
  </si>
  <si>
    <t>BALBUENA</t>
  </si>
  <si>
    <t>16-67-11-010-000445</t>
  </si>
  <si>
    <t>ROSALES</t>
  </si>
  <si>
    <t>Aï¿½ASCO</t>
  </si>
  <si>
    <t>16-67-02-005-000039</t>
  </si>
  <si>
    <t>SILAGAN</t>
  </si>
  <si>
    <t>RICKY</t>
  </si>
  <si>
    <t>ACUï¿½A</t>
  </si>
  <si>
    <t>16-67-02-004-000210</t>
  </si>
  <si>
    <t>TAGHOY</t>
  </si>
  <si>
    <t>LUCRESIO</t>
  </si>
  <si>
    <t>16-67-24-037-000151</t>
  </si>
  <si>
    <t>TARAGUA</t>
  </si>
  <si>
    <t>RAUL</t>
  </si>
  <si>
    <t>S</t>
  </si>
  <si>
    <t>16-67-11-004-000087</t>
  </si>
  <si>
    <t>TEATRO</t>
  </si>
  <si>
    <t>GENARA</t>
  </si>
  <si>
    <t>JACOB</t>
  </si>
  <si>
    <t>16-67-24-065-000045</t>
  </si>
  <si>
    <t>TOMOGBONG</t>
  </si>
  <si>
    <t>LESTER</t>
  </si>
  <si>
    <t>BUMANGLAG</t>
  </si>
  <si>
    <t>LIRA</t>
  </si>
  <si>
    <t>16-67-24-038-000003</t>
  </si>
  <si>
    <t>DEJADO</t>
  </si>
  <si>
    <t>SARAH JANE</t>
  </si>
  <si>
    <t>DAGOOC</t>
  </si>
  <si>
    <t>16-02-02-100-000485</t>
  </si>
  <si>
    <t>LOS ANGELES</t>
  </si>
  <si>
    <t>ABOYME</t>
  </si>
  <si>
    <t>RODOLFO</t>
  </si>
  <si>
    <t>ALIMA</t>
  </si>
  <si>
    <t>CAMAGONG</t>
  </si>
  <si>
    <t>URIARTE</t>
  </si>
  <si>
    <t>FLORINA</t>
  </si>
  <si>
    <t>PONTEVEDRA</t>
  </si>
  <si>
    <t>RICO</t>
  </si>
  <si>
    <t>16-68-18-008-000168</t>
  </si>
  <si>
    <t>WINES</t>
  </si>
  <si>
    <t>LIBAR</t>
  </si>
  <si>
    <t>TAGANA-AN</t>
  </si>
  <si>
    <t>HIMAMAUG</t>
  </si>
  <si>
    <t>BADAJOS</t>
  </si>
  <si>
    <t>MARIANITA</t>
  </si>
  <si>
    <t>BEBERINO</t>
  </si>
  <si>
    <t>16-67-25-007-000051</t>
  </si>
  <si>
    <t>PASTA</t>
  </si>
  <si>
    <t>BAGAIPO</t>
  </si>
  <si>
    <t>ROHITO</t>
  </si>
  <si>
    <t>JAMERO</t>
  </si>
  <si>
    <t>16-03-08-012-000629</t>
  </si>
  <si>
    <t>BAGANTE</t>
  </si>
  <si>
    <t>FAUSTINO JR</t>
  </si>
  <si>
    <t>BINAYAO</t>
  </si>
  <si>
    <t>BAOBAOAN</t>
  </si>
  <si>
    <t>BARCELONA</t>
  </si>
  <si>
    <t>MARIVIC</t>
  </si>
  <si>
    <t>16-02-02-018-000163</t>
  </si>
  <si>
    <t>ESPERANZA</t>
  </si>
  <si>
    <t>CUBO</t>
  </si>
  <si>
    <t>BILAOEN</t>
  </si>
  <si>
    <t>BEN JR.</t>
  </si>
  <si>
    <t>PALARAN</t>
  </si>
  <si>
    <t>ELISA</t>
  </si>
  <si>
    <t>16-03-03-036-000042</t>
  </si>
  <si>
    <t>BANZA</t>
  </si>
  <si>
    <t>BUTAL</t>
  </si>
  <si>
    <t>ROLANDO</t>
  </si>
  <si>
    <t>TESIO</t>
  </si>
  <si>
    <t>16-02-02-017-000157</t>
  </si>
  <si>
    <t>CLAVER</t>
  </si>
  <si>
    <t>DAYWAN</t>
  </si>
  <si>
    <t>GREGORIO</t>
  </si>
  <si>
    <t>IRENE</t>
  </si>
  <si>
    <t>BAGNOL</t>
  </si>
  <si>
    <t>16-67-06-003-000119</t>
  </si>
  <si>
    <t>SERNA</t>
  </si>
  <si>
    <t>ABES</t>
  </si>
  <si>
    <t>AMALIA</t>
  </si>
  <si>
    <t>SITOY</t>
  </si>
  <si>
    <t>TAGBONGABONG</t>
  </si>
  <si>
    <t>ABUCAYON</t>
  </si>
  <si>
    <t>EUSEBIO</t>
  </si>
  <si>
    <t>OLAMIT</t>
  </si>
  <si>
    <t>16-67-17-020-000132</t>
  </si>
  <si>
    <t>ADOBAS</t>
  </si>
  <si>
    <t>RUSTICO JR.</t>
  </si>
  <si>
    <t>HONOR</t>
  </si>
  <si>
    <t>NEW VISAYAS</t>
  </si>
  <si>
    <t>AGUSIN</t>
  </si>
  <si>
    <t>JAYMARK</t>
  </si>
  <si>
    <t>BANSAEN</t>
  </si>
  <si>
    <t>16-03-08-011-000165</t>
  </si>
  <si>
    <t>NABAGO</t>
  </si>
  <si>
    <t>ALCESO</t>
  </si>
  <si>
    <t>BERNARDITO</t>
  </si>
  <si>
    <t>SILVOSA</t>
  </si>
  <si>
    <t>16-67-24-032-000055</t>
  </si>
  <si>
    <t>ALTRES</t>
  </si>
  <si>
    <t>GRACE</t>
  </si>
  <si>
    <t>FABUTT</t>
  </si>
  <si>
    <t>16-67-24-011-000100</t>
  </si>
  <si>
    <t>AMBA</t>
  </si>
  <si>
    <t>VIRGINIA</t>
  </si>
  <si>
    <t>ATA</t>
  </si>
  <si>
    <t>16-67-11-013-000086</t>
  </si>
  <si>
    <t>AMOR</t>
  </si>
  <si>
    <t>LACORTE</t>
  </si>
  <si>
    <t>16-67-17-013-000097</t>
  </si>
  <si>
    <t>AMPONG</t>
  </si>
  <si>
    <t>BELENDA</t>
  </si>
  <si>
    <t>16-67-24-003-000297</t>
  </si>
  <si>
    <t>ANGOB</t>
  </si>
  <si>
    <t>ANITA</t>
  </si>
  <si>
    <t>SISIBAN</t>
  </si>
  <si>
    <t>16-03-08-012-000285</t>
  </si>
  <si>
    <t>8501-02189-01</t>
  </si>
  <si>
    <t>ANIB</t>
  </si>
  <si>
    <t>JULIETO</t>
  </si>
  <si>
    <t>MICOMPAL</t>
  </si>
  <si>
    <t>16-67-17-020-000126</t>
  </si>
  <si>
    <t>ARMENDARES</t>
  </si>
  <si>
    <t>ISIDRO</t>
  </si>
  <si>
    <t>ARIMANG</t>
  </si>
  <si>
    <t xml:space="preserve">ARONG </t>
  </si>
  <si>
    <t>RUSELO</t>
  </si>
  <si>
    <t>PAGAS</t>
  </si>
  <si>
    <t>16-67-24-037-000146</t>
  </si>
  <si>
    <t>ASILO</t>
  </si>
  <si>
    <t>MELCHOR</t>
  </si>
  <si>
    <t>AMARILLE</t>
  </si>
  <si>
    <t>16-67-11-010-000262</t>
  </si>
  <si>
    <t>CABANDA</t>
  </si>
  <si>
    <t>16-67-11-010-000213</t>
  </si>
  <si>
    <t>CAPALAYAN</t>
  </si>
  <si>
    <t>AZON</t>
  </si>
  <si>
    <t>LEONELYN</t>
  </si>
  <si>
    <t>BECALA</t>
  </si>
  <si>
    <t>16-67-24-017-000025</t>
  </si>
  <si>
    <t>BABAO</t>
  </si>
  <si>
    <t>REYNALDO</t>
  </si>
  <si>
    <t>OYAO</t>
  </si>
  <si>
    <t>16-03-01-009-000229</t>
  </si>
  <si>
    <t>BACHA</t>
  </si>
  <si>
    <t>MARILOU</t>
  </si>
  <si>
    <t>DANDAN</t>
  </si>
  <si>
    <t>16-03-08-012-000198</t>
  </si>
  <si>
    <t>ACEF PROGRAM</t>
  </si>
  <si>
    <t>TAGAPUA</t>
  </si>
  <si>
    <t>BACONUA</t>
  </si>
  <si>
    <t>BERTH</t>
  </si>
  <si>
    <t>GASPE</t>
  </si>
  <si>
    <t>JUDITH</t>
  </si>
  <si>
    <t>CANTEROS</t>
  </si>
  <si>
    <t>16-03-08-012-000522</t>
  </si>
  <si>
    <t>BAGUNA</t>
  </si>
  <si>
    <t>JACINTA</t>
  </si>
  <si>
    <t>PAPELLERAS</t>
  </si>
  <si>
    <t>BALICOG</t>
  </si>
  <si>
    <t>JUDITHA</t>
  </si>
  <si>
    <t>MALIMONO</t>
  </si>
  <si>
    <t>CANTAPOY</t>
  </si>
  <si>
    <t>BALLADARES</t>
  </si>
  <si>
    <t>BERLITO</t>
  </si>
  <si>
    <t>16-67-15-003-000101</t>
  </si>
  <si>
    <t>IPIL</t>
  </si>
  <si>
    <t>BANGUIS</t>
  </si>
  <si>
    <t>CRUZITO</t>
  </si>
  <si>
    <t>MEJIA</t>
  </si>
  <si>
    <t>16-67-24-022-000047</t>
  </si>
  <si>
    <t>BOLIGAO</t>
  </si>
  <si>
    <t>16-67-24-022-000159</t>
  </si>
  <si>
    <t>TAGABACA</t>
  </si>
  <si>
    <t>CALO</t>
  </si>
  <si>
    <t>EVA</t>
  </si>
  <si>
    <t>LERIA</t>
  </si>
  <si>
    <t>16-02-02-082-000117</t>
  </si>
  <si>
    <t>DANAO</t>
  </si>
  <si>
    <t>BARBOSA</t>
  </si>
  <si>
    <t>ALDAS</t>
  </si>
  <si>
    <t>16-67-24-019-000016</t>
  </si>
  <si>
    <t>BAUSING</t>
  </si>
  <si>
    <t>MARIA LOURDES</t>
  </si>
  <si>
    <t>LIBASTE</t>
  </si>
  <si>
    <t>16-67-11-010-000025</t>
  </si>
  <si>
    <t>BAYANG</t>
  </si>
  <si>
    <t>MARINA</t>
  </si>
  <si>
    <t>MATEO</t>
  </si>
  <si>
    <t>BAYOGBOG</t>
  </si>
  <si>
    <t>CECILIA</t>
  </si>
  <si>
    <t>16-67-06-003-000091</t>
  </si>
  <si>
    <t>CELSA</t>
  </si>
  <si>
    <t>LOPEZ</t>
  </si>
  <si>
    <t>16-67-15-003-000154</t>
  </si>
  <si>
    <t>BERNADEZ</t>
  </si>
  <si>
    <t>ALVIN SR.</t>
  </si>
  <si>
    <t>ESPERE</t>
  </si>
  <si>
    <t>BERNADES</t>
  </si>
  <si>
    <t>ANTONIO</t>
  </si>
  <si>
    <t>TELAN</t>
  </si>
  <si>
    <t>16-67-15-003-000110</t>
  </si>
  <si>
    <t>PONIENTE</t>
  </si>
  <si>
    <t>BERSABAL</t>
  </si>
  <si>
    <t xml:space="preserve">GILDA </t>
  </si>
  <si>
    <t>ARBIS</t>
  </si>
  <si>
    <t>16-67-11-008-000306</t>
  </si>
  <si>
    <t>BESINGA</t>
  </si>
  <si>
    <t>ESTHER</t>
  </si>
  <si>
    <t>BELTRAN</t>
  </si>
  <si>
    <t>GAGULA</t>
  </si>
  <si>
    <t>DIOSDADA</t>
  </si>
  <si>
    <t>MENDAï¿½A</t>
  </si>
  <si>
    <t>BOGLOSA</t>
  </si>
  <si>
    <t>ARLENE</t>
  </si>
  <si>
    <t>DELAPA</t>
  </si>
  <si>
    <t>16-67-11-013-000221</t>
  </si>
  <si>
    <t>MARLENE</t>
  </si>
  <si>
    <t>DIGOLTO</t>
  </si>
  <si>
    <t>16-67-11-013-000069</t>
  </si>
  <si>
    <t>BORJA</t>
  </si>
  <si>
    <t>JIMMY</t>
  </si>
  <si>
    <t>PARNADA</t>
  </si>
  <si>
    <t>16-67-11-013-000029</t>
  </si>
  <si>
    <t>BRUSOLA</t>
  </si>
  <si>
    <t>VILMA</t>
  </si>
  <si>
    <t>LUMBRES</t>
  </si>
  <si>
    <t>BUENO</t>
  </si>
  <si>
    <t>OSCAR</t>
  </si>
  <si>
    <t>BAUTISTA</t>
  </si>
  <si>
    <t>16-67-24-032-000027</t>
  </si>
  <si>
    <t>BUENVENIDA</t>
  </si>
  <si>
    <t>MARIA CHONA</t>
  </si>
  <si>
    <t>16-67-24-011-000069</t>
  </si>
  <si>
    <t>PANANAY-AN</t>
  </si>
  <si>
    <t>CABACHETE</t>
  </si>
  <si>
    <t>CAHULOGAN</t>
  </si>
  <si>
    <t>EUSEBIO JR.</t>
  </si>
  <si>
    <t>LIGAD</t>
  </si>
  <si>
    <t>ELIZARDO</t>
  </si>
  <si>
    <t>POCTOY</t>
  </si>
  <si>
    <t>NOLI</t>
  </si>
  <si>
    <t>LAGRAMA</t>
  </si>
  <si>
    <t>16-67-24-034-000249</t>
  </si>
  <si>
    <t>ROSEMARIE</t>
  </si>
  <si>
    <t>16-67-24-034-000046</t>
  </si>
  <si>
    <t>CALUMPAG</t>
  </si>
  <si>
    <t>RICHAB</t>
  </si>
  <si>
    <t>16-67-17-002-000069</t>
  </si>
  <si>
    <t>PRAXIDES</t>
  </si>
  <si>
    <t>CANTOJOS</t>
  </si>
  <si>
    <t>ELIZA</t>
  </si>
  <si>
    <t>GUMAPAC</t>
  </si>
  <si>
    <t>16-67-11-007-000155</t>
  </si>
  <si>
    <t>CARPON</t>
  </si>
  <si>
    <t>CENIE</t>
  </si>
  <si>
    <t>BOREMBAO</t>
  </si>
  <si>
    <t>MARJON</t>
  </si>
  <si>
    <t>16-67-24-067-000183</t>
  </si>
  <si>
    <t>SHIELA MAE</t>
  </si>
  <si>
    <t>16-67-24-067-000182</t>
  </si>
  <si>
    <t>CASANOVA</t>
  </si>
  <si>
    <t>ANNABELLE</t>
  </si>
  <si>
    <t>CONGAYO</t>
  </si>
  <si>
    <t>16-67-24-034-000031</t>
  </si>
  <si>
    <t>CASTILLO</t>
  </si>
  <si>
    <t>JANET</t>
  </si>
  <si>
    <t>P</t>
  </si>
  <si>
    <t>16-03-08-012-000326</t>
  </si>
  <si>
    <t>8501-02314-01</t>
  </si>
  <si>
    <t>JAY</t>
  </si>
  <si>
    <t>POMOY</t>
  </si>
  <si>
    <t>16-67-24-034-000084</t>
  </si>
  <si>
    <t>CELLONA</t>
  </si>
  <si>
    <t>CORMINAL</t>
  </si>
  <si>
    <t>16-67-24-031-000205</t>
  </si>
  <si>
    <t>CLARITO</t>
  </si>
  <si>
    <t>16-67-24-005-000048</t>
  </si>
  <si>
    <t>PROSPERIDAD</t>
  </si>
  <si>
    <t>CONJE</t>
  </si>
  <si>
    <t>JOEL</t>
  </si>
  <si>
    <t>YLANAN</t>
  </si>
  <si>
    <t>16-03-06-030-000123</t>
  </si>
  <si>
    <t>CONTEMPLO</t>
  </si>
  <si>
    <t>AIDA MAE</t>
  </si>
  <si>
    <t>SALIBAY</t>
  </si>
  <si>
    <t>16-67-19-009-000405</t>
  </si>
  <si>
    <t>TRINIDAD</t>
  </si>
  <si>
    <t>CRABAJALES</t>
  </si>
  <si>
    <t>JELLY</t>
  </si>
  <si>
    <t>BELO</t>
  </si>
  <si>
    <t>16-67-24-066-000021</t>
  </si>
  <si>
    <t>CUABO</t>
  </si>
  <si>
    <t>ROSALINA</t>
  </si>
  <si>
    <t>LASTRE</t>
  </si>
  <si>
    <t>16-67-11-010-000120</t>
  </si>
  <si>
    <t>CUTAMORA</t>
  </si>
  <si>
    <t>MADILYN</t>
  </si>
  <si>
    <t>ADLAWON</t>
  </si>
  <si>
    <t>16-67-11-007-000467</t>
  </si>
  <si>
    <t>DAPAR</t>
  </si>
  <si>
    <t>HAZEL</t>
  </si>
  <si>
    <t>PEGARRO</t>
  </si>
  <si>
    <t>16-67-17-002-000025</t>
  </si>
  <si>
    <t>DELIA</t>
  </si>
  <si>
    <t>16-67-24-005-000052</t>
  </si>
  <si>
    <t>JUNILIA</t>
  </si>
  <si>
    <t>QUIREQUIRE</t>
  </si>
  <si>
    <t>BF-16-067-11-050-00000023</t>
  </si>
  <si>
    <t>DICAP</t>
  </si>
  <si>
    <t>SIMPROSO</t>
  </si>
  <si>
    <t>Bukidnon</t>
  </si>
  <si>
    <t>KALILANGAN</t>
  </si>
  <si>
    <t>MACA-OPAO</t>
  </si>
  <si>
    <t>DOMINGO</t>
  </si>
  <si>
    <t>IAN JAY</t>
  </si>
  <si>
    <t>10-13-07-010-000412</t>
  </si>
  <si>
    <t>DOQUILA</t>
  </si>
  <si>
    <t>TEOFRIDA</t>
  </si>
  <si>
    <t>DIONALDO</t>
  </si>
  <si>
    <t>16-67-24-019-000046</t>
  </si>
  <si>
    <t>DUBDUBAN</t>
  </si>
  <si>
    <t>ELENA</t>
  </si>
  <si>
    <t>16-67-24-037-000227</t>
  </si>
  <si>
    <t>DUEï¿½AS</t>
  </si>
  <si>
    <t>EVANGELINE</t>
  </si>
  <si>
    <t>PATIMO</t>
  </si>
  <si>
    <t>DUMANIG</t>
  </si>
  <si>
    <t>LEA</t>
  </si>
  <si>
    <t>LONGOS</t>
  </si>
  <si>
    <t>DUMAS</t>
  </si>
  <si>
    <t>CASTULO</t>
  </si>
  <si>
    <t>16-67-11-010-000127</t>
  </si>
  <si>
    <t>EBIT</t>
  </si>
  <si>
    <t>16-67-24-031-000131</t>
  </si>
  <si>
    <t xml:space="preserve">ELANO </t>
  </si>
  <si>
    <t xml:space="preserve">ELESIO </t>
  </si>
  <si>
    <t>GERONA</t>
  </si>
  <si>
    <t>MARAVILLA</t>
  </si>
  <si>
    <t>16-02-02-082-000133</t>
  </si>
  <si>
    <t>EMPREDO</t>
  </si>
  <si>
    <t>FELIPE</t>
  </si>
  <si>
    <t>ABUELO</t>
  </si>
  <si>
    <t>16-67-17-020-000115</t>
  </si>
  <si>
    <t>PEDRITO</t>
  </si>
  <si>
    <t>16-67-17-020-000109</t>
  </si>
  <si>
    <t>ENORME</t>
  </si>
  <si>
    <t>CATALINA</t>
  </si>
  <si>
    <t>16-67-11-012-000035</t>
  </si>
  <si>
    <t>ENSINADA</t>
  </si>
  <si>
    <t>IMELDA</t>
  </si>
  <si>
    <t>ESCRIN</t>
  </si>
  <si>
    <t>MICHAEL</t>
  </si>
  <si>
    <t>SIA</t>
  </si>
  <si>
    <t>16-03-08-012-000369</t>
  </si>
  <si>
    <t>ESCULTOR</t>
  </si>
  <si>
    <t>LANI</t>
  </si>
  <si>
    <t>CONJURADO</t>
  </si>
  <si>
    <t>CLEOFE</t>
  </si>
  <si>
    <t>CORAZON</t>
  </si>
  <si>
    <t>G.</t>
  </si>
  <si>
    <t>16-67-11-010-000135</t>
  </si>
  <si>
    <t>ESTANDARTE</t>
  </si>
  <si>
    <t>EMELITA</t>
  </si>
  <si>
    <t>DALUBATAN</t>
  </si>
  <si>
    <t>16-67-15-003-000102</t>
  </si>
  <si>
    <t>ESTEBE</t>
  </si>
  <si>
    <t>16-67-24-019-000092</t>
  </si>
  <si>
    <t>FERNANDEZ</t>
  </si>
  <si>
    <t xml:space="preserve">NENITA </t>
  </si>
  <si>
    <t>BANTOLIO</t>
  </si>
  <si>
    <t>16-03-08-012-000056</t>
  </si>
  <si>
    <t>FILLARCA</t>
  </si>
  <si>
    <t>CRISTY</t>
  </si>
  <si>
    <t>GERALDINO</t>
  </si>
  <si>
    <t>16-67-24-031-000224</t>
  </si>
  <si>
    <t>FORTUNOBA</t>
  </si>
  <si>
    <t>RUEL</t>
  </si>
  <si>
    <t>ODTUHAN</t>
  </si>
  <si>
    <t>16-67-15-003-000107</t>
  </si>
  <si>
    <t>GAAS</t>
  </si>
  <si>
    <t>EDDIE</t>
  </si>
  <si>
    <t>DENZON</t>
  </si>
  <si>
    <t>GALES</t>
  </si>
  <si>
    <t>DALMACIO</t>
  </si>
  <si>
    <t>LADAGA</t>
  </si>
  <si>
    <t>16-67-02-007-000250</t>
  </si>
  <si>
    <t>OTHER - LI LC</t>
  </si>
  <si>
    <t>N</t>
  </si>
  <si>
    <t>16-02-02-056-000303</t>
  </si>
  <si>
    <t>LADRA</t>
  </si>
  <si>
    <t>ANASTACIA</t>
  </si>
  <si>
    <t>TULIAO</t>
  </si>
  <si>
    <t>16-02-02-018-000140</t>
  </si>
  <si>
    <t>5 - Flowering Stg. (LATE REPRODUCTIVE)</t>
  </si>
  <si>
    <t>GALIDO</t>
  </si>
  <si>
    <t>ANDOY</t>
  </si>
  <si>
    <t>16-67-06-003-000117</t>
  </si>
  <si>
    <t>GALLANA</t>
  </si>
  <si>
    <t>TAGUIC</t>
  </si>
  <si>
    <t>GALLARDO</t>
  </si>
  <si>
    <t>RENO</t>
  </si>
  <si>
    <t>BARON</t>
  </si>
  <si>
    <t>J.</t>
  </si>
  <si>
    <t>16-67-17-020-000085</t>
  </si>
  <si>
    <t>GALOS</t>
  </si>
  <si>
    <t>EVELYN</t>
  </si>
  <si>
    <t>LIBONG</t>
  </si>
  <si>
    <t>16-67-11-010-000427</t>
  </si>
  <si>
    <t>GARCIA</t>
  </si>
  <si>
    <t>BULADACO</t>
  </si>
  <si>
    <t>16-03-12-003-000004</t>
  </si>
  <si>
    <t>GASPAY</t>
  </si>
  <si>
    <t>AVELINA</t>
  </si>
  <si>
    <t>O</t>
  </si>
  <si>
    <t>16-67-24-011-000057</t>
  </si>
  <si>
    <t xml:space="preserve">GELI </t>
  </si>
  <si>
    <t>JULIE</t>
  </si>
  <si>
    <t>RAVELO</t>
  </si>
  <si>
    <t>GREGORIA</t>
  </si>
  <si>
    <t>AUDITOR</t>
  </si>
  <si>
    <t>16-67-24-031-000225</t>
  </si>
  <si>
    <t>GERENTE</t>
  </si>
  <si>
    <t>RUFINO JR.</t>
  </si>
  <si>
    <t>SAHAY</t>
  </si>
  <si>
    <t>GERIDA</t>
  </si>
  <si>
    <t>MARILYN</t>
  </si>
  <si>
    <t>DELOY</t>
  </si>
  <si>
    <t>16-67-11-010-000147</t>
  </si>
  <si>
    <t>GOANZON</t>
  </si>
  <si>
    <t>REYGINE</t>
  </si>
  <si>
    <t>CANOY</t>
  </si>
  <si>
    <t>16-67-24-003-000116</t>
  </si>
  <si>
    <t>GAURDO</t>
  </si>
  <si>
    <t>16-67-24-031-000058</t>
  </si>
  <si>
    <t>GORGOD</t>
  </si>
  <si>
    <t>FIGURACION</t>
  </si>
  <si>
    <t>SOLOMON</t>
  </si>
  <si>
    <t>JOSELITO</t>
  </si>
  <si>
    <t>SARCE</t>
  </si>
  <si>
    <t>16-67-24-037-000022</t>
  </si>
  <si>
    <t>GREFALDEO</t>
  </si>
  <si>
    <t>ROGER</t>
  </si>
  <si>
    <t>GUINSISANA</t>
  </si>
  <si>
    <t>PINEDA</t>
  </si>
  <si>
    <t>GELIA</t>
  </si>
  <si>
    <t>LAYOG</t>
  </si>
  <si>
    <t>GUIRITAN</t>
  </si>
  <si>
    <t>DOMINGA</t>
  </si>
  <si>
    <t>GEALOGO</t>
  </si>
  <si>
    <t>16-67-06-003-000147</t>
  </si>
  <si>
    <t>IBABAO</t>
  </si>
  <si>
    <t>MAGSANAY</t>
  </si>
  <si>
    <t>16-67-22-006-000085</t>
  </si>
  <si>
    <t>GRESAMIE</t>
  </si>
  <si>
    <t>DIOSDADO</t>
  </si>
  <si>
    <t>16-67-17-015-000019</t>
  </si>
  <si>
    <t>LEBERATO</t>
  </si>
  <si>
    <t>ELSISURA</t>
  </si>
  <si>
    <t>16-67-17-020-000037</t>
  </si>
  <si>
    <t>LEONARDO</t>
  </si>
  <si>
    <t>LEGASPI</t>
  </si>
  <si>
    <t>16-67-17-020-000102</t>
  </si>
  <si>
    <t>CURISES</t>
  </si>
  <si>
    <t>16-67-17-020-000099</t>
  </si>
  <si>
    <t>LACIA</t>
  </si>
  <si>
    <t>ERLINDA</t>
  </si>
  <si>
    <t>LACOSTA</t>
  </si>
  <si>
    <t>16-67-24-031-000119</t>
  </si>
  <si>
    <t xml:space="preserve">LACONDE </t>
  </si>
  <si>
    <t>JOHN LEE</t>
  </si>
  <si>
    <t xml:space="preserve">PULMONES </t>
  </si>
  <si>
    <t>16-03-08-012-000189</t>
  </si>
  <si>
    <t>RETCHEL</t>
  </si>
  <si>
    <t>NORA</t>
  </si>
  <si>
    <t>TABOON</t>
  </si>
  <si>
    <t>16-67-17-015-000044</t>
  </si>
  <si>
    <t>LAMBOT</t>
  </si>
  <si>
    <t>MAR</t>
  </si>
  <si>
    <t>SARDOVIA</t>
  </si>
  <si>
    <t>16-67-17-002-000079</t>
  </si>
  <si>
    <t>JAVA</t>
  </si>
  <si>
    <t>16-67-17-002-000285</t>
  </si>
  <si>
    <t>LAMOSTE</t>
  </si>
  <si>
    <t>CASIANA</t>
  </si>
  <si>
    <t>UBADO</t>
  </si>
  <si>
    <t>16-67-24-019-000041</t>
  </si>
  <si>
    <t>LANSANG</t>
  </si>
  <si>
    <t>FE</t>
  </si>
  <si>
    <t>PALIN</t>
  </si>
  <si>
    <t>16-67-24-019-000018</t>
  </si>
  <si>
    <t>LARASE</t>
  </si>
  <si>
    <t>LELIA</t>
  </si>
  <si>
    <t>16-67-06-003-000094</t>
  </si>
  <si>
    <t>LARONG</t>
  </si>
  <si>
    <t>16-67-11-010-000158</t>
  </si>
  <si>
    <t>LATO</t>
  </si>
  <si>
    <t>PAITONE</t>
  </si>
  <si>
    <t>16-67-11-013-000194</t>
  </si>
  <si>
    <t>LAUM</t>
  </si>
  <si>
    <t>LEONARDA JESSICA</t>
  </si>
  <si>
    <t>16-67-24-022-000163</t>
  </si>
  <si>
    <t>MARIANE</t>
  </si>
  <si>
    <t>PONTILO</t>
  </si>
  <si>
    <t>16-067-17-002-000026</t>
  </si>
  <si>
    <t>NIRLITO</t>
  </si>
  <si>
    <t>16-67-11-010-000264</t>
  </si>
  <si>
    <t>LIBRES</t>
  </si>
  <si>
    <t xml:space="preserve">TEOFILO </t>
  </si>
  <si>
    <t>ESPINOSA</t>
  </si>
  <si>
    <t>16-67-24-043-000026</t>
  </si>
  <si>
    <t>LEAH</t>
  </si>
  <si>
    <t>LADRIDO</t>
  </si>
  <si>
    <t>16-67-11-010-000164</t>
  </si>
  <si>
    <t>HONRADO</t>
  </si>
  <si>
    <t>WILLIAM</t>
  </si>
  <si>
    <t>DECOY</t>
  </si>
  <si>
    <t>16-67-19-008-000010</t>
  </si>
  <si>
    <t>GERALDINE</t>
  </si>
  <si>
    <t>16-67-17-020-000151</t>
  </si>
  <si>
    <t>ALAN</t>
  </si>
  <si>
    <t>CAPILLANES</t>
  </si>
  <si>
    <t>16-67-15-003-000106</t>
  </si>
  <si>
    <t>CRISTITO</t>
  </si>
  <si>
    <t>CAPELLANES</t>
  </si>
  <si>
    <t>16-67-15-003-000124</t>
  </si>
  <si>
    <t>VIRGELIO</t>
  </si>
  <si>
    <t>16-67-15-003-000083</t>
  </si>
  <si>
    <t>BERNARDO</t>
  </si>
  <si>
    <t>MORALES</t>
  </si>
  <si>
    <t>BONIFACIO</t>
  </si>
  <si>
    <t>PAULO</t>
  </si>
  <si>
    <t>16-67-24-031-000019</t>
  </si>
  <si>
    <t>JESON</t>
  </si>
  <si>
    <t>GOMEZ</t>
  </si>
  <si>
    <t>16-67-24-031-000798</t>
  </si>
  <si>
    <t>MACABODBOD</t>
  </si>
  <si>
    <t xml:space="preserve">JULIET </t>
  </si>
  <si>
    <t>SALARZON</t>
  </si>
  <si>
    <t>16-67-17-015-000200</t>
  </si>
  <si>
    <t>MACALOLOT</t>
  </si>
  <si>
    <t>ANALISA</t>
  </si>
  <si>
    <t>CORISIS</t>
  </si>
  <si>
    <t>16-67-17-020-000038</t>
  </si>
  <si>
    <t>MACARAYO</t>
  </si>
  <si>
    <t>DARLYN</t>
  </si>
  <si>
    <t>DELOSO</t>
  </si>
  <si>
    <t>16-67-02-007-000454</t>
  </si>
  <si>
    <t>MAGPATOC</t>
  </si>
  <si>
    <t>V</t>
  </si>
  <si>
    <t>16-67-15-003-000097</t>
  </si>
  <si>
    <t>JESSIE</t>
  </si>
  <si>
    <t>16-67-15-003-000095</t>
  </si>
  <si>
    <t>MANTALA</t>
  </si>
  <si>
    <t>ABELARDO</t>
  </si>
  <si>
    <t>16-67-15-003-000082</t>
  </si>
  <si>
    <t>MANDAMO</t>
  </si>
  <si>
    <t>ABLIN</t>
  </si>
  <si>
    <t>DARIO</t>
  </si>
  <si>
    <t>ANDIG</t>
  </si>
  <si>
    <t>16-02-02-064-000219</t>
  </si>
  <si>
    <t>BAYUGAN 2</t>
  </si>
  <si>
    <t>MARTINITO</t>
  </si>
  <si>
    <t>EMILY</t>
  </si>
  <si>
    <t>DELOS SANTOS</t>
  </si>
  <si>
    <t>16-03-08-002-000472</t>
  </si>
  <si>
    <t>MATICYENG</t>
  </si>
  <si>
    <t>JANILYN</t>
  </si>
  <si>
    <t>ANGCOG</t>
  </si>
  <si>
    <t>16-03-08-012-000257</t>
  </si>
  <si>
    <t>MATURAN</t>
  </si>
  <si>
    <t>VENERANDO JR.</t>
  </si>
  <si>
    <t>OLVIS</t>
  </si>
  <si>
    <t>ULDERICO</t>
  </si>
  <si>
    <t>16-067-17-020-000015</t>
  </si>
  <si>
    <t>MINGUITO</t>
  </si>
  <si>
    <t>NILO</t>
  </si>
  <si>
    <t>BF-16-067-17-070-00000025</t>
  </si>
  <si>
    <t>MONTEROS</t>
  </si>
  <si>
    <t>JANUARIO</t>
  </si>
  <si>
    <t>16-67-11-010-000169</t>
  </si>
  <si>
    <t>MORAL</t>
  </si>
  <si>
    <t>JOEY</t>
  </si>
  <si>
    <t>NOVA</t>
  </si>
  <si>
    <t>16-67-24-005-000071</t>
  </si>
  <si>
    <t xml:space="preserve">CHRISTILYN </t>
  </si>
  <si>
    <t>ALGARME</t>
  </si>
  <si>
    <t>MORANDANTE</t>
  </si>
  <si>
    <t>PAGLINAWAN</t>
  </si>
  <si>
    <t>16-67-17-015-000055</t>
  </si>
  <si>
    <t>NADALA</t>
  </si>
  <si>
    <t>ROSA</t>
  </si>
  <si>
    <t>C.</t>
  </si>
  <si>
    <t>16-067-17-002-000004</t>
  </si>
  <si>
    <t xml:space="preserve">NAPAO </t>
  </si>
  <si>
    <t xml:space="preserve">NOEL </t>
  </si>
  <si>
    <t>16-03-08-012-000297</t>
  </si>
  <si>
    <t>NATAD</t>
  </si>
  <si>
    <t>SANCHEZ</t>
  </si>
  <si>
    <t>16-67-06-003-000023</t>
  </si>
  <si>
    <t>ALEGRIA</t>
  </si>
  <si>
    <t>ANAHAW</t>
  </si>
  <si>
    <t>MARIANO</t>
  </si>
  <si>
    <t>ATACADOR</t>
  </si>
  <si>
    <t>16-67-01-011-000034</t>
  </si>
  <si>
    <t>ANYO PROGRAM</t>
  </si>
  <si>
    <t>ABUCAY</t>
  </si>
  <si>
    <t>ROBENSON</t>
  </si>
  <si>
    <t>SUPAS</t>
  </si>
  <si>
    <t>16-02-02-100-000248</t>
  </si>
  <si>
    <t>NODALO</t>
  </si>
  <si>
    <t>16-67-24-005-000193</t>
  </si>
  <si>
    <t>NOIS</t>
  </si>
  <si>
    <t>MINDA</t>
  </si>
  <si>
    <t>16-67-17-002-000171</t>
  </si>
  <si>
    <t>ALTOVEROS</t>
  </si>
  <si>
    <t>VERONICA</t>
  </si>
  <si>
    <t>DOLOROC</t>
  </si>
  <si>
    <t>16-02-02-056-000248</t>
  </si>
  <si>
    <t>JULITO</t>
  </si>
  <si>
    <t>PENADOS</t>
  </si>
  <si>
    <t>16-67-24-037-000125</t>
  </si>
  <si>
    <t>CATINDIN</t>
  </si>
  <si>
    <t>16-67-24-031-000053</t>
  </si>
  <si>
    <t>OTAGAN</t>
  </si>
  <si>
    <t>DUNSTANO SR.</t>
  </si>
  <si>
    <t>SIMPLICIO</t>
  </si>
  <si>
    <t>JOVE</t>
  </si>
  <si>
    <t>16-67-24-019-000172</t>
  </si>
  <si>
    <t>PANGANIBAN</t>
  </si>
  <si>
    <t>ANAMY</t>
  </si>
  <si>
    <t>V.</t>
  </si>
  <si>
    <t>16-03-08-001-000127</t>
  </si>
  <si>
    <t>PARBA</t>
  </si>
  <si>
    <t xml:space="preserve">MILKIE </t>
  </si>
  <si>
    <t>16-67-11-013-000196</t>
  </si>
  <si>
    <t>PARPAN</t>
  </si>
  <si>
    <t>JUVITO</t>
  </si>
  <si>
    <t>MABINI</t>
  </si>
  <si>
    <t>REYNESTELITO</t>
  </si>
  <si>
    <t>DACUMOS</t>
  </si>
  <si>
    <t>16-67-24-036-000031</t>
  </si>
  <si>
    <t>CRISCIL</t>
  </si>
  <si>
    <t>RAYALA</t>
  </si>
  <si>
    <t>16-67-17-002-000027</t>
  </si>
  <si>
    <t>PAYOS</t>
  </si>
  <si>
    <t>REJAS</t>
  </si>
  <si>
    <t>16-67-24-005-000030</t>
  </si>
  <si>
    <t>PAZ</t>
  </si>
  <si>
    <t>JENITA</t>
  </si>
  <si>
    <t>MORALDA</t>
  </si>
  <si>
    <t>16-67-01-011-000332</t>
  </si>
  <si>
    <t>PECHO</t>
  </si>
  <si>
    <t>JOVERO</t>
  </si>
  <si>
    <t>16-67-24-031-000164</t>
  </si>
  <si>
    <t>PEDARSE</t>
  </si>
  <si>
    <t>MONTANER</t>
  </si>
  <si>
    <t>16-67-24-067-000168</t>
  </si>
  <si>
    <t>PERRAL</t>
  </si>
  <si>
    <t>NORMA</t>
  </si>
  <si>
    <t>LIBERA</t>
  </si>
  <si>
    <t>16-67-11-013-000143</t>
  </si>
  <si>
    <t>PERUDA</t>
  </si>
  <si>
    <t>GIEZYL</t>
  </si>
  <si>
    <t>16-067-11-010-000027</t>
  </si>
  <si>
    <t>PESITO</t>
  </si>
  <si>
    <t>ACENDINA</t>
  </si>
  <si>
    <t>NARAJA</t>
  </si>
  <si>
    <t>16-67-06-014-000005</t>
  </si>
  <si>
    <t>MARTINIANA</t>
  </si>
  <si>
    <t>16-67-11-010-000182</t>
  </si>
  <si>
    <t>16-67-11-010-000181</t>
  </si>
  <si>
    <t>PEï¿½ALOGA</t>
  </si>
  <si>
    <t>NORCELYN</t>
  </si>
  <si>
    <t>DURANO</t>
  </si>
  <si>
    <t>16-03-12-003-000003</t>
  </si>
  <si>
    <t>PINGAL</t>
  </si>
  <si>
    <t>MELYCHONA</t>
  </si>
  <si>
    <t>NIDA</t>
  </si>
  <si>
    <t>TERIC</t>
  </si>
  <si>
    <t>16-67-24-034-000726</t>
  </si>
  <si>
    <t>JERAME</t>
  </si>
  <si>
    <t>16-67-24-034-000713</t>
  </si>
  <si>
    <t>RAGANAS</t>
  </si>
  <si>
    <t>MERLYN</t>
  </si>
  <si>
    <t>FABIO</t>
  </si>
  <si>
    <t>16-67-24-003-000190</t>
  </si>
  <si>
    <t>GACUSANA</t>
  </si>
  <si>
    <t>16-67-24-005-000013</t>
  </si>
  <si>
    <t>REGONIOS</t>
  </si>
  <si>
    <t>LINA</t>
  </si>
  <si>
    <t>16-67-17-020-000141</t>
  </si>
  <si>
    <t>RODA</t>
  </si>
  <si>
    <t>DAISY</t>
  </si>
  <si>
    <t>SEGADOR</t>
  </si>
  <si>
    <t>16-67-24-011-000099</t>
  </si>
  <si>
    <t>RUAYANA</t>
  </si>
  <si>
    <t>CORRIOS</t>
  </si>
  <si>
    <t>16-67-11-010-000440</t>
  </si>
  <si>
    <t>SANDIGAN</t>
  </si>
  <si>
    <t>JULINDO</t>
  </si>
  <si>
    <t>MARGEN</t>
  </si>
  <si>
    <t>16-67-15-003-000092</t>
  </si>
  <si>
    <t>NAZARIO JR</t>
  </si>
  <si>
    <t xml:space="preserve">RASONABE </t>
  </si>
  <si>
    <t>ORLANDO</t>
  </si>
  <si>
    <t>JOSON</t>
  </si>
  <si>
    <t>SILVA</t>
  </si>
  <si>
    <t>FLORA</t>
  </si>
  <si>
    <t>BALISI</t>
  </si>
  <si>
    <t>16-67-24-037-000039</t>
  </si>
  <si>
    <t>SINAJON</t>
  </si>
  <si>
    <t>JOAN</t>
  </si>
  <si>
    <t>NODAIO</t>
  </si>
  <si>
    <t>ENRIQUE</t>
  </si>
  <si>
    <t>SUAREZ</t>
  </si>
  <si>
    <t>NOLAN</t>
  </si>
  <si>
    <t>TEROL</t>
  </si>
  <si>
    <t>MALVIN</t>
  </si>
  <si>
    <t>BARCOS</t>
  </si>
  <si>
    <t>TOLEDO</t>
  </si>
  <si>
    <t>MANRIQUEZ</t>
  </si>
  <si>
    <t>16-67-24-067-000030</t>
  </si>
  <si>
    <t>TUSTADO</t>
  </si>
  <si>
    <t>ELMER</t>
  </si>
  <si>
    <t>16-03-12-006-000372</t>
  </si>
  <si>
    <t>VALIAO</t>
  </si>
  <si>
    <t xml:space="preserve"> TADEM</t>
  </si>
  <si>
    <t>16-67-11-013-000012</t>
  </si>
  <si>
    <t>VILLAGONZA</t>
  </si>
  <si>
    <t>JEMELYN</t>
  </si>
  <si>
    <t>BACUS</t>
  </si>
  <si>
    <t>16-67-24-017-000039</t>
  </si>
  <si>
    <t>ANINAO</t>
  </si>
  <si>
    <t>CHET</t>
  </si>
  <si>
    <t>ARISTAN</t>
  </si>
  <si>
    <t>CONCEPCION</t>
  </si>
  <si>
    <t>16-02-02-082-000405</t>
  </si>
  <si>
    <t>AMANTE</t>
  </si>
  <si>
    <t>TEJONES</t>
  </si>
  <si>
    <t>16-02-02-010-000204</t>
  </si>
  <si>
    <t>ANG</t>
  </si>
  <si>
    <t>JEAN</t>
  </si>
  <si>
    <t>LAROSA</t>
  </si>
  <si>
    <t>16-02-02-082-000031</t>
  </si>
  <si>
    <t>AURON</t>
  </si>
  <si>
    <t>DURANGO</t>
  </si>
  <si>
    <t>CABAHUG</t>
  </si>
  <si>
    <t>WILLY</t>
  </si>
  <si>
    <t>MAQUILAN</t>
  </si>
  <si>
    <t>16-02-02-010-000022</t>
  </si>
  <si>
    <t>BAGOLANTOY</t>
  </si>
  <si>
    <t>CRISTOPHER</t>
  </si>
  <si>
    <t>16-02-02-064-000027</t>
  </si>
  <si>
    <t>CAWILAN</t>
  </si>
  <si>
    <t>JACKIELYN</t>
  </si>
  <si>
    <t>16-02-02-010-000148</t>
  </si>
  <si>
    <t>LEONILO</t>
  </si>
  <si>
    <t>PANCHITO</t>
  </si>
  <si>
    <t>16-02-02-010-000233</t>
  </si>
  <si>
    <t>LORETO</t>
  </si>
  <si>
    <t>SANTA TERESA</t>
  </si>
  <si>
    <t>DORDAS</t>
  </si>
  <si>
    <t>BARBARA</t>
  </si>
  <si>
    <t>BARRANCO</t>
  </si>
  <si>
    <t>16-03-05-009-000058</t>
  </si>
  <si>
    <t>MAGUINDA</t>
  </si>
  <si>
    <t>BAHALLA</t>
  </si>
  <si>
    <t>PORES</t>
  </si>
  <si>
    <t>16-02-02-060-000223</t>
  </si>
  <si>
    <t>BALDO</t>
  </si>
  <si>
    <t>CHRISTIAN MARK</t>
  </si>
  <si>
    <t>16-02-02-017-000107</t>
  </si>
  <si>
    <t>MARLYN</t>
  </si>
  <si>
    <t>GICA</t>
  </si>
  <si>
    <t>FRITZ</t>
  </si>
  <si>
    <t>AGUE</t>
  </si>
  <si>
    <t>16-02-02-010-000203</t>
  </si>
  <si>
    <t>ISAGANI</t>
  </si>
  <si>
    <t>16-02-02-010-000147</t>
  </si>
  <si>
    <t>JOSIE</t>
  </si>
  <si>
    <t>16-02-02-010-000254</t>
  </si>
  <si>
    <t>INTING</t>
  </si>
  <si>
    <t>ACELUM</t>
  </si>
  <si>
    <t>16-02-02-010-000041</t>
  </si>
  <si>
    <t>JULVE</t>
  </si>
  <si>
    <t>ORTIZ</t>
  </si>
  <si>
    <t>BASLOTE</t>
  </si>
  <si>
    <t>LEONORA</t>
  </si>
  <si>
    <t>JUMANOY</t>
  </si>
  <si>
    <t>16-02-02-064-000168</t>
  </si>
  <si>
    <t>BATUCAN</t>
  </si>
  <si>
    <t>VIRGIE</t>
  </si>
  <si>
    <t>RESTAURO</t>
  </si>
  <si>
    <t>16-02-02-100-000278</t>
  </si>
  <si>
    <t>LARIBA</t>
  </si>
  <si>
    <t>MAXIMO JR.</t>
  </si>
  <si>
    <t>PIAMONTE</t>
  </si>
  <si>
    <t>MAYUGA</t>
  </si>
  <si>
    <t>JANCINAL</t>
  </si>
  <si>
    <t xml:space="preserve">MAYUGA </t>
  </si>
  <si>
    <t>HERCHEL</t>
  </si>
  <si>
    <t>16-02-02-082-000103</t>
  </si>
  <si>
    <t>ORTEGA</t>
  </si>
  <si>
    <t>ROMUALDA</t>
  </si>
  <si>
    <t>ASCAREZ</t>
  </si>
  <si>
    <t>16-304-00-010-000004</t>
  </si>
  <si>
    <t>PALAD</t>
  </si>
  <si>
    <t>HERWIN</t>
  </si>
  <si>
    <t>SUCALDITO</t>
  </si>
  <si>
    <t>16-02-02-010-000030</t>
  </si>
  <si>
    <t>MA. ELENA</t>
  </si>
  <si>
    <t>BOHOLANO</t>
  </si>
  <si>
    <t>O.</t>
  </si>
  <si>
    <t>16-02-02-064-000222</t>
  </si>
  <si>
    <t>MUSICO</t>
  </si>
  <si>
    <t>16-02-02-064-000065</t>
  </si>
  <si>
    <t>SERINA</t>
  </si>
  <si>
    <t>DEGORO</t>
  </si>
  <si>
    <t>16-02-02-024-000083</t>
  </si>
  <si>
    <t>TORREMOCHA</t>
  </si>
  <si>
    <t>EDMUND</t>
  </si>
  <si>
    <t>SILDO</t>
  </si>
  <si>
    <t>16-02-02-010-000097</t>
  </si>
  <si>
    <t>TRIO</t>
  </si>
  <si>
    <t>MARY GRACE</t>
  </si>
  <si>
    <t>FORIO</t>
  </si>
  <si>
    <t>16-02-02-082-000015</t>
  </si>
  <si>
    <t>ROLLY JUN</t>
  </si>
  <si>
    <t>SEBOG</t>
  </si>
  <si>
    <t>16-02-02-082-000014</t>
  </si>
  <si>
    <t>ROLYMOR  SR.</t>
  </si>
  <si>
    <t>SIBUG</t>
  </si>
  <si>
    <t>ABAO</t>
  </si>
  <si>
    <t>CESAR</t>
  </si>
  <si>
    <t>ROJO</t>
  </si>
  <si>
    <t>16-67-24-016-000163</t>
  </si>
  <si>
    <t>BRIONES</t>
  </si>
  <si>
    <t>RODANTE</t>
  </si>
  <si>
    <t>16-02-02-009-000171</t>
  </si>
  <si>
    <t>CANAMA</t>
  </si>
  <si>
    <t>RIZALINA</t>
  </si>
  <si>
    <t>16-02-02-060-000274</t>
  </si>
  <si>
    <t>VIOLETA</t>
  </si>
  <si>
    <t>16-67-24-037-000098</t>
  </si>
  <si>
    <t>Dinagat Islands</t>
  </si>
  <si>
    <t>TUBAJON</t>
  </si>
  <si>
    <t>DIAZ (ROMUALDEZ)</t>
  </si>
  <si>
    <t>ABISO</t>
  </si>
  <si>
    <t>EMMA</t>
  </si>
  <si>
    <t>SAMOSINO</t>
  </si>
  <si>
    <t>16-85-07-005-000058</t>
  </si>
  <si>
    <t>CARILLO</t>
  </si>
  <si>
    <t>DOMINADOR</t>
  </si>
  <si>
    <t>SAYSON</t>
  </si>
  <si>
    <t>16-02-02-056-000393</t>
  </si>
  <si>
    <t>ABRAHAN</t>
  </si>
  <si>
    <t>JOVITA</t>
  </si>
  <si>
    <t>16-67-24-037-000086</t>
  </si>
  <si>
    <t>ROCA</t>
  </si>
  <si>
    <t>ACEBEDO</t>
  </si>
  <si>
    <t>16-67-17-002-000152</t>
  </si>
  <si>
    <t>ACLO</t>
  </si>
  <si>
    <t>ELPEDIO</t>
  </si>
  <si>
    <t>RITCHE</t>
  </si>
  <si>
    <t>JUSAIN</t>
  </si>
  <si>
    <t>BF-16-067-24-170-00000005</t>
  </si>
  <si>
    <t>TEOTIMO JR</t>
  </si>
  <si>
    <t>SALVADOR</t>
  </si>
  <si>
    <t>ACOSTA</t>
  </si>
  <si>
    <t>MACARIO</t>
  </si>
  <si>
    <t>RAMOS</t>
  </si>
  <si>
    <t>16-67-24-005-000021</t>
  </si>
  <si>
    <t>CASSION</t>
  </si>
  <si>
    <t>JOSEPH</t>
  </si>
  <si>
    <t>16-02-02-064-000282</t>
  </si>
  <si>
    <t>EL SALVADOR CITY</t>
  </si>
  <si>
    <t>MOLUGAN</t>
  </si>
  <si>
    <t>ACTUB</t>
  </si>
  <si>
    <t xml:space="preserve">PALERMO </t>
  </si>
  <si>
    <t>NACUA</t>
  </si>
  <si>
    <t>10-43-07-011-000009</t>
  </si>
  <si>
    <t>ABIS</t>
  </si>
  <si>
    <t>16-67-24-037-000187</t>
  </si>
  <si>
    <t>STA. JOSEFA</t>
  </si>
  <si>
    <t>AWAO</t>
  </si>
  <si>
    <t>AGA</t>
  </si>
  <si>
    <t>BIENVENIDA</t>
  </si>
  <si>
    <t>HASPE</t>
  </si>
  <si>
    <t>16-03-10-003-000009</t>
  </si>
  <si>
    <t>CAMILO JR.</t>
  </si>
  <si>
    <t>LASPINAS</t>
  </si>
  <si>
    <t>AGBALOG</t>
  </si>
  <si>
    <t>BENIE</t>
  </si>
  <si>
    <t>LLAMERA</t>
  </si>
  <si>
    <t>10-43-01-010-000039</t>
  </si>
  <si>
    <t>AGUANTA</t>
  </si>
  <si>
    <t>FLORDELITO</t>
  </si>
  <si>
    <t>16-67-24-037-000042</t>
  </si>
  <si>
    <t>CASIO</t>
  </si>
  <si>
    <t>16-67-24-037-000030</t>
  </si>
  <si>
    <t>WILFREDO</t>
  </si>
  <si>
    <t>16-67-24-037-000032</t>
  </si>
  <si>
    <t>WILMAR</t>
  </si>
  <si>
    <t>16-67-24-037-000106</t>
  </si>
  <si>
    <t>LINGAYAO</t>
  </si>
  <si>
    <t>AGUANZA</t>
  </si>
  <si>
    <t>CARIDAD</t>
  </si>
  <si>
    <t>PANUNCIALMAN</t>
  </si>
  <si>
    <t>ROSALINDA</t>
  </si>
  <si>
    <t>SEGUIS</t>
  </si>
  <si>
    <t>16-67-24-022-000351</t>
  </si>
  <si>
    <t>ALABA</t>
  </si>
  <si>
    <t>NAJIAL</t>
  </si>
  <si>
    <t>16-67-02-007-000490</t>
  </si>
  <si>
    <t>ALAS</t>
  </si>
  <si>
    <t>FERMEN</t>
  </si>
  <si>
    <t>P.</t>
  </si>
  <si>
    <t>16-02-07-005-000068</t>
  </si>
  <si>
    <t>ALASAGAS</t>
  </si>
  <si>
    <t>AMERITA</t>
  </si>
  <si>
    <t>SAJOR</t>
  </si>
  <si>
    <t>16-03-01-030-000004</t>
  </si>
  <si>
    <t>ALCANTARA</t>
  </si>
  <si>
    <t>ALBERTA</t>
  </si>
  <si>
    <t>BANACIA</t>
  </si>
  <si>
    <t>16-67-24-022-000116</t>
  </si>
  <si>
    <t>CABONGBONGAN</t>
  </si>
  <si>
    <t>ALCISO</t>
  </si>
  <si>
    <t>MANUEL</t>
  </si>
  <si>
    <t>EBOL</t>
  </si>
  <si>
    <t>16-67-24-013-000043</t>
  </si>
  <si>
    <t>MALAYA</t>
  </si>
  <si>
    <t>16-67-24-013-000039</t>
  </si>
  <si>
    <t>RONALD</t>
  </si>
  <si>
    <t>RODRIGUEZ</t>
  </si>
  <si>
    <t>16-67-24-013-000139</t>
  </si>
  <si>
    <t>ALCORAN</t>
  </si>
  <si>
    <t>BRABANTE</t>
  </si>
  <si>
    <t>ALIPAO</t>
  </si>
  <si>
    <t>RAGAS</t>
  </si>
  <si>
    <t>16-67-24-013-000021</t>
  </si>
  <si>
    <t>SAN ROQUE (POB.)</t>
  </si>
  <si>
    <t>ALKUINO</t>
  </si>
  <si>
    <t>JOVELITA</t>
  </si>
  <si>
    <t>MANTO</t>
  </si>
  <si>
    <t>16-85-07-007-000043</t>
  </si>
  <si>
    <t>BAAN KM 3</t>
  </si>
  <si>
    <t>ALMEDA</t>
  </si>
  <si>
    <t>MA. LEONOR</t>
  </si>
  <si>
    <t>AMADO</t>
  </si>
  <si>
    <t>ALONZO</t>
  </si>
  <si>
    <t>DALNAY</t>
  </si>
  <si>
    <t>16-68-18-005-000228</t>
  </si>
  <si>
    <t>BANZON</t>
  </si>
  <si>
    <t>CATALUNA</t>
  </si>
  <si>
    <t>JESMAR</t>
  </si>
  <si>
    <t>B</t>
  </si>
  <si>
    <t>ALVAREZ</t>
  </si>
  <si>
    <t>BALASOTO</t>
  </si>
  <si>
    <t>16-67-02-005-000011</t>
  </si>
  <si>
    <t xml:space="preserve">AMAHAN </t>
  </si>
  <si>
    <t>BETOY</t>
  </si>
  <si>
    <t>16-67-02-001-000001</t>
  </si>
  <si>
    <t>AMBIL</t>
  </si>
  <si>
    <t>BETA</t>
  </si>
  <si>
    <t>GARGANIRA</t>
  </si>
  <si>
    <t>JULITA</t>
  </si>
  <si>
    <t>16-03-01-030-000150</t>
  </si>
  <si>
    <t>NENA</t>
  </si>
  <si>
    <t>LABADOR</t>
  </si>
  <si>
    <t>16-03-01-030-000125</t>
  </si>
  <si>
    <t>AMORA</t>
  </si>
  <si>
    <t>ROLITO SR.</t>
  </si>
  <si>
    <t>AMOYAN</t>
  </si>
  <si>
    <t>PIA</t>
  </si>
  <si>
    <t>16-67-24-034-000542</t>
  </si>
  <si>
    <t>AMPATER</t>
  </si>
  <si>
    <t>ANGIE</t>
  </si>
  <si>
    <t>LESOY</t>
  </si>
  <si>
    <t>AMPER</t>
  </si>
  <si>
    <t>BLAS JR.</t>
  </si>
  <si>
    <t>ASUMBRADO</t>
  </si>
  <si>
    <t>AMPO</t>
  </si>
  <si>
    <t>NIMFA</t>
  </si>
  <si>
    <t>SALEM</t>
  </si>
  <si>
    <t>POLINAR</t>
  </si>
  <si>
    <t>16-02-02-064-000303</t>
  </si>
  <si>
    <t>CASIMIRO</t>
  </si>
  <si>
    <t>16-67-06-003-000104</t>
  </si>
  <si>
    <t>LUCY</t>
  </si>
  <si>
    <t>ALVARADO</t>
  </si>
  <si>
    <t>16-67-24-065-000286</t>
  </si>
  <si>
    <t>CATALUï¿½A</t>
  </si>
  <si>
    <t>RACHO</t>
  </si>
  <si>
    <t>16-02-02-064-000062</t>
  </si>
  <si>
    <t>LOYD</t>
  </si>
  <si>
    <t>16-02-02-064-000059</t>
  </si>
  <si>
    <t>ANOL</t>
  </si>
  <si>
    <t>AILEEN</t>
  </si>
  <si>
    <t>ANOOS</t>
  </si>
  <si>
    <t>PONCIANA</t>
  </si>
  <si>
    <t>MIONES</t>
  </si>
  <si>
    <t>ALAMBIQUE (POB.)</t>
  </si>
  <si>
    <t>ANTOQUIA</t>
  </si>
  <si>
    <t>LEONIDO JR</t>
  </si>
  <si>
    <t>CUBELO</t>
  </si>
  <si>
    <t>MALAYBALAY</t>
  </si>
  <si>
    <t>SIMAYA</t>
  </si>
  <si>
    <t>APARECIO</t>
  </si>
  <si>
    <t>JESSE</t>
  </si>
  <si>
    <t>10-13-12-063-000365</t>
  </si>
  <si>
    <t>BALIBAYON</t>
  </si>
  <si>
    <t xml:space="preserve">APIQUE </t>
  </si>
  <si>
    <t xml:space="preserve">DOROTHY </t>
  </si>
  <si>
    <t xml:space="preserve">LAFUENTE </t>
  </si>
  <si>
    <t>16-67-24-006-000152</t>
  </si>
  <si>
    <t>ARANDID</t>
  </si>
  <si>
    <t>PATEï¿½O</t>
  </si>
  <si>
    <t>10-43-01-007-000005</t>
  </si>
  <si>
    <t>ARAPOC</t>
  </si>
  <si>
    <t>JEMIMAH</t>
  </si>
  <si>
    <t xml:space="preserve"> DUMABOC</t>
  </si>
  <si>
    <t>16-02-02-100-000022</t>
  </si>
  <si>
    <t>ETOC</t>
  </si>
  <si>
    <t>16-68-18-005-000185</t>
  </si>
  <si>
    <t>ARCO</t>
  </si>
  <si>
    <t>JACINTO JR</t>
  </si>
  <si>
    <t>JAMER</t>
  </si>
  <si>
    <t>MARCELINO</t>
  </si>
  <si>
    <t>16-67-24-032-000018</t>
  </si>
  <si>
    <t>ARENA</t>
  </si>
  <si>
    <t>CUALTEROS</t>
  </si>
  <si>
    <t>16-85-07-005-000024</t>
  </si>
  <si>
    <t>ARIAR</t>
  </si>
  <si>
    <t>16-67-24-037-000079</t>
  </si>
  <si>
    <t>LUCENA</t>
  </si>
  <si>
    <t>BUHIAN</t>
  </si>
  <si>
    <t>16-67-24-037-000167</t>
  </si>
  <si>
    <t>ARONG</t>
  </si>
  <si>
    <t>ADELITO</t>
  </si>
  <si>
    <t>16-67-24-037-000057</t>
  </si>
  <si>
    <t>ASILUM</t>
  </si>
  <si>
    <t>SERGIO</t>
  </si>
  <si>
    <t>CABAï¿½AS</t>
  </si>
  <si>
    <t>16-02-02-064-000105</t>
  </si>
  <si>
    <t>ASTROLOGO</t>
  </si>
  <si>
    <t>ARIEL</t>
  </si>
  <si>
    <t>MABONG</t>
  </si>
  <si>
    <t>16-67-24-034-000039</t>
  </si>
  <si>
    <t>ASTRONOMO</t>
  </si>
  <si>
    <t>REAMBONANSA</t>
  </si>
  <si>
    <t>16-67-24-013-000028</t>
  </si>
  <si>
    <t>RENELIA</t>
  </si>
  <si>
    <t>16-67-24-017-000027</t>
  </si>
  <si>
    <t>AUJERO</t>
  </si>
  <si>
    <t>CEZAR</t>
  </si>
  <si>
    <t>OROT</t>
  </si>
  <si>
    <t>16-02-02-017-000137</t>
  </si>
  <si>
    <t>AURE</t>
  </si>
  <si>
    <t>NOEL III</t>
  </si>
  <si>
    <t>BARONDAY</t>
  </si>
  <si>
    <t>SAN MIGUEL</t>
  </si>
  <si>
    <t>AZARCON</t>
  </si>
  <si>
    <t>ODVINA</t>
  </si>
  <si>
    <t>ZYRIX</t>
  </si>
  <si>
    <t>16-67-24-017-000181</t>
  </si>
  <si>
    <t>ANY ROSE</t>
  </si>
  <si>
    <t>MONTERO</t>
  </si>
  <si>
    <t>LILIOSA</t>
  </si>
  <si>
    <t>16-67-24-067-000188</t>
  </si>
  <si>
    <t>RONALDO</t>
  </si>
  <si>
    <t>BEHARANG</t>
  </si>
  <si>
    <t>16-67-24-067-000121</t>
  </si>
  <si>
    <t>AZURA</t>
  </si>
  <si>
    <t>JERMALYN</t>
  </si>
  <si>
    <t>ALITCHA</t>
  </si>
  <si>
    <t>Aï¿½OBER</t>
  </si>
  <si>
    <t>ANASTACIO</t>
  </si>
  <si>
    <t>SOBIONO</t>
  </si>
  <si>
    <t>16-02-07-002-000163</t>
  </si>
  <si>
    <t>Aï¿½ORA</t>
  </si>
  <si>
    <t>MARICEL</t>
  </si>
  <si>
    <t>16-67-02-005-000113</t>
  </si>
  <si>
    <t>16-67-02-005-000162</t>
  </si>
  <si>
    <t>MAINIT</t>
  </si>
  <si>
    <t>CANTUGAS</t>
  </si>
  <si>
    <t xml:space="preserve">BACOL </t>
  </si>
  <si>
    <t xml:space="preserve">ROLDAN JR </t>
  </si>
  <si>
    <t>AYAG</t>
  </si>
  <si>
    <t>BACOL</t>
  </si>
  <si>
    <t>16-67-14-003-000276</t>
  </si>
  <si>
    <t>BACOY</t>
  </si>
  <si>
    <t>FLORITA</t>
  </si>
  <si>
    <t>CENTRO</t>
  </si>
  <si>
    <t>BACUBAS</t>
  </si>
  <si>
    <t xml:space="preserve"> LACUMBES</t>
  </si>
  <si>
    <t>16-85-07-005-000005</t>
  </si>
  <si>
    <t>PACOMIOS</t>
  </si>
  <si>
    <t>16-85-07-005-000072</t>
  </si>
  <si>
    <t>BACULIO</t>
  </si>
  <si>
    <t>LINDA</t>
  </si>
  <si>
    <t>10-43-07-011-000024</t>
  </si>
  <si>
    <t>BADANA</t>
  </si>
  <si>
    <t>MARCEL</t>
  </si>
  <si>
    <t>SAMONTE</t>
  </si>
  <si>
    <t>16-67-17-002-000094</t>
  </si>
  <si>
    <t>BAGACAY</t>
  </si>
  <si>
    <t>BILLY</t>
  </si>
  <si>
    <t>LULAB</t>
  </si>
  <si>
    <t>16-85-07-002-000037</t>
  </si>
  <si>
    <t>16-85-07-005-000029</t>
  </si>
  <si>
    <t>BAGAYAS</t>
  </si>
  <si>
    <t>RENATO</t>
  </si>
  <si>
    <t>COSMIANO</t>
  </si>
  <si>
    <t>16-67-24-013-000162</t>
  </si>
  <si>
    <t>BAGNARAN</t>
  </si>
  <si>
    <t>ROLLON</t>
  </si>
  <si>
    <t>10-43-01-010-000005</t>
  </si>
  <si>
    <t>THALIA</t>
  </si>
  <si>
    <t>16-02-02-064-000218</t>
  </si>
  <si>
    <t>BAGUION</t>
  </si>
  <si>
    <t>VICTOR JR.</t>
  </si>
  <si>
    <t>CAUBAT</t>
  </si>
  <si>
    <t>CHEQUITO</t>
  </si>
  <si>
    <t xml:space="preserve">DEVELYN </t>
  </si>
  <si>
    <t>CHU</t>
  </si>
  <si>
    <t>16-02-02-060-000333</t>
  </si>
  <si>
    <t>BAHIAN</t>
  </si>
  <si>
    <t>JOVITO</t>
  </si>
  <si>
    <t>BALABAT</t>
  </si>
  <si>
    <t>10-43-01-007-000016</t>
  </si>
  <si>
    <t>10-43-01-007-000010</t>
  </si>
  <si>
    <t>BAJENTING</t>
  </si>
  <si>
    <t>ELSA</t>
  </si>
  <si>
    <t>FRONDOZA</t>
  </si>
  <si>
    <t>16-03-10-003-000024</t>
  </si>
  <si>
    <t>GODEN</t>
  </si>
  <si>
    <t>16-03-10-003-000005</t>
  </si>
  <si>
    <t>BALDECIR</t>
  </si>
  <si>
    <t>ZITA</t>
  </si>
  <si>
    <t>16-67-19-004-000173</t>
  </si>
  <si>
    <t>BASNIG</t>
  </si>
  <si>
    <t>16-02-02-060-000205</t>
  </si>
  <si>
    <t>BALSIMO</t>
  </si>
  <si>
    <t>TANELON</t>
  </si>
  <si>
    <t>16-67-24-067-000077</t>
  </si>
  <si>
    <t xml:space="preserve">FLORENDA </t>
  </si>
  <si>
    <t>LACABRA</t>
  </si>
  <si>
    <t>16-67-24-037-000241</t>
  </si>
  <si>
    <t>VILLAMOR</t>
  </si>
  <si>
    <t>16-67-24-037-000052</t>
  </si>
  <si>
    <t>CASALTA</t>
  </si>
  <si>
    <t>16-67-24-037-000207</t>
  </si>
  <si>
    <t>16-67-24-037-000028</t>
  </si>
  <si>
    <t>EGUNA</t>
  </si>
  <si>
    <t>16-67-24-043-000011</t>
  </si>
  <si>
    <t>SILVINO</t>
  </si>
  <si>
    <t>E</t>
  </si>
  <si>
    <t>16-67-24-037-000148</t>
  </si>
  <si>
    <t>BANDOY</t>
  </si>
  <si>
    <t>ARNEL</t>
  </si>
  <si>
    <t>SUCILLO</t>
  </si>
  <si>
    <t>VIOLANTA</t>
  </si>
  <si>
    <t xml:space="preserve">BANESIO </t>
  </si>
  <si>
    <t xml:space="preserve">RUBELINO </t>
  </si>
  <si>
    <t xml:space="preserve">CORNELIO </t>
  </si>
  <si>
    <t>16-03-05-011-000121</t>
  </si>
  <si>
    <t>AGRI-AGRA - OTHERS</t>
  </si>
  <si>
    <t>BANGA</t>
  </si>
  <si>
    <t>16-02-02-060-000100</t>
  </si>
  <si>
    <t>RUFINA</t>
  </si>
  <si>
    <t>16-02-02-060-000210</t>
  </si>
  <si>
    <t>PELVIN</t>
  </si>
  <si>
    <t>16-304-00-060-000004</t>
  </si>
  <si>
    <t>BIT-OS</t>
  </si>
  <si>
    <t>CORRALES</t>
  </si>
  <si>
    <t>DOMINADOR JR.</t>
  </si>
  <si>
    <t>CULLENTAS</t>
  </si>
  <si>
    <t>EMELDA</t>
  </si>
  <si>
    <t>SOLTEO</t>
  </si>
  <si>
    <t>16-02-02-064-000147</t>
  </si>
  <si>
    <t>BANGCOYO</t>
  </si>
  <si>
    <t>CLETO SR</t>
  </si>
  <si>
    <t>CABUSAO</t>
  </si>
  <si>
    <t>SALANGA</t>
  </si>
  <si>
    <t>16-67-02-005-000001</t>
  </si>
  <si>
    <t>JAIME</t>
  </si>
  <si>
    <t>ASUNCION</t>
  </si>
  <si>
    <t>FELOMINO</t>
  </si>
  <si>
    <t>ABALLE</t>
  </si>
  <si>
    <t>16-03-10-003-000056</t>
  </si>
  <si>
    <t>BARAHAN</t>
  </si>
  <si>
    <t>EDGAR</t>
  </si>
  <si>
    <t>GOLILAT</t>
  </si>
  <si>
    <t>16-67-24-017-000045</t>
  </si>
  <si>
    <t>ELEUTERIO</t>
  </si>
  <si>
    <t>16-67-24-017-000128</t>
  </si>
  <si>
    <t>BARILLO</t>
  </si>
  <si>
    <t>NOLITO</t>
  </si>
  <si>
    <t>PARAGOSO</t>
  </si>
  <si>
    <t>16-02-02-064-000031</t>
  </si>
  <si>
    <t>BARITE</t>
  </si>
  <si>
    <t>DELOLA</t>
  </si>
  <si>
    <t>16-67-24-013-000007</t>
  </si>
  <si>
    <t>ROSITA</t>
  </si>
  <si>
    <t>TORAJA</t>
  </si>
  <si>
    <t>MAGAUD</t>
  </si>
  <si>
    <t>BARTE</t>
  </si>
  <si>
    <t>PRIMA</t>
  </si>
  <si>
    <t>ROQUERO</t>
  </si>
  <si>
    <t>16-03-05-003-000211</t>
  </si>
  <si>
    <t>BASIGSIG</t>
  </si>
  <si>
    <t>LARRY BOY</t>
  </si>
  <si>
    <t>MEDICA</t>
  </si>
  <si>
    <t>BF-16-067-24-170-00000033</t>
  </si>
  <si>
    <t>BATIS</t>
  </si>
  <si>
    <t>16-02-02-064-000220</t>
  </si>
  <si>
    <t>DOONGAN</t>
  </si>
  <si>
    <t>DEBAJO</t>
  </si>
  <si>
    <t>VIVINA</t>
  </si>
  <si>
    <t>BATAS</t>
  </si>
  <si>
    <t>CHARITY</t>
  </si>
  <si>
    <t>16-03-05-003-000533</t>
  </si>
  <si>
    <t>CATMONON</t>
  </si>
  <si>
    <t>BATES</t>
  </si>
  <si>
    <t>MORANO</t>
  </si>
  <si>
    <t>16-003-03-006-000064</t>
  </si>
  <si>
    <t>BATIBUT</t>
  </si>
  <si>
    <t>MARICRIS</t>
  </si>
  <si>
    <t>MALAGAR</t>
  </si>
  <si>
    <t>16-03-01-030-000011</t>
  </si>
  <si>
    <t>DINAGSAO</t>
  </si>
  <si>
    <t>RODELON</t>
  </si>
  <si>
    <t>16-02-02-100-000090</t>
  </si>
  <si>
    <t>DU-ONG</t>
  </si>
  <si>
    <t>BAYBAYON</t>
  </si>
  <si>
    <t>MALAQUE</t>
  </si>
  <si>
    <t>16-67-24-032-000097</t>
  </si>
  <si>
    <t>BAYLA</t>
  </si>
  <si>
    <t>16-67-11-001-000001</t>
  </si>
  <si>
    <t>ANGEL</t>
  </si>
  <si>
    <t>SEQUIHOD</t>
  </si>
  <si>
    <t>16-67-06-003-000074</t>
  </si>
  <si>
    <t>BAï¿½ACIA</t>
  </si>
  <si>
    <t>ALEXANDER</t>
  </si>
  <si>
    <t>16-67-24-022-000097</t>
  </si>
  <si>
    <t>16-67-24-022-000343</t>
  </si>
  <si>
    <t>MAGDALINO</t>
  </si>
  <si>
    <t>BECERRO</t>
  </si>
  <si>
    <t>JOLINO</t>
  </si>
  <si>
    <t>ENOT</t>
  </si>
  <si>
    <t>BEHAGAN</t>
  </si>
  <si>
    <t>SATURNINA</t>
  </si>
  <si>
    <t>VERGARA</t>
  </si>
  <si>
    <t>16-67-24-022-000032</t>
  </si>
  <si>
    <t>FLORES</t>
  </si>
  <si>
    <t>MARIETA</t>
  </si>
  <si>
    <t>16-02-02-039-000015</t>
  </si>
  <si>
    <t>BELOHAN</t>
  </si>
  <si>
    <t>ROSIE</t>
  </si>
  <si>
    <t>MACABINLAR</t>
  </si>
  <si>
    <t>16-67-24-005-000110</t>
  </si>
  <si>
    <t>BENES</t>
  </si>
  <si>
    <t>ROSALYN</t>
  </si>
  <si>
    <t>YUNGCO</t>
  </si>
  <si>
    <t>16-02-02-056-000027</t>
  </si>
  <si>
    <t>BERDIJO</t>
  </si>
  <si>
    <t>ALEX</t>
  </si>
  <si>
    <t>MACARAT</t>
  </si>
  <si>
    <t>16-67-24-037-000124</t>
  </si>
  <si>
    <t>LAUREJAS</t>
  </si>
  <si>
    <t>16-67-24-022-000002</t>
  </si>
  <si>
    <t>BERNALDEZ</t>
  </si>
  <si>
    <t>ANASTACIO JR.</t>
  </si>
  <si>
    <t>FLORENDA</t>
  </si>
  <si>
    <t>DELEGENCIA</t>
  </si>
  <si>
    <t>16-67-24-026-000039</t>
  </si>
  <si>
    <t>BESARIO</t>
  </si>
  <si>
    <t>ALPER</t>
  </si>
  <si>
    <t>GALVE</t>
  </si>
  <si>
    <t>16-067-24-022-000001</t>
  </si>
  <si>
    <t>16-67-24-022-000071</t>
  </si>
  <si>
    <t>ANTALLAN</t>
  </si>
  <si>
    <t>16-67-24-022-000125</t>
  </si>
  <si>
    <t>JOSE</t>
  </si>
  <si>
    <t>CEDRO</t>
  </si>
  <si>
    <t>16-67-24-067-000080</t>
  </si>
  <si>
    <t>MALIKSE</t>
  </si>
  <si>
    <t>16-68-18-005-000012</t>
  </si>
  <si>
    <t>ESCRUPOLO</t>
  </si>
  <si>
    <t>16-67-24-067-000135</t>
  </si>
  <si>
    <t>BETANIO</t>
  </si>
  <si>
    <t>OMOS</t>
  </si>
  <si>
    <t>16-67-24-043-000023</t>
  </si>
  <si>
    <t>BEVERA</t>
  </si>
  <si>
    <t>BERNARD</t>
  </si>
  <si>
    <t>16-67-24-067-000007</t>
  </si>
  <si>
    <t>BINONGO</t>
  </si>
  <si>
    <t>MARIA</t>
  </si>
  <si>
    <t>IMALAY</t>
  </si>
  <si>
    <t>16-85-07-002-000102</t>
  </si>
  <si>
    <t>BIOL</t>
  </si>
  <si>
    <t>JOSE JR</t>
  </si>
  <si>
    <t>SOLANA</t>
  </si>
  <si>
    <t>HERMOSO</t>
  </si>
  <si>
    <t>VICENTE JR.</t>
  </si>
  <si>
    <t>BOLAIER</t>
  </si>
  <si>
    <t>16-02-02-060-000283</t>
  </si>
  <si>
    <t>BOLANDRINA</t>
  </si>
  <si>
    <t>FELICISIMO</t>
  </si>
  <si>
    <t>GUARTE</t>
  </si>
  <si>
    <t>16-67-24-017-000073</t>
  </si>
  <si>
    <t>AVELINO</t>
  </si>
  <si>
    <t>16-67-24-017-000082</t>
  </si>
  <si>
    <t>BONCALES</t>
  </si>
  <si>
    <t>MARCOS</t>
  </si>
  <si>
    <t>CERELEGIA</t>
  </si>
  <si>
    <t xml:space="preserve">RENATO </t>
  </si>
  <si>
    <t>16-02-07-002-000107</t>
  </si>
  <si>
    <t>BONGCALES</t>
  </si>
  <si>
    <t>LUDIVINA</t>
  </si>
  <si>
    <t>LAPIZ</t>
  </si>
  <si>
    <t>16-02-07-002-000144</t>
  </si>
  <si>
    <t>BONGHELINO</t>
  </si>
  <si>
    <t>SUMALINOG</t>
  </si>
  <si>
    <t>SANTA CRUZ (POB.)</t>
  </si>
  <si>
    <t>BONITE</t>
  </si>
  <si>
    <t>ASEBAR</t>
  </si>
  <si>
    <t>16-85-07-009-000014</t>
  </si>
  <si>
    <t>BORIMBAO</t>
  </si>
  <si>
    <t>OREGENIS</t>
  </si>
  <si>
    <t>16-67-24-022-000044</t>
  </si>
  <si>
    <t>MALIG-ON</t>
  </si>
  <si>
    <t>16-67-24-034-000501</t>
  </si>
  <si>
    <t>FELIPA</t>
  </si>
  <si>
    <t>LANGIT</t>
  </si>
  <si>
    <t>16-67-24-034-000052</t>
  </si>
  <si>
    <t>BOTRON</t>
  </si>
  <si>
    <t>FELICITAS</t>
  </si>
  <si>
    <t>YANGCO</t>
  </si>
  <si>
    <t>16-67-02-005-000076</t>
  </si>
  <si>
    <t>BRIGOLE</t>
  </si>
  <si>
    <t xml:space="preserve">GEMMA </t>
  </si>
  <si>
    <t>16-02-02-060-000322</t>
  </si>
  <si>
    <t>BRIGOLI</t>
  </si>
  <si>
    <t>KYREX</t>
  </si>
  <si>
    <t>PASAY</t>
  </si>
  <si>
    <t>INSO</t>
  </si>
  <si>
    <t>FRANKLIN</t>
  </si>
  <si>
    <t>16-02-02-064-000186</t>
  </si>
  <si>
    <t>NICK</t>
  </si>
  <si>
    <t>PEGARES</t>
  </si>
  <si>
    <t>16-67-24-032-000031</t>
  </si>
  <si>
    <t>16-067-24-032-000001</t>
  </si>
  <si>
    <t>VICENTE</t>
  </si>
  <si>
    <t>EDRADAN</t>
  </si>
  <si>
    <t>16-67-24-032-000011</t>
  </si>
  <si>
    <t>BUICO</t>
  </si>
  <si>
    <t>TUYOR</t>
  </si>
  <si>
    <t>16-67-24-013-000030</t>
  </si>
  <si>
    <t>BURDAS</t>
  </si>
  <si>
    <t>RONALYN</t>
  </si>
  <si>
    <t>TABAT</t>
  </si>
  <si>
    <t>BUTRON</t>
  </si>
  <si>
    <t>JENILYN</t>
  </si>
  <si>
    <t>ANCAJAS</t>
  </si>
  <si>
    <t>16-67-24-066-000222</t>
  </si>
  <si>
    <t>VICTORIA</t>
  </si>
  <si>
    <t xml:space="preserve">PAMERON </t>
  </si>
  <si>
    <t>16-03-10-003-000094</t>
  </si>
  <si>
    <t>CABAJES</t>
  </si>
  <si>
    <t>ALBERTO</t>
  </si>
  <si>
    <t>URQUIA</t>
  </si>
  <si>
    <t>16-67-24-032-000028</t>
  </si>
  <si>
    <t xml:space="preserve">DEMETRIO </t>
  </si>
  <si>
    <t>LASCO</t>
  </si>
  <si>
    <t>16-85-07-004-000035</t>
  </si>
  <si>
    <t>SANNY</t>
  </si>
  <si>
    <t>CONALES</t>
  </si>
  <si>
    <t>16-85-07-004-000040</t>
  </si>
  <si>
    <t>SARRIEL</t>
  </si>
  <si>
    <t>CABASA</t>
  </si>
  <si>
    <t>CARLOS</t>
  </si>
  <si>
    <t>16-67-24-013-000157</t>
  </si>
  <si>
    <t>16-67-24-013-000217</t>
  </si>
  <si>
    <t>REYNERIO</t>
  </si>
  <si>
    <t>JUBAC</t>
  </si>
  <si>
    <t>16-67-24-013-000236</t>
  </si>
  <si>
    <t>CABATO</t>
  </si>
  <si>
    <t>RONNEL</t>
  </si>
  <si>
    <t>JAWOD</t>
  </si>
  <si>
    <t>CABAï¿½A</t>
  </si>
  <si>
    <t>LANGGING</t>
  </si>
  <si>
    <t>VERUELA</t>
  </si>
  <si>
    <t>LA FORTUNA</t>
  </si>
  <si>
    <t>CABORUBIAS</t>
  </si>
  <si>
    <t>SABRINA</t>
  </si>
  <si>
    <t>ANICO</t>
  </si>
  <si>
    <t>JAMILYN</t>
  </si>
  <si>
    <t>MOLAVE</t>
  </si>
  <si>
    <t>CAGADAS</t>
  </si>
  <si>
    <t>DELA SIERRA</t>
  </si>
  <si>
    <t>16-67-02-005-000107</t>
  </si>
  <si>
    <t>CAINTOY</t>
  </si>
  <si>
    <t>G</t>
  </si>
  <si>
    <t>16-67-02-007-000152</t>
  </si>
  <si>
    <t xml:space="preserve">JOCELYN </t>
  </si>
  <si>
    <t>ALIWANAG</t>
  </si>
  <si>
    <t>16-67-02-005-000231</t>
  </si>
  <si>
    <t>CALAMBA</t>
  </si>
  <si>
    <t>ACABO</t>
  </si>
  <si>
    <t>16-67-02-005-000024</t>
  </si>
  <si>
    <t>CALIMBO</t>
  </si>
  <si>
    <t>RIZALDE</t>
  </si>
  <si>
    <t>CUSTODIO</t>
  </si>
  <si>
    <t>16-67-24-066-000030</t>
  </si>
  <si>
    <t>JAMINAL</t>
  </si>
  <si>
    <t>EULALIO</t>
  </si>
  <si>
    <t>16-02-02-064-000227</t>
  </si>
  <si>
    <t>CALINAWAN</t>
  </si>
  <si>
    <t>CHARLSTON</t>
  </si>
  <si>
    <t>BALCOS</t>
  </si>
  <si>
    <t>16-67-24-003-000182</t>
  </si>
  <si>
    <t>LAMBAN</t>
  </si>
  <si>
    <t>TITO</t>
  </si>
  <si>
    <t>SARANIANA</t>
  </si>
  <si>
    <t>16-02-02-022-000030</t>
  </si>
  <si>
    <t>ARNOLD LOUIS</t>
  </si>
  <si>
    <t>UY</t>
  </si>
  <si>
    <t>CAMARINES</t>
  </si>
  <si>
    <t>SUSAN</t>
  </si>
  <si>
    <t>16-02-02-056-000034</t>
  </si>
  <si>
    <t>CAMATURA</t>
  </si>
  <si>
    <t>CASABA</t>
  </si>
  <si>
    <t>16-02-02-060-000327</t>
  </si>
  <si>
    <t>LANCERO</t>
  </si>
  <si>
    <t>SHERYL</t>
  </si>
  <si>
    <t>16-02-02-064-000138</t>
  </si>
  <si>
    <t xml:space="preserve">MARCELO </t>
  </si>
  <si>
    <t>ERAZO</t>
  </si>
  <si>
    <t>16-67-11-012-000066</t>
  </si>
  <si>
    <t>URBANO</t>
  </si>
  <si>
    <t>16-67-02-004-000001</t>
  </si>
  <si>
    <t>CANDILAS</t>
  </si>
  <si>
    <t>DIEZ</t>
  </si>
  <si>
    <t>16-67-24-037-000029</t>
  </si>
  <si>
    <t>CANDOLE</t>
  </si>
  <si>
    <t>ANI</t>
  </si>
  <si>
    <t>CANICO</t>
  </si>
  <si>
    <t>RICHIE</t>
  </si>
  <si>
    <t>ROCULAS</t>
  </si>
  <si>
    <t>CANTILLAS</t>
  </si>
  <si>
    <t>LORDITO</t>
  </si>
  <si>
    <t>16-67-24-017-000034</t>
  </si>
  <si>
    <t>LUCRESIA</t>
  </si>
  <si>
    <t>16-67-24-017-000236</t>
  </si>
  <si>
    <t>MABALE</t>
  </si>
  <si>
    <t>PUGOY</t>
  </si>
  <si>
    <t>16-02-02-064-000058</t>
  </si>
  <si>
    <t>RICARDO JR</t>
  </si>
  <si>
    <t>AYA-AY</t>
  </si>
  <si>
    <t>JUANA</t>
  </si>
  <si>
    <t>16-67-24-037-000059</t>
  </si>
  <si>
    <t>CASAPAO</t>
  </si>
  <si>
    <t>MANOLITO</t>
  </si>
  <si>
    <t>LOSORATA</t>
  </si>
  <si>
    <t>16-02-02-009-000164</t>
  </si>
  <si>
    <t>CASAS</t>
  </si>
  <si>
    <t>AGUSTIN</t>
  </si>
  <si>
    <t>BF-16-085-07-050-00000007</t>
  </si>
  <si>
    <t>16-67-24-037-000003</t>
  </si>
  <si>
    <t>CASISON</t>
  </si>
  <si>
    <t>JOEAN</t>
  </si>
  <si>
    <t>PANGAN</t>
  </si>
  <si>
    <t>16-02-02-064-000260</t>
  </si>
  <si>
    <t>LAPAS</t>
  </si>
  <si>
    <t>16-02-02-064-000121</t>
  </si>
  <si>
    <t>CASTRO</t>
  </si>
  <si>
    <t>LEONITO</t>
  </si>
  <si>
    <t>16-67-24-006-000341</t>
  </si>
  <si>
    <t xml:space="preserve">CASTROMAYOR </t>
  </si>
  <si>
    <t>LUZVIMINDA</t>
  </si>
  <si>
    <t xml:space="preserve">POSTRADO </t>
  </si>
  <si>
    <t>16-03-13-004-000253</t>
  </si>
  <si>
    <t>CATAD</t>
  </si>
  <si>
    <t>MILQUIADES</t>
  </si>
  <si>
    <t>16-67-24-066-000089</t>
  </si>
  <si>
    <t>MALUPA</t>
  </si>
  <si>
    <t>16-02-02-056-000357</t>
  </si>
  <si>
    <t>JOSE JR.</t>
  </si>
  <si>
    <t>SALISE</t>
  </si>
  <si>
    <t>16-02-02-064-000089</t>
  </si>
  <si>
    <t>JILLVY</t>
  </si>
  <si>
    <t>16-02-02-064-000074</t>
  </si>
  <si>
    <t>JOSE SR</t>
  </si>
  <si>
    <t>GANTALA</t>
  </si>
  <si>
    <t>JOFFE</t>
  </si>
  <si>
    <t>ATO</t>
  </si>
  <si>
    <t>16-02-02-064-000109</t>
  </si>
  <si>
    <t>CATELO</t>
  </si>
  <si>
    <t>ROTCHIEL</t>
  </si>
  <si>
    <t>16-67-24-067-000068</t>
  </si>
  <si>
    <t>CATIPOL</t>
  </si>
  <si>
    <t>VILLIONES</t>
  </si>
  <si>
    <t>CATO</t>
  </si>
  <si>
    <t>ADORA</t>
  </si>
  <si>
    <t>GOLIAT</t>
  </si>
  <si>
    <t>16-67-24-037-000110</t>
  </si>
  <si>
    <t>CAVITE</t>
  </si>
  <si>
    <t>HELEN</t>
  </si>
  <si>
    <t>JENNY</t>
  </si>
  <si>
    <t>16-67-24-005-000044</t>
  </si>
  <si>
    <t>JOJIE</t>
  </si>
  <si>
    <t>16-67-24-005-000017</t>
  </si>
  <si>
    <t>MARIA CRISTINA</t>
  </si>
  <si>
    <t>16-67-24-037-000130</t>
  </si>
  <si>
    <t>16-67-24-005-000191</t>
  </si>
  <si>
    <t>CAWALE</t>
  </si>
  <si>
    <t>ROSITO JR.</t>
  </si>
  <si>
    <t>EBUï¿½A</t>
  </si>
  <si>
    <t>CAYASA</t>
  </si>
  <si>
    <t>PAULAR</t>
  </si>
  <si>
    <t>16-67-24-067-000061</t>
  </si>
  <si>
    <t>MARAGANA</t>
  </si>
  <si>
    <t>LORITO JR.</t>
  </si>
  <si>
    <t>DEPAS</t>
  </si>
  <si>
    <t>LEONIDA</t>
  </si>
  <si>
    <t>BASA</t>
  </si>
  <si>
    <t>SALVE</t>
  </si>
  <si>
    <t>BORBE</t>
  </si>
  <si>
    <t>ZORAYDA</t>
  </si>
  <si>
    <t>PLACEROS</t>
  </si>
  <si>
    <t>CELERINOS</t>
  </si>
  <si>
    <t>ELMIE</t>
  </si>
  <si>
    <t>APDIAN</t>
  </si>
  <si>
    <t>10-43-01-010-000117</t>
  </si>
  <si>
    <t>CELESTINO</t>
  </si>
  <si>
    <t>CLAUDINE</t>
  </si>
  <si>
    <t>COL</t>
  </si>
  <si>
    <t>16-67-24-034-000557</t>
  </si>
  <si>
    <t>16-67-24-017-000246</t>
  </si>
  <si>
    <t>PHILIPS</t>
  </si>
  <si>
    <t>CENTINALES</t>
  </si>
  <si>
    <t>ATANACIO</t>
  </si>
  <si>
    <t>SUBRETUDO</t>
  </si>
  <si>
    <t>16-02-07-002-000094</t>
  </si>
  <si>
    <t>JENNYLEN</t>
  </si>
  <si>
    <t>PERERO</t>
  </si>
  <si>
    <t>CERVANTES</t>
  </si>
  <si>
    <t>CRESENTE</t>
  </si>
  <si>
    <t>16-67-24-032-000024</t>
  </si>
  <si>
    <t>PRIMROSE</t>
  </si>
  <si>
    <t>16-67-24-067-000127</t>
  </si>
  <si>
    <t>RICHARD</t>
  </si>
  <si>
    <t>BARBA</t>
  </si>
  <si>
    <t>16-67-24-032-000098</t>
  </si>
  <si>
    <t>RIQUIFEL</t>
  </si>
  <si>
    <t>NORBERTE</t>
  </si>
  <si>
    <t>GARRY</t>
  </si>
  <si>
    <t>CANDELAS</t>
  </si>
  <si>
    <t>JAIZIEH KHEMB</t>
  </si>
  <si>
    <t>16-304-00-060-000003</t>
  </si>
  <si>
    <t>OPO</t>
  </si>
  <si>
    <t>16-02-02-064-000250</t>
  </si>
  <si>
    <t>ORQUIZ</t>
  </si>
  <si>
    <t>PERLA</t>
  </si>
  <si>
    <t>PUNAY</t>
  </si>
  <si>
    <t>16-304-00-060-000021</t>
  </si>
  <si>
    <t>CINCO</t>
  </si>
  <si>
    <t>MARCIAL</t>
  </si>
  <si>
    <t>BALDOMAR</t>
  </si>
  <si>
    <t>16-67-24-066-000069</t>
  </si>
  <si>
    <t>SELYN</t>
  </si>
  <si>
    <t>TURNO</t>
  </si>
  <si>
    <t>16-67-24-005-000051</t>
  </si>
  <si>
    <t>CLAVE</t>
  </si>
  <si>
    <t>MARCIANA</t>
  </si>
  <si>
    <t>COLINDONG</t>
  </si>
  <si>
    <t>HERCULANO</t>
  </si>
  <si>
    <t>MIGULLAS</t>
  </si>
  <si>
    <t>16-67-24-065-000035</t>
  </si>
  <si>
    <t>COLLADO</t>
  </si>
  <si>
    <t>EMELIA</t>
  </si>
  <si>
    <t>PARAJES</t>
  </si>
  <si>
    <t>16-67-06-003-000149</t>
  </si>
  <si>
    <t>COMON</t>
  </si>
  <si>
    <t>AFRICANO JR.</t>
  </si>
  <si>
    <t>CONOR</t>
  </si>
  <si>
    <t>MABALOS</t>
  </si>
  <si>
    <t>CONSTANTINO</t>
  </si>
  <si>
    <t>JIMILYN</t>
  </si>
  <si>
    <t>16-67-24-067-000054</t>
  </si>
  <si>
    <t>CORALAT</t>
  </si>
  <si>
    <t>LAID</t>
  </si>
  <si>
    <t>ROBERTO JR.</t>
  </si>
  <si>
    <t>CORDITA</t>
  </si>
  <si>
    <t>ESTERELITA</t>
  </si>
  <si>
    <t>LANCIN</t>
  </si>
  <si>
    <t>FREDDIE</t>
  </si>
  <si>
    <t>BF-16-067-24-310-00000001</t>
  </si>
  <si>
    <t>CABULAO</t>
  </si>
  <si>
    <t>THEOLA</t>
  </si>
  <si>
    <t>16-67-24-022-000045</t>
  </si>
  <si>
    <t>CORREOS</t>
  </si>
  <si>
    <t>SARIGUMBA</t>
  </si>
  <si>
    <t>16-02-02-064-000004</t>
  </si>
  <si>
    <t>COYNO</t>
  </si>
  <si>
    <t xml:space="preserve">LORENZO </t>
  </si>
  <si>
    <t>MARATAS</t>
  </si>
  <si>
    <t>CRISOLOGO</t>
  </si>
  <si>
    <t>CHRISTIAN MEL</t>
  </si>
  <si>
    <t>16-67-24-017-000017</t>
  </si>
  <si>
    <t>PAGAURA</t>
  </si>
  <si>
    <t>16-67-24-032-000002</t>
  </si>
  <si>
    <t>LILYBETH</t>
  </si>
  <si>
    <t>MA. PURA</t>
  </si>
  <si>
    <t>MARIA ERNA</t>
  </si>
  <si>
    <t>16-67-24-017-000191</t>
  </si>
  <si>
    <t>CUADRAZAL</t>
  </si>
  <si>
    <t>AQUILINA</t>
  </si>
  <si>
    <t>ALMODAL</t>
  </si>
  <si>
    <t>16-67-24-066-000013</t>
  </si>
  <si>
    <t>POLENCIO</t>
  </si>
  <si>
    <t>EDUSMA</t>
  </si>
  <si>
    <t>ALMA</t>
  </si>
  <si>
    <t>16-67-24-067-000144</t>
  </si>
  <si>
    <t>CUENTO</t>
  </si>
  <si>
    <t>JERAMIE</t>
  </si>
  <si>
    <t>RUBIN</t>
  </si>
  <si>
    <t>16-067-24-017-000011</t>
  </si>
  <si>
    <t>OTERO</t>
  </si>
  <si>
    <t>16-02-02-064-000193</t>
  </si>
  <si>
    <t>DAGAAS</t>
  </si>
  <si>
    <t>16-67-24-065-000050</t>
  </si>
  <si>
    <t>DAGOC</t>
  </si>
  <si>
    <t>RONILO</t>
  </si>
  <si>
    <t>HADMAN</t>
  </si>
  <si>
    <t>10-43-01-007-000072</t>
  </si>
  <si>
    <t>DALAGAN</t>
  </si>
  <si>
    <t>ELVIRO</t>
  </si>
  <si>
    <t>PAQUIRING</t>
  </si>
  <si>
    <t>16-67-02-005-000067</t>
  </si>
  <si>
    <t>HERMECIA</t>
  </si>
  <si>
    <t>GALBO</t>
  </si>
  <si>
    <t>DANGUIS</t>
  </si>
  <si>
    <t>JEFFER</t>
  </si>
  <si>
    <t>16-03-05-003-000488</t>
  </si>
  <si>
    <t>DAPOSALA</t>
  </si>
  <si>
    <t>ALVESO</t>
  </si>
  <si>
    <t>DAY</t>
  </si>
  <si>
    <t>MESIAS</t>
  </si>
  <si>
    <t>ELNA</t>
  </si>
  <si>
    <t>CABAYA</t>
  </si>
  <si>
    <t>DE LEON</t>
  </si>
  <si>
    <t>DUENA</t>
  </si>
  <si>
    <t>16-67-24-031-000219</t>
  </si>
  <si>
    <t>SERAPION</t>
  </si>
  <si>
    <t>16-02-02-064-000130</t>
  </si>
  <si>
    <t>DEBALOS</t>
  </si>
  <si>
    <t>TAYCO</t>
  </si>
  <si>
    <t>16-85-07-005-000038</t>
  </si>
  <si>
    <t>DEDUMO</t>
  </si>
  <si>
    <t>JUNDIE</t>
  </si>
  <si>
    <t>16-85-07-004-000084</t>
  </si>
  <si>
    <t>AZUCENA</t>
  </si>
  <si>
    <t>16-67-24-043-000020</t>
  </si>
  <si>
    <t>EUBERTO</t>
  </si>
  <si>
    <t>HERANDOY</t>
  </si>
  <si>
    <t>16-67-24-043-000168</t>
  </si>
  <si>
    <t>ULDARICO</t>
  </si>
  <si>
    <t>16-67-24-043-000021</t>
  </si>
  <si>
    <t>16-67-24-034-000635</t>
  </si>
  <si>
    <t>EUGENE   JR.</t>
  </si>
  <si>
    <t>PERCITA</t>
  </si>
  <si>
    <t>16-67-24-031-000081</t>
  </si>
  <si>
    <t>DEL ROSARIO</t>
  </si>
  <si>
    <t>SOCRATES</t>
  </si>
  <si>
    <t>LAROGA</t>
  </si>
  <si>
    <t>SALVADOR JR.</t>
  </si>
  <si>
    <t>BARIACION</t>
  </si>
  <si>
    <t>FEDERICA</t>
  </si>
  <si>
    <t>16-067-24-022-000007</t>
  </si>
  <si>
    <t>QUEZON</t>
  </si>
  <si>
    <t>ROMELITO</t>
  </si>
  <si>
    <t>16-67-24-036-000017</t>
  </si>
  <si>
    <t>16-67-24-037-000082</t>
  </si>
  <si>
    <t>DELAMIDE</t>
  </si>
  <si>
    <t>AL</t>
  </si>
  <si>
    <t>CATULAY</t>
  </si>
  <si>
    <t>16-67-24-032-000057</t>
  </si>
  <si>
    <t>SAN PEDRO</t>
  </si>
  <si>
    <t>DESCARTIN</t>
  </si>
  <si>
    <t>NOLIE</t>
  </si>
  <si>
    <t>16-67-01-007-000132</t>
  </si>
  <si>
    <t>DEVEYRA</t>
  </si>
  <si>
    <t>PEREZ</t>
  </si>
  <si>
    <t>16-67-24-067-000110</t>
  </si>
  <si>
    <t>ANGAS</t>
  </si>
  <si>
    <t>DEVILLENA</t>
  </si>
  <si>
    <t>ALEM</t>
  </si>
  <si>
    <t>DELATINA</t>
  </si>
  <si>
    <t>DIANING</t>
  </si>
  <si>
    <t>RAMON</t>
  </si>
  <si>
    <t>MERCY</t>
  </si>
  <si>
    <t>MALAZA</t>
  </si>
  <si>
    <t>16-67-19-011-000206</t>
  </si>
  <si>
    <t>LOWELA</t>
  </si>
  <si>
    <t>16-67-24-037-000176</t>
  </si>
  <si>
    <t>PALCOTO</t>
  </si>
  <si>
    <t>MARCELA</t>
  </si>
  <si>
    <t>16-02-02-064-000114</t>
  </si>
  <si>
    <t>EDUARDO</t>
  </si>
  <si>
    <t>16-67-24-005-000202</t>
  </si>
  <si>
    <t>VENIAL</t>
  </si>
  <si>
    <t>MAT</t>
  </si>
  <si>
    <t xml:space="preserve"> SABELLITA</t>
  </si>
  <si>
    <t>16-02-07-006-000040</t>
  </si>
  <si>
    <t>ANSIT</t>
  </si>
  <si>
    <t>16-67-24-005-000043</t>
  </si>
  <si>
    <t xml:space="preserve">DIZON </t>
  </si>
  <si>
    <t xml:space="preserve">ROLINDY </t>
  </si>
  <si>
    <t>16-67-24-017-000261</t>
  </si>
  <si>
    <t>DIZON</t>
  </si>
  <si>
    <t>ELORDE</t>
  </si>
  <si>
    <t>TRONGCO</t>
  </si>
  <si>
    <t>16-67-24-017-000097</t>
  </si>
  <si>
    <t>16-67-24-017-000137</t>
  </si>
  <si>
    <t>16-67-24-017-000018</t>
  </si>
  <si>
    <t>DOLERA</t>
  </si>
  <si>
    <t>FILOMENA</t>
  </si>
  <si>
    <t>16-02-02-009-000212</t>
  </si>
  <si>
    <t>DOMO</t>
  </si>
  <si>
    <t>CHRISTINE HIYASMIN</t>
  </si>
  <si>
    <t>ARCIAGA</t>
  </si>
  <si>
    <t>16-67-24-026-000002</t>
  </si>
  <si>
    <t>MAYGATASAN</t>
  </si>
  <si>
    <t>DORILAG</t>
  </si>
  <si>
    <t>DEDEL</t>
  </si>
  <si>
    <t>16-03-01-011-000126</t>
  </si>
  <si>
    <t>PALLES</t>
  </si>
  <si>
    <t>TUBURAN</t>
  </si>
  <si>
    <t>16-02-02-064-000160</t>
  </si>
  <si>
    <t>DUARTE</t>
  </si>
  <si>
    <t>FERDIE</t>
  </si>
  <si>
    <t>16-67-24-036-000112</t>
  </si>
  <si>
    <t>ROBERTO</t>
  </si>
  <si>
    <t>16-67-24-037-000018</t>
  </si>
  <si>
    <t>BOQUE</t>
  </si>
  <si>
    <t>EBAJAY</t>
  </si>
  <si>
    <t>RINO</t>
  </si>
  <si>
    <t>JABUTAY</t>
  </si>
  <si>
    <t>10-43-07-011-000097</t>
  </si>
  <si>
    <t>EBE</t>
  </si>
  <si>
    <t>ECHAVEZ</t>
  </si>
  <si>
    <t>EBABACOL</t>
  </si>
  <si>
    <t>10-43-01-010-000018</t>
  </si>
  <si>
    <t>MIGUEL</t>
  </si>
  <si>
    <t>16-67-24-017-000066</t>
  </si>
  <si>
    <t>EDRAL</t>
  </si>
  <si>
    <t>VALENTINA</t>
  </si>
  <si>
    <t>PACATANG</t>
  </si>
  <si>
    <t>16-67-24-067-000125</t>
  </si>
  <si>
    <t>ROMEL</t>
  </si>
  <si>
    <t>16-85-07-005-000022</t>
  </si>
  <si>
    <t>VIVIAN</t>
  </si>
  <si>
    <t>BOQUILON</t>
  </si>
  <si>
    <t>EJANDRA</t>
  </si>
  <si>
    <t>ELANDAG</t>
  </si>
  <si>
    <t>16-67-19-004-000073</t>
  </si>
  <si>
    <t>ELAPE</t>
  </si>
  <si>
    <t>PROMENCIO</t>
  </si>
  <si>
    <t>LIPIO</t>
  </si>
  <si>
    <t xml:space="preserve">ELICO </t>
  </si>
  <si>
    <t>EDITO</t>
  </si>
  <si>
    <t>16-67-02-005-000023</t>
  </si>
  <si>
    <t>16-67-02-005-000050</t>
  </si>
  <si>
    <t>JOHN ANTHONY</t>
  </si>
  <si>
    <t>16-67-02-005-000289</t>
  </si>
  <si>
    <t>JUNJIE</t>
  </si>
  <si>
    <t>BUTCON</t>
  </si>
  <si>
    <t>EMAR</t>
  </si>
  <si>
    <t>10-43-01-010-000065</t>
  </si>
  <si>
    <t>VERLINDA</t>
  </si>
  <si>
    <t>ENTOC</t>
  </si>
  <si>
    <t>16-67-06-007-000053</t>
  </si>
  <si>
    <t>ENGASTON</t>
  </si>
  <si>
    <t>ANIANO</t>
  </si>
  <si>
    <t>MALUBAY</t>
  </si>
  <si>
    <t>JEROME</t>
  </si>
  <si>
    <t>SAPA</t>
  </si>
  <si>
    <t>MELOGEN</t>
  </si>
  <si>
    <t>16-67-06-011-000008</t>
  </si>
  <si>
    <t>EQUINAN</t>
  </si>
  <si>
    <t>FACTO</t>
  </si>
  <si>
    <t>16-03-10-001-000133</t>
  </si>
  <si>
    <t>16-67-24-035-000006</t>
  </si>
  <si>
    <t>NERLY</t>
  </si>
  <si>
    <t>PONGCOL</t>
  </si>
  <si>
    <t>16-67-24-003-000215</t>
  </si>
  <si>
    <t>ESCALANTE</t>
  </si>
  <si>
    <t>ROBELYN</t>
  </si>
  <si>
    <t>PAREJA</t>
  </si>
  <si>
    <t>16-67-24-005-000055</t>
  </si>
  <si>
    <t>ALBURO</t>
  </si>
  <si>
    <t>16-67-24-067-000107</t>
  </si>
  <si>
    <t>ESCARTIN</t>
  </si>
  <si>
    <t>SUAN</t>
  </si>
  <si>
    <t>ROMULO</t>
  </si>
  <si>
    <t>16-02-02-064-000080</t>
  </si>
  <si>
    <t>GIPAL</t>
  </si>
  <si>
    <t>16-67-24-032-000025</t>
  </si>
  <si>
    <t>ESPAYOS</t>
  </si>
  <si>
    <t>DALINOG</t>
  </si>
  <si>
    <t>16-02-02-060-000227</t>
  </si>
  <si>
    <t>ELVIRA</t>
  </si>
  <si>
    <t>16-67-24-037-000137</t>
  </si>
  <si>
    <t>16-67-24-037-000145</t>
  </si>
  <si>
    <t>MARCELITO</t>
  </si>
  <si>
    <t>AREAR</t>
  </si>
  <si>
    <t>16-067-24-037-000003</t>
  </si>
  <si>
    <t>PEPITA</t>
  </si>
  <si>
    <t>CLOR</t>
  </si>
  <si>
    <t>16-67-24-037-000075</t>
  </si>
  <si>
    <t>16-67-24-017-000062</t>
  </si>
  <si>
    <t>JUAN</t>
  </si>
  <si>
    <t>TUBIANO</t>
  </si>
  <si>
    <t>16-67-06-003-000048</t>
  </si>
  <si>
    <t>ESPRAGUERA</t>
  </si>
  <si>
    <t>ANTONINO</t>
  </si>
  <si>
    <t>10-43-01-010-000073</t>
  </si>
  <si>
    <t>SULAPAS</t>
  </si>
  <si>
    <t>16-67-24-065-000051</t>
  </si>
  <si>
    <t>ESTOQUE</t>
  </si>
  <si>
    <t>FLORENCIO</t>
  </si>
  <si>
    <t>ROSELLER</t>
  </si>
  <si>
    <t>ESTRADA</t>
  </si>
  <si>
    <t>HENRY  JR.</t>
  </si>
  <si>
    <t>NORBERTA</t>
  </si>
  <si>
    <t>16-67-24-017-000007</t>
  </si>
  <si>
    <t>RICARDO SR.</t>
  </si>
  <si>
    <t>FELICIO</t>
  </si>
  <si>
    <t>LUZMINDA</t>
  </si>
  <si>
    <t>16-67-24-037-000067</t>
  </si>
  <si>
    <t>FEROL</t>
  </si>
  <si>
    <t>EVE</t>
  </si>
  <si>
    <t>PEDELINO</t>
  </si>
  <si>
    <t>16-67-24-032-000023</t>
  </si>
  <si>
    <t>16-67-24-032-000108</t>
  </si>
  <si>
    <t>PASTOR</t>
  </si>
  <si>
    <t>16-02-02-077-000039</t>
  </si>
  <si>
    <t>FLORIA</t>
  </si>
  <si>
    <t>DOROTEO</t>
  </si>
  <si>
    <t>16-67-24-017-000083</t>
  </si>
  <si>
    <t>BULANON</t>
  </si>
  <si>
    <t>16-03-10-003-000567</t>
  </si>
  <si>
    <t>FUENTES</t>
  </si>
  <si>
    <t>JHONALYN</t>
  </si>
  <si>
    <t>16-67-24-037-000181</t>
  </si>
  <si>
    <t>JUANILIO</t>
  </si>
  <si>
    <t>16-85-07-002-000213</t>
  </si>
  <si>
    <t>FUNA</t>
  </si>
  <si>
    <t>SUMAGPAO</t>
  </si>
  <si>
    <t>16-03-08-008-000292</t>
  </si>
  <si>
    <t>GA</t>
  </si>
  <si>
    <t>ALILO</t>
  </si>
  <si>
    <t>16-67-24-031-000830</t>
  </si>
  <si>
    <t>GADES</t>
  </si>
  <si>
    <t>LUCILA</t>
  </si>
  <si>
    <t>LUTAO</t>
  </si>
  <si>
    <t>16-67-24-037-000161</t>
  </si>
  <si>
    <t>VILMAR</t>
  </si>
  <si>
    <t>REBEL</t>
  </si>
  <si>
    <t>16-02-02-064-000097</t>
  </si>
  <si>
    <t>DELA ROSA</t>
  </si>
  <si>
    <t>16-02-02-060-000103</t>
  </si>
  <si>
    <t>QUIï¿½ONES</t>
  </si>
  <si>
    <t xml:space="preserve">EDITHA </t>
  </si>
  <si>
    <t>16-02-02-082-000401</t>
  </si>
  <si>
    <t>GALARRITA</t>
  </si>
  <si>
    <t>MENDEZ</t>
  </si>
  <si>
    <t>10-43-01-010-000051</t>
  </si>
  <si>
    <t>GALENDES</t>
  </si>
  <si>
    <t>TEODUCIA</t>
  </si>
  <si>
    <t>R.</t>
  </si>
  <si>
    <t>16-67-06-011-000021</t>
  </si>
  <si>
    <t>GALGO</t>
  </si>
  <si>
    <t>CHARLIE</t>
  </si>
  <si>
    <t>ESCALADA</t>
  </si>
  <si>
    <t>16-67-06-003-000042</t>
  </si>
  <si>
    <t>16-67-06-003-000250</t>
  </si>
  <si>
    <t>SEMION</t>
  </si>
  <si>
    <t>VARDELIZA</t>
  </si>
  <si>
    <t>16-003-12-006-000022</t>
  </si>
  <si>
    <t>GALINDEZ</t>
  </si>
  <si>
    <t>DIOMEDES</t>
  </si>
  <si>
    <t>16-67-06-011-000023</t>
  </si>
  <si>
    <t>RIVERA</t>
  </si>
  <si>
    <t>JOMARLO</t>
  </si>
  <si>
    <t>16-02-02-064-000108</t>
  </si>
  <si>
    <t>GANIA</t>
  </si>
  <si>
    <t>RODORA</t>
  </si>
  <si>
    <t>16-67-02-005-000063</t>
  </si>
  <si>
    <t>ANNALO</t>
  </si>
  <si>
    <t>16-67-24-067-000025</t>
  </si>
  <si>
    <t>GATILLO</t>
  </si>
  <si>
    <t>BALENIA</t>
  </si>
  <si>
    <t>16-67-19-004-000028</t>
  </si>
  <si>
    <t>GEDEY</t>
  </si>
  <si>
    <t>BF-16-067-06-070-00000028</t>
  </si>
  <si>
    <t>GESTA</t>
  </si>
  <si>
    <t>ARCELLY</t>
  </si>
  <si>
    <t>16-67-19-004-000161</t>
  </si>
  <si>
    <t>LLENADA</t>
  </si>
  <si>
    <t>16-67-19-004-000046</t>
  </si>
  <si>
    <t>GIBERTAS</t>
  </si>
  <si>
    <t>CONCORDIO</t>
  </si>
  <si>
    <t>16-67-24-065-000019</t>
  </si>
  <si>
    <t>GIER</t>
  </si>
  <si>
    <t>16-02-02-064-000033</t>
  </si>
  <si>
    <t>GIL</t>
  </si>
  <si>
    <t>EUPEï¿½A</t>
  </si>
  <si>
    <t>16-67-02-001-000194</t>
  </si>
  <si>
    <t>GOHIL</t>
  </si>
  <si>
    <t>ENRIQUITA</t>
  </si>
  <si>
    <t>ZAMORA</t>
  </si>
  <si>
    <t>ERESO</t>
  </si>
  <si>
    <t>16-67-24-037-000093</t>
  </si>
  <si>
    <t>GOLGAT</t>
  </si>
  <si>
    <t>ALVIE MAYROSE</t>
  </si>
  <si>
    <t>16-67-24-017-000253</t>
  </si>
  <si>
    <t>16-67-24-037-000242</t>
  </si>
  <si>
    <t>ERNIE CRIS</t>
  </si>
  <si>
    <t xml:space="preserve"> PORTANOBA</t>
  </si>
  <si>
    <t>16-67-24-037-000121</t>
  </si>
  <si>
    <t>GURADILLO</t>
  </si>
  <si>
    <t>16-67-24-067-000187</t>
  </si>
  <si>
    <t>BULABOG</t>
  </si>
  <si>
    <t>16-67-24-037-000172</t>
  </si>
  <si>
    <t>GRUY</t>
  </si>
  <si>
    <t>PUEDAN</t>
  </si>
  <si>
    <t>16-03-13-004-000331</t>
  </si>
  <si>
    <t>GUARIN</t>
  </si>
  <si>
    <t>GENELYN</t>
  </si>
  <si>
    <t>NAAWAN</t>
  </si>
  <si>
    <t>PATAG</t>
  </si>
  <si>
    <t>GUARO</t>
  </si>
  <si>
    <t>HERNANE</t>
  </si>
  <si>
    <t>CONFESOR</t>
  </si>
  <si>
    <t>10-43-20-007-000056</t>
  </si>
  <si>
    <t>MARAMAG</t>
  </si>
  <si>
    <t>BASE CAMP</t>
  </si>
  <si>
    <t>GUERBO</t>
  </si>
  <si>
    <t>JULATON</t>
  </si>
  <si>
    <t>10-13-15-002-000332</t>
  </si>
  <si>
    <t>ROMANO</t>
  </si>
  <si>
    <t>PACITA</t>
  </si>
  <si>
    <t>EJADA</t>
  </si>
  <si>
    <t>GUILLEN</t>
  </si>
  <si>
    <t>GERARDO JR.</t>
  </si>
  <si>
    <t>MOLLANEDA</t>
  </si>
  <si>
    <t>GULTIAN</t>
  </si>
  <si>
    <t>ERLINA</t>
  </si>
  <si>
    <t>SABANDAL</t>
  </si>
  <si>
    <t>16-67-02-003-000017</t>
  </si>
  <si>
    <t>GUMATO</t>
  </si>
  <si>
    <t>HERACLEO</t>
  </si>
  <si>
    <t>SEDA</t>
  </si>
  <si>
    <t>16-85-07-008-000036</t>
  </si>
  <si>
    <t>RANDEL</t>
  </si>
  <si>
    <t>16-67-24-067-000131</t>
  </si>
  <si>
    <t>GUTIERREZ</t>
  </si>
  <si>
    <t>EUGEMMA</t>
  </si>
  <si>
    <t>16-67-24-037-000014</t>
  </si>
  <si>
    <t xml:space="preserve">ROSALIE </t>
  </si>
  <si>
    <t>LEONILA</t>
  </si>
  <si>
    <t>RELLIN</t>
  </si>
  <si>
    <t>BF-16-067-02-010-00000043</t>
  </si>
  <si>
    <t>HAYAO</t>
  </si>
  <si>
    <t>16-85-07-005-000064</t>
  </si>
  <si>
    <t xml:space="preserve">HERMAN </t>
  </si>
  <si>
    <t xml:space="preserve">ARACELI </t>
  </si>
  <si>
    <t xml:space="preserve">D. </t>
  </si>
  <si>
    <t>16-67-24-067-000117</t>
  </si>
  <si>
    <t>ROSAL</t>
  </si>
  <si>
    <t>LEONISA</t>
  </si>
  <si>
    <t>TEJANO</t>
  </si>
  <si>
    <t>16-02-02-064-000101</t>
  </si>
  <si>
    <t>HILO</t>
  </si>
  <si>
    <t>16-02-02-060-000301</t>
  </si>
  <si>
    <t>ELMA</t>
  </si>
  <si>
    <t>16-67-02-005-000010</t>
  </si>
  <si>
    <t>INODIO</t>
  </si>
  <si>
    <t>16-67-24-005-000018</t>
  </si>
  <si>
    <t>SACDALAN</t>
  </si>
  <si>
    <t>16-02-02-060-000214</t>
  </si>
  <si>
    <t>SAGRAGAO</t>
  </si>
  <si>
    <t>LEONOR</t>
  </si>
  <si>
    <t>16-02-02-060-000059</t>
  </si>
  <si>
    <t>16-02-02-064-000029</t>
  </si>
  <si>
    <t>16-67-02-006-000057</t>
  </si>
  <si>
    <t>INSULAT</t>
  </si>
  <si>
    <t>MARIBEL</t>
  </si>
  <si>
    <t>LUZA</t>
  </si>
  <si>
    <t>16-067-11-007-000005</t>
  </si>
  <si>
    <t>INTINO</t>
  </si>
  <si>
    <t>ELMAR</t>
  </si>
  <si>
    <t>GAUDEL</t>
  </si>
  <si>
    <t xml:space="preserve">ARTHURO </t>
  </si>
  <si>
    <t xml:space="preserve">NACUA </t>
  </si>
  <si>
    <t>10-43-07-011-000123</t>
  </si>
  <si>
    <t>JAMERA</t>
  </si>
  <si>
    <t>JONNEL</t>
  </si>
  <si>
    <t>KINALE</t>
  </si>
  <si>
    <t>16-85-05-015-000044</t>
  </si>
  <si>
    <t>ANSELMO</t>
  </si>
  <si>
    <t>16-67-17-002-000017</t>
  </si>
  <si>
    <t>16-67-17-002-000215</t>
  </si>
  <si>
    <t>SARSALE</t>
  </si>
  <si>
    <t>ALEXES</t>
  </si>
  <si>
    <t>16-02-02-060-000362</t>
  </si>
  <si>
    <t>DISELDA</t>
  </si>
  <si>
    <t>16-02-02-060-000186</t>
  </si>
  <si>
    <t>JORIA</t>
  </si>
  <si>
    <t>JOMAR</t>
  </si>
  <si>
    <t>MIKE</t>
  </si>
  <si>
    <t>16-67-24-005-000020</t>
  </si>
  <si>
    <t>JUNIO</t>
  </si>
  <si>
    <t xml:space="preserve">AGRIPINO JR. </t>
  </si>
  <si>
    <t>16-67-24-017-000008</t>
  </si>
  <si>
    <t>BAISA</t>
  </si>
  <si>
    <t>NOVAL</t>
  </si>
  <si>
    <t>16-03-01-030-000207</t>
  </si>
  <si>
    <t>LABIS</t>
  </si>
  <si>
    <t>QUIRINA</t>
  </si>
  <si>
    <t>CAGAMPANG</t>
  </si>
  <si>
    <t>10-43-01-010-000009</t>
  </si>
  <si>
    <t>VICTORIANO</t>
  </si>
  <si>
    <t>FABRE</t>
  </si>
  <si>
    <t>10-43-01-010-000037</t>
  </si>
  <si>
    <t>LACUMBES</t>
  </si>
  <si>
    <t>LODRIANO</t>
  </si>
  <si>
    <t>16-85-07-005-000044</t>
  </si>
  <si>
    <t>LIBAS SUD</t>
  </si>
  <si>
    <t>ROY</t>
  </si>
  <si>
    <t>SALUBRE</t>
  </si>
  <si>
    <t>16-68-16-009-000222</t>
  </si>
  <si>
    <t>LADARAN</t>
  </si>
  <si>
    <t>ARMAN</t>
  </si>
  <si>
    <t>GILDO</t>
  </si>
  <si>
    <t>16-03-01-030-000223</t>
  </si>
  <si>
    <t>ARNULFO</t>
  </si>
  <si>
    <t>NOYA</t>
  </si>
  <si>
    <t>16-03-01-030-000042</t>
  </si>
  <si>
    <t>LAFUENTE</t>
  </si>
  <si>
    <t>CARLO</t>
  </si>
  <si>
    <t>EDER</t>
  </si>
  <si>
    <t>BF-16-067-24-950-00000060</t>
  </si>
  <si>
    <t>LARRA JANE</t>
  </si>
  <si>
    <t>POLIDARIO</t>
  </si>
  <si>
    <t>LAGUNA</t>
  </si>
  <si>
    <t>RAUL JR.</t>
  </si>
  <si>
    <t>DURIAS</t>
  </si>
  <si>
    <t>ROCKY</t>
  </si>
  <si>
    <t>16-67-24-013-000036</t>
  </si>
  <si>
    <t>ULYSSES</t>
  </si>
  <si>
    <t>16-67-17-002-000229</t>
  </si>
  <si>
    <t>NIJAL</t>
  </si>
  <si>
    <t>16-67-17-002-000180</t>
  </si>
  <si>
    <t>KEIN ROBERT</t>
  </si>
  <si>
    <t>16-67-24-034-000098</t>
  </si>
  <si>
    <t xml:space="preserve"> TERIC</t>
  </si>
  <si>
    <t>16-67-24-034-000048</t>
  </si>
  <si>
    <t>LAMPERA</t>
  </si>
  <si>
    <t xml:space="preserve">VIRGINIA </t>
  </si>
  <si>
    <t>16-67-02-002-000032</t>
  </si>
  <si>
    <t>SAYAJON</t>
  </si>
  <si>
    <t>AL BRONSON</t>
  </si>
  <si>
    <t>16-02-02-064-000254</t>
  </si>
  <si>
    <t>CARINA</t>
  </si>
  <si>
    <t>16-67-24-037-000062</t>
  </si>
  <si>
    <t xml:space="preserve">JOHN MARK </t>
  </si>
  <si>
    <t>16-67-24-037-000047</t>
  </si>
  <si>
    <t>MARIA AURORA</t>
  </si>
  <si>
    <t>16-67-24-037-000173</t>
  </si>
  <si>
    <t>16-67-24-031-000682</t>
  </si>
  <si>
    <t>LAPIDEZ</t>
  </si>
  <si>
    <t>JASMIN</t>
  </si>
  <si>
    <t>VALERIO</t>
  </si>
  <si>
    <t>16-03-10-003-000043</t>
  </si>
  <si>
    <t>SALISTRE</t>
  </si>
  <si>
    <t>16-03-10-003-000566</t>
  </si>
  <si>
    <t>BANBANON</t>
  </si>
  <si>
    <t>LAPOS</t>
  </si>
  <si>
    <t>LELY</t>
  </si>
  <si>
    <t>QUINAIN</t>
  </si>
  <si>
    <t>16-67-19-003-000253</t>
  </si>
  <si>
    <t>POLIRAN</t>
  </si>
  <si>
    <t>16-67-11-012-000041</t>
  </si>
  <si>
    <t>LOMARDA</t>
  </si>
  <si>
    <t>LAWAT</t>
  </si>
  <si>
    <t>16-02-07-005-000156</t>
  </si>
  <si>
    <t>LAYOS</t>
  </si>
  <si>
    <t>16-67-06-008-000069</t>
  </si>
  <si>
    <t>FABIOLO</t>
  </si>
  <si>
    <t>SAJULGA</t>
  </si>
  <si>
    <t>16-67-06-003-000128</t>
  </si>
  <si>
    <t>LEMONCITO</t>
  </si>
  <si>
    <t>WARLITO</t>
  </si>
  <si>
    <t>16-03-10-003-000018</t>
  </si>
  <si>
    <t xml:space="preserve">LEMONSITO </t>
  </si>
  <si>
    <t xml:space="preserve">DANTE </t>
  </si>
  <si>
    <t>16-03-10-003-000143</t>
  </si>
  <si>
    <t xml:space="preserve">RONELO </t>
  </si>
  <si>
    <t xml:space="preserve">SALITRE </t>
  </si>
  <si>
    <t>16-03-10-003-000134</t>
  </si>
  <si>
    <t>ANTONIETTA</t>
  </si>
  <si>
    <t xml:space="preserve">S. </t>
  </si>
  <si>
    <t>16-67-24-065-000037</t>
  </si>
  <si>
    <t>MARICE</t>
  </si>
  <si>
    <t>16-67-17-002-000378</t>
  </si>
  <si>
    <t>VALLESCAS</t>
  </si>
  <si>
    <t>16-67-17-002-000377</t>
  </si>
  <si>
    <t>MAXIMO</t>
  </si>
  <si>
    <t>FERMILAN</t>
  </si>
  <si>
    <t>16-67-24-065-000295</t>
  </si>
  <si>
    <t>RIZA</t>
  </si>
  <si>
    <t>RESABAL</t>
  </si>
  <si>
    <t>16-67-24-034-000060</t>
  </si>
  <si>
    <t>16-67-17-002-000071</t>
  </si>
  <si>
    <t>MELLY</t>
  </si>
  <si>
    <t>BUAN</t>
  </si>
  <si>
    <t>16-67-24-031-000032</t>
  </si>
  <si>
    <t>FORTUNATO</t>
  </si>
  <si>
    <t>16-67-24-043-000036</t>
  </si>
  <si>
    <t xml:space="preserve"> JAMISOLA</t>
  </si>
  <si>
    <t>16-03-01-010-000003</t>
  </si>
  <si>
    <t>HANIDINA</t>
  </si>
  <si>
    <t>MONGATO</t>
  </si>
  <si>
    <t>16-67-24-017-000020</t>
  </si>
  <si>
    <t>16-67-24-017-000111</t>
  </si>
  <si>
    <t>ROMNECK</t>
  </si>
  <si>
    <t>LIMPASAN</t>
  </si>
  <si>
    <t>SAMUEL</t>
  </si>
  <si>
    <t>16-03-10-003-000063</t>
  </si>
  <si>
    <t>LINCE</t>
  </si>
  <si>
    <t>JENNIE</t>
  </si>
  <si>
    <t>16-67-24-013-000005</t>
  </si>
  <si>
    <t xml:space="preserve">LINCUNA </t>
  </si>
  <si>
    <t xml:space="preserve">JERRY </t>
  </si>
  <si>
    <t>16-67-02-003-000180</t>
  </si>
  <si>
    <t>ALBA</t>
  </si>
  <si>
    <t>16-03-10-003-000076</t>
  </si>
  <si>
    <t>LIQUIDO</t>
  </si>
  <si>
    <t>NORMITA</t>
  </si>
  <si>
    <t>LIMPOT</t>
  </si>
  <si>
    <t>16-67-02-007-000008</t>
  </si>
  <si>
    <t>RODOLFO JR.</t>
  </si>
  <si>
    <t>LAPORNINA</t>
  </si>
  <si>
    <t>POBLACION (ALEGRIA)</t>
  </si>
  <si>
    <t>LLANASAS</t>
  </si>
  <si>
    <t>JONA</t>
  </si>
  <si>
    <t>AMPUSTA</t>
  </si>
  <si>
    <t>LLORCA</t>
  </si>
  <si>
    <t>RADEN</t>
  </si>
  <si>
    <t>16-85-07-002-000080</t>
  </si>
  <si>
    <t>CRISPIN</t>
  </si>
  <si>
    <t>16-67-24-037-000202</t>
  </si>
  <si>
    <t>16-67-24-037-000050</t>
  </si>
  <si>
    <t>JENELITO</t>
  </si>
  <si>
    <t>BIBAS</t>
  </si>
  <si>
    <t>16-67-24-067-000042</t>
  </si>
  <si>
    <t>16-67-24-017-000059</t>
  </si>
  <si>
    <t>REYMOND</t>
  </si>
  <si>
    <t>E.</t>
  </si>
  <si>
    <t>16-67-24-017-000265</t>
  </si>
  <si>
    <t>LOBERIANO</t>
  </si>
  <si>
    <t>JOYCE</t>
  </si>
  <si>
    <t>LERAY</t>
  </si>
  <si>
    <t>16-67-01-010-000167</t>
  </si>
  <si>
    <t>LORETERO</t>
  </si>
  <si>
    <t>10-43-01-007-000009</t>
  </si>
  <si>
    <t>LUIB</t>
  </si>
  <si>
    <t>DANNY</t>
  </si>
  <si>
    <t>16-85-07-002-000120</t>
  </si>
  <si>
    <t>BF-16-085-07-040-00000016</t>
  </si>
  <si>
    <t>VILLIAMOR</t>
  </si>
  <si>
    <t>16-67-24-032-000066</t>
  </si>
  <si>
    <t>LORENZO</t>
  </si>
  <si>
    <t>C</t>
  </si>
  <si>
    <t>16-85-07-004-000029</t>
  </si>
  <si>
    <t>LUMACANG</t>
  </si>
  <si>
    <t>RONNIE</t>
  </si>
  <si>
    <t xml:space="preserve"> ACTUB</t>
  </si>
  <si>
    <t>10-43-07-011-000125</t>
  </si>
  <si>
    <t>DAGUMBA-AN</t>
  </si>
  <si>
    <t>LUMAWAG</t>
  </si>
  <si>
    <t>NIDALYN</t>
  </si>
  <si>
    <t>VINUYA</t>
  </si>
  <si>
    <t>10-13-15-006-000421</t>
  </si>
  <si>
    <t>LETECIA</t>
  </si>
  <si>
    <t>LUMINDAS</t>
  </si>
  <si>
    <t>16-67-24-005-000076</t>
  </si>
  <si>
    <t>LUMIGUID</t>
  </si>
  <si>
    <t xml:space="preserve">EVELYN </t>
  </si>
  <si>
    <t>LUMPAY</t>
  </si>
  <si>
    <t>RANDY</t>
  </si>
  <si>
    <t>16-85-07-002-000044</t>
  </si>
  <si>
    <t>16-67-24-067-000059</t>
  </si>
  <si>
    <t xml:space="preserve">LUTAO </t>
  </si>
  <si>
    <t>LUTCHELLE</t>
  </si>
  <si>
    <t>CAGABCAB</t>
  </si>
  <si>
    <t>16-67-24-037-000163</t>
  </si>
  <si>
    <t>ECOL</t>
  </si>
  <si>
    <t>16-67-24-037-000184</t>
  </si>
  <si>
    <t>16-02-02-064-000225</t>
  </si>
  <si>
    <t>FLORDELIZA</t>
  </si>
  <si>
    <t>16-02-02-064-000040</t>
  </si>
  <si>
    <t>CHRISTOPHER</t>
  </si>
  <si>
    <t>ARAIZ</t>
  </si>
  <si>
    <t>16-02-02-064-000150</t>
  </si>
  <si>
    <t>FELIXBERTO</t>
  </si>
  <si>
    <t>TAGOON</t>
  </si>
  <si>
    <t>16-02-02-064-000063</t>
  </si>
  <si>
    <t>MABILIN</t>
  </si>
  <si>
    <t>COLES</t>
  </si>
  <si>
    <t>10-43-01-003-000046</t>
  </si>
  <si>
    <t>MABUANG</t>
  </si>
  <si>
    <t>ELGIN</t>
  </si>
  <si>
    <t>MATUGAS</t>
  </si>
  <si>
    <t>16-03-01-030-000059</t>
  </si>
  <si>
    <t>MACALAGUING</t>
  </si>
  <si>
    <t>JULIUS SR.</t>
  </si>
  <si>
    <t>16-67-25-007-000548</t>
  </si>
  <si>
    <t>MACEDA</t>
  </si>
  <si>
    <t>LIZA</t>
  </si>
  <si>
    <t>BEATO</t>
  </si>
  <si>
    <t xml:space="preserve">RANDY       </t>
  </si>
  <si>
    <t>GENERAL</t>
  </si>
  <si>
    <t>16-67-19-011-000081</t>
  </si>
  <si>
    <t>VENANCIO</t>
  </si>
  <si>
    <t>VALLENTE</t>
  </si>
  <si>
    <t>16-67-24-022-000011</t>
  </si>
  <si>
    <t>MAHINAY</t>
  </si>
  <si>
    <t>16-02-02-060-000051</t>
  </si>
  <si>
    <t>MAHUSAY</t>
  </si>
  <si>
    <t>WENNIELYN</t>
  </si>
  <si>
    <t>TAGOLOG</t>
  </si>
  <si>
    <t>16-03-01-030-000191</t>
  </si>
  <si>
    <t>MALAHAY</t>
  </si>
  <si>
    <t>CONSTANCIO</t>
  </si>
  <si>
    <t>MOHELIO</t>
  </si>
  <si>
    <t>MALDA</t>
  </si>
  <si>
    <t>BENEDECTO</t>
  </si>
  <si>
    <t>BADIANG</t>
  </si>
  <si>
    <t>16-85-07-005-000026</t>
  </si>
  <si>
    <t>MALICAY</t>
  </si>
  <si>
    <t>CALUNOD</t>
  </si>
  <si>
    <t>16-67-24-068-000030</t>
  </si>
  <si>
    <t>16-02-02-064-000050</t>
  </si>
  <si>
    <t>MAMSA</t>
  </si>
  <si>
    <t>ROBIN</t>
  </si>
  <si>
    <t>BESONIA</t>
  </si>
  <si>
    <t>16-67-24-065-000040</t>
  </si>
  <si>
    <t xml:space="preserve">MAMZA </t>
  </si>
  <si>
    <t>BISUNIA</t>
  </si>
  <si>
    <t>16-67-24-065-000283</t>
  </si>
  <si>
    <t>MANLAPAZ</t>
  </si>
  <si>
    <t>ROLAN</t>
  </si>
  <si>
    <t>BALLESTEROS</t>
  </si>
  <si>
    <t xml:space="preserve">MANLIGUIS </t>
  </si>
  <si>
    <t>ANDY</t>
  </si>
  <si>
    <t>BLANCO</t>
  </si>
  <si>
    <t>MANSUETO</t>
  </si>
  <si>
    <t>ELAN</t>
  </si>
  <si>
    <t>16-03-10-003-000008</t>
  </si>
  <si>
    <t>JOSELITO JR.</t>
  </si>
  <si>
    <t>GLORIA</t>
  </si>
  <si>
    <t>NAPICOG</t>
  </si>
  <si>
    <t>16-03-12-003-000027</t>
  </si>
  <si>
    <t>GENON</t>
  </si>
  <si>
    <t>JOVIE</t>
  </si>
  <si>
    <t>16-02-02-064-000057</t>
  </si>
  <si>
    <t>MARZON</t>
  </si>
  <si>
    <t>JASON</t>
  </si>
  <si>
    <t>GENERALAO</t>
  </si>
  <si>
    <t>16-02-02-009-000013</t>
  </si>
  <si>
    <t>FLORIDA</t>
  </si>
  <si>
    <t>MASING</t>
  </si>
  <si>
    <t>DALAUTA</t>
  </si>
  <si>
    <t>16-85-07-002-000020</t>
  </si>
  <si>
    <t>MAURECIO</t>
  </si>
  <si>
    <t>GENEVIEVE</t>
  </si>
  <si>
    <t>JUANIR</t>
  </si>
  <si>
    <t>16-67-24-026-000014</t>
  </si>
  <si>
    <t>MEJORADA</t>
  </si>
  <si>
    <t>16-02-02-064-000261</t>
  </si>
  <si>
    <t>MELLEJOR</t>
  </si>
  <si>
    <t>SATURNINO SR.</t>
  </si>
  <si>
    <t>LAJERA</t>
  </si>
  <si>
    <t>CALATCAT</t>
  </si>
  <si>
    <t>MESA</t>
  </si>
  <si>
    <t>LILIBETH</t>
  </si>
  <si>
    <t>10-043-01-010-000020</t>
  </si>
  <si>
    <t>MALINAO</t>
  </si>
  <si>
    <t>MESTOZO</t>
  </si>
  <si>
    <t>LUCAS</t>
  </si>
  <si>
    <t>MIRAS</t>
  </si>
  <si>
    <t xml:space="preserve"> MOSA</t>
  </si>
  <si>
    <t>16-67-14-003-000070</t>
  </si>
  <si>
    <t>MISOLA</t>
  </si>
  <si>
    <t>ANASTACIO JR</t>
  </si>
  <si>
    <t>ELEONOR</t>
  </si>
  <si>
    <t>SEMACIO</t>
  </si>
  <si>
    <t>16-67-24-037-000107</t>
  </si>
  <si>
    <t>SHEILA</t>
  </si>
  <si>
    <t>ACAYA</t>
  </si>
  <si>
    <t>16-67-24-037-000013</t>
  </si>
  <si>
    <t>MONARES</t>
  </si>
  <si>
    <t>RABUYA</t>
  </si>
  <si>
    <t>RAFAEL</t>
  </si>
  <si>
    <t>16-02-02-064-000078</t>
  </si>
  <si>
    <t>6 - Milking Stg. (LATE REPRODUCTIVE)</t>
  </si>
  <si>
    <t>COTACTE</t>
  </si>
  <si>
    <t>MONGHIT</t>
  </si>
  <si>
    <t>PERLITA</t>
  </si>
  <si>
    <t>16-67-02-005-000212</t>
  </si>
  <si>
    <t>ROSALINO</t>
  </si>
  <si>
    <t>RANA</t>
  </si>
  <si>
    <t>16-85-07-003-000091</t>
  </si>
  <si>
    <t>ESTERLITA</t>
  </si>
  <si>
    <t>16-67-02-005-000142</t>
  </si>
  <si>
    <t>JENESA</t>
  </si>
  <si>
    <t>RAYMUNDO</t>
  </si>
  <si>
    <t>16-67-02-005-000040</t>
  </si>
  <si>
    <t>MONTALBAN</t>
  </si>
  <si>
    <t>ISMAELITA</t>
  </si>
  <si>
    <t>16-67-24-022-000009</t>
  </si>
  <si>
    <t>MONTALBO</t>
  </si>
  <si>
    <t>RODRIGO</t>
  </si>
  <si>
    <t>COSMO</t>
  </si>
  <si>
    <t>16-02-02-009-000036</t>
  </si>
  <si>
    <t>MORALDE</t>
  </si>
  <si>
    <t>MYRNA</t>
  </si>
  <si>
    <t>AMPARO</t>
  </si>
  <si>
    <t>16-67-24-022-000109</t>
  </si>
  <si>
    <t>JELOU</t>
  </si>
  <si>
    <t>ORILLANEDA</t>
  </si>
  <si>
    <t>SUMIWAN</t>
  </si>
  <si>
    <t>MERLE</t>
  </si>
  <si>
    <t>BUCO</t>
  </si>
  <si>
    <t>ORILLENEDA</t>
  </si>
  <si>
    <t>JUDALYN</t>
  </si>
  <si>
    <t>16-67-24-005-000035</t>
  </si>
  <si>
    <t>MILALUNA</t>
  </si>
  <si>
    <t>16-67-24-005-000040</t>
  </si>
  <si>
    <t>MORENO</t>
  </si>
  <si>
    <t>16-67-19-005-000190</t>
  </si>
  <si>
    <t>MORON</t>
  </si>
  <si>
    <t>CAROLINA</t>
  </si>
  <si>
    <t>16-85-07-005-000123</t>
  </si>
  <si>
    <t>MURILLO</t>
  </si>
  <si>
    <t>EPEFANIA</t>
  </si>
  <si>
    <t>MAYOR</t>
  </si>
  <si>
    <t>16-03-08-008-000127</t>
  </si>
  <si>
    <t>ALBERT</t>
  </si>
  <si>
    <t>PACLIBAR</t>
  </si>
  <si>
    <t>16-02-02-064-000103</t>
  </si>
  <si>
    <t>ALEJANDRO JR.</t>
  </si>
  <si>
    <t>MUTYA</t>
  </si>
  <si>
    <t>MAXIMIANO</t>
  </si>
  <si>
    <t>Oï¿½ES</t>
  </si>
  <si>
    <t>16-67-24-013-000006</t>
  </si>
  <si>
    <t>HEWE</t>
  </si>
  <si>
    <t>16-02-02-060-000201</t>
  </si>
  <si>
    <t>NACION</t>
  </si>
  <si>
    <t>ESPAï¿½OLA</t>
  </si>
  <si>
    <t>16-03-10-006-000187</t>
  </si>
  <si>
    <t>NADONG</t>
  </si>
  <si>
    <t>16-03-05-005-000309</t>
  </si>
  <si>
    <t>JOHNRIEL</t>
  </si>
  <si>
    <t>NAIG</t>
  </si>
  <si>
    <t>NAPAL</t>
  </si>
  <si>
    <t xml:space="preserve">EMELIANO </t>
  </si>
  <si>
    <t>16-67-06-003-000237</t>
  </si>
  <si>
    <t>16-003-12-003-000073</t>
  </si>
  <si>
    <t>NARRIDO</t>
  </si>
  <si>
    <t>PERLYN</t>
  </si>
  <si>
    <t>PETRONILA</t>
  </si>
  <si>
    <t>NASI</t>
  </si>
  <si>
    <t>CARLITO</t>
  </si>
  <si>
    <t>LAMPAD</t>
  </si>
  <si>
    <t>NATAN</t>
  </si>
  <si>
    <t>FELIPE JR,</t>
  </si>
  <si>
    <t>OPINALDO</t>
  </si>
  <si>
    <t>NEMARIA</t>
  </si>
  <si>
    <t>16-03-05-011-000203</t>
  </si>
  <si>
    <t>DINA</t>
  </si>
  <si>
    <t>JOSE RAMER</t>
  </si>
  <si>
    <t>NGOJO</t>
  </si>
  <si>
    <t>16-67-24-005-000194</t>
  </si>
  <si>
    <t>16-67-17-002-000169</t>
  </si>
  <si>
    <t>JUNITO</t>
  </si>
  <si>
    <t>POLONGASA</t>
  </si>
  <si>
    <t>16-02-02-056-000183</t>
  </si>
  <si>
    <t>SURIGAO</t>
  </si>
  <si>
    <t>LIBRADO</t>
  </si>
  <si>
    <t>BONJOC</t>
  </si>
  <si>
    <t>16-02-02-060-000099</t>
  </si>
  <si>
    <t>NOSEï¿½AS</t>
  </si>
  <si>
    <t>ANNA LIZA</t>
  </si>
  <si>
    <t>NOTARION</t>
  </si>
  <si>
    <t>ROQUITA</t>
  </si>
  <si>
    <t>TOMASA</t>
  </si>
  <si>
    <t>16-03-01-030-000127</t>
  </si>
  <si>
    <t>OCSO</t>
  </si>
  <si>
    <t>GERO LEO</t>
  </si>
  <si>
    <t>16-85-07-002-000103</t>
  </si>
  <si>
    <t>JESSICA</t>
  </si>
  <si>
    <t>16-85-07-002-000016</t>
  </si>
  <si>
    <t>TE</t>
  </si>
  <si>
    <t>MELVIN</t>
  </si>
  <si>
    <t>ODTOJAN</t>
  </si>
  <si>
    <t>ROSMARIE</t>
  </si>
  <si>
    <t>SEMORLAN</t>
  </si>
  <si>
    <t>16-67-24-037-000023</t>
  </si>
  <si>
    <t>OGAOB</t>
  </si>
  <si>
    <t>VERDELITA</t>
  </si>
  <si>
    <t>OLACO</t>
  </si>
  <si>
    <t>VICTOR</t>
  </si>
  <si>
    <t>16-85-07-004-000038</t>
  </si>
  <si>
    <t>OLANDRIA</t>
  </si>
  <si>
    <t>16-67-24-065-000279</t>
  </si>
  <si>
    <t>OLAYVAR</t>
  </si>
  <si>
    <t>FLOREDA</t>
  </si>
  <si>
    <t>16-67-24-003-000031</t>
  </si>
  <si>
    <t>MERLINA</t>
  </si>
  <si>
    <t>ROSALITO</t>
  </si>
  <si>
    <t>16-67-24-022-000138</t>
  </si>
  <si>
    <t>SARAH MAE</t>
  </si>
  <si>
    <t>16-67-06-003-000020</t>
  </si>
  <si>
    <t>AMANCIO SR.</t>
  </si>
  <si>
    <t>OPON</t>
  </si>
  <si>
    <t xml:space="preserve"> SITOY</t>
  </si>
  <si>
    <t>16-67-24-005-000203</t>
  </si>
  <si>
    <t>OQUINA</t>
  </si>
  <si>
    <t>KALIGNAWAN</t>
  </si>
  <si>
    <t>16-85-07-005-000047</t>
  </si>
  <si>
    <t>ORCEJOLA</t>
  </si>
  <si>
    <t>16-67-24-005-000050</t>
  </si>
  <si>
    <t>CANTILAN</t>
  </si>
  <si>
    <t>PALASAO</t>
  </si>
  <si>
    <t>ROMEA</t>
  </si>
  <si>
    <t>MALIGSA</t>
  </si>
  <si>
    <t>16-68-13-003-000055</t>
  </si>
  <si>
    <t>ORILLO</t>
  </si>
  <si>
    <t>JACQUELINE</t>
  </si>
  <si>
    <t>NOGAS</t>
  </si>
  <si>
    <t>AZOTE</t>
  </si>
  <si>
    <t>16-02-02-017-000099</t>
  </si>
  <si>
    <t>VILLARO</t>
  </si>
  <si>
    <t>BAMBE</t>
  </si>
  <si>
    <t>16-02-02-022-000043</t>
  </si>
  <si>
    <t>SALOME</t>
  </si>
  <si>
    <t>RIVERAL</t>
  </si>
  <si>
    <t>16-02-02-060-000101</t>
  </si>
  <si>
    <t>GARNASA</t>
  </si>
  <si>
    <t>LA UNION</t>
  </si>
  <si>
    <t>MONDIGO</t>
  </si>
  <si>
    <t>CALUNDRE</t>
  </si>
  <si>
    <t>16-02-03-018-000091</t>
  </si>
  <si>
    <t>16-02-02-064-000141</t>
  </si>
  <si>
    <t>IGLORIA</t>
  </si>
  <si>
    <t>10-43-07-011-000035</t>
  </si>
  <si>
    <t>PACAMALAN</t>
  </si>
  <si>
    <t>PACANA</t>
  </si>
  <si>
    <t>10-43-01-010-000115</t>
  </si>
  <si>
    <t>PACOLTAD</t>
  </si>
  <si>
    <t>LILIA</t>
  </si>
  <si>
    <t>LINGATONG</t>
  </si>
  <si>
    <t>16-02-02-064-000187</t>
  </si>
  <si>
    <t>ALDRIN</t>
  </si>
  <si>
    <t>LOREN</t>
  </si>
  <si>
    <t>16-67-24-037-000165</t>
  </si>
  <si>
    <t>PAGARAN</t>
  </si>
  <si>
    <t>TRIMUCHA</t>
  </si>
  <si>
    <t>16-67-24-017-000211</t>
  </si>
  <si>
    <t>TREMUCHA</t>
  </si>
  <si>
    <t>16-67-24-017-000049</t>
  </si>
  <si>
    <t>PAJE</t>
  </si>
  <si>
    <t>LUCITA</t>
  </si>
  <si>
    <t>16-67-02-001-000062</t>
  </si>
  <si>
    <t>PALABRICA</t>
  </si>
  <si>
    <t>ROWIL</t>
  </si>
  <si>
    <t>SORILA</t>
  </si>
  <si>
    <t>16-67-01-001-000017</t>
  </si>
  <si>
    <t>10-43-07-011-000043</t>
  </si>
  <si>
    <t>PALASAN</t>
  </si>
  <si>
    <t>GAUDENCIO JR</t>
  </si>
  <si>
    <t>DADIOS</t>
  </si>
  <si>
    <t>MABAO</t>
  </si>
  <si>
    <t>RAMEL</t>
  </si>
  <si>
    <t>PALINGCOD</t>
  </si>
  <si>
    <t>CHERELYN</t>
  </si>
  <si>
    <t>16-02-02-064-000012</t>
  </si>
  <si>
    <t>GLECERIO</t>
  </si>
  <si>
    <t>PEROCHO</t>
  </si>
  <si>
    <t>16-02-02-064-000145</t>
  </si>
  <si>
    <t>16-02-02-064-000171</t>
  </si>
  <si>
    <t>JULIETA</t>
  </si>
  <si>
    <t>16-67-11-010-000149</t>
  </si>
  <si>
    <t>PALOMA</t>
  </si>
  <si>
    <t>ALFRED</t>
  </si>
  <si>
    <t>16-67-24-022-000006</t>
  </si>
  <si>
    <t>PAMENTA</t>
  </si>
  <si>
    <t>16-67-06-003-000235</t>
  </si>
  <si>
    <t xml:space="preserve">PANDAC </t>
  </si>
  <si>
    <t>NIPOMUCENO</t>
  </si>
  <si>
    <t>16-85-07-005-000016</t>
  </si>
  <si>
    <t>ANNALIE</t>
  </si>
  <si>
    <t>16-02-02-064-000023</t>
  </si>
  <si>
    <t>BANO</t>
  </si>
  <si>
    <t>NEIL</t>
  </si>
  <si>
    <t>16-67-11-010-000222</t>
  </si>
  <si>
    <t xml:space="preserve">BOGLOSA </t>
  </si>
  <si>
    <t xml:space="preserve">ESTER </t>
  </si>
  <si>
    <t xml:space="preserve">GUIBAO </t>
  </si>
  <si>
    <t>16-67-11-013-000115</t>
  </si>
  <si>
    <t>PATOSA</t>
  </si>
  <si>
    <t>16-67-11-013-000104</t>
  </si>
  <si>
    <t>PANTILO</t>
  </si>
  <si>
    <t>16-67-24-005-000083</t>
  </si>
  <si>
    <t>PANUGALING</t>
  </si>
  <si>
    <t>ROSELYN</t>
  </si>
  <si>
    <t>ESPIRON</t>
  </si>
  <si>
    <t>PAQUEO</t>
  </si>
  <si>
    <t>HILDEGARDES</t>
  </si>
  <si>
    <t>16-67-06-003-000135</t>
  </si>
  <si>
    <t>PAQUERA</t>
  </si>
  <si>
    <t>YBANEZ</t>
  </si>
  <si>
    <t>16-03-01-016-000256</t>
  </si>
  <si>
    <t>TAGOC</t>
  </si>
  <si>
    <t>16-67-24-066-000044</t>
  </si>
  <si>
    <t>SAGA</t>
  </si>
  <si>
    <t>BF-16-067-24-130-00000018</t>
  </si>
  <si>
    <t>JOHN</t>
  </si>
  <si>
    <t>VILLASOR</t>
  </si>
  <si>
    <t>16-67-24-013-000026</t>
  </si>
  <si>
    <t>REBECCA</t>
  </si>
  <si>
    <t>BOLABO</t>
  </si>
  <si>
    <t>16-67-24-031-000030</t>
  </si>
  <si>
    <t>RUDEL</t>
  </si>
  <si>
    <t>16-02-02-077-000100</t>
  </si>
  <si>
    <t>PATIGA</t>
  </si>
  <si>
    <t>JENALYN</t>
  </si>
  <si>
    <t>UNGAB</t>
  </si>
  <si>
    <t>16-67-24-006-000390</t>
  </si>
  <si>
    <t>16-67-24-006-000356</t>
  </si>
  <si>
    <t>EMELIO</t>
  </si>
  <si>
    <t>PERDISO</t>
  </si>
  <si>
    <t>16-67-24-067-000109</t>
  </si>
  <si>
    <t>PAYMALAN</t>
  </si>
  <si>
    <t>CHRISTIAN</t>
  </si>
  <si>
    <t>GEMAO</t>
  </si>
  <si>
    <t>BONIFACIO JR</t>
  </si>
  <si>
    <t>16-67-24-017-000069</t>
  </si>
  <si>
    <t>16-67-24-067-000149</t>
  </si>
  <si>
    <t>JHONA</t>
  </si>
  <si>
    <t>ALMANZOR</t>
  </si>
  <si>
    <t>ROWELITO</t>
  </si>
  <si>
    <t>16-67-24-067-000186</t>
  </si>
  <si>
    <t>PEDRONIO</t>
  </si>
  <si>
    <t>JOSHUA</t>
  </si>
  <si>
    <t>16-67-24-005-000045</t>
  </si>
  <si>
    <t>PEGAREZ</t>
  </si>
  <si>
    <t>DAVE</t>
  </si>
  <si>
    <t>ELPIDAS</t>
  </si>
  <si>
    <t>16-67-24-032-000009</t>
  </si>
  <si>
    <t>PELUTON</t>
  </si>
  <si>
    <t>APOLO</t>
  </si>
  <si>
    <t>16-67-24-005-000084</t>
  </si>
  <si>
    <t>JOSEFITA</t>
  </si>
  <si>
    <t>16-67-19-011-000123</t>
  </si>
  <si>
    <t>PEPINO</t>
  </si>
  <si>
    <t>LEYROS</t>
  </si>
  <si>
    <t>16-67-06-003-000102</t>
  </si>
  <si>
    <t>PERANTE</t>
  </si>
  <si>
    <t>FELINA</t>
  </si>
  <si>
    <t>BELARMINO</t>
  </si>
  <si>
    <t>16-67-24-032-000015</t>
  </si>
  <si>
    <t>PAREL</t>
  </si>
  <si>
    <t>ANALIZA</t>
  </si>
  <si>
    <t>CABUG-OS</t>
  </si>
  <si>
    <t>16-67-24-036-000033</t>
  </si>
  <si>
    <t>16-67-24-067-000069</t>
  </si>
  <si>
    <t>TEODULO</t>
  </si>
  <si>
    <t>NARADA</t>
  </si>
  <si>
    <t>16-67-06-003-000152</t>
  </si>
  <si>
    <t>PESIMO</t>
  </si>
  <si>
    <t>ANTONIA</t>
  </si>
  <si>
    <t>TAMBULI</t>
  </si>
  <si>
    <t>16-67-06-003-000018</t>
  </si>
  <si>
    <t>LACSE</t>
  </si>
  <si>
    <t>ROLONA</t>
  </si>
  <si>
    <t>16-67-11-013-000001</t>
  </si>
  <si>
    <t>PIAPE</t>
  </si>
  <si>
    <t>ROGELIO EUGENE</t>
  </si>
  <si>
    <t>PICANTE</t>
  </si>
  <si>
    <t>SUSANA</t>
  </si>
  <si>
    <t>16-67-02-005-000058</t>
  </si>
  <si>
    <t>PIEL</t>
  </si>
  <si>
    <t>HONEY ESPIE</t>
  </si>
  <si>
    <t>SUBSUBAN</t>
  </si>
  <si>
    <t>LANSON</t>
  </si>
  <si>
    <t>PERFECTO SR</t>
  </si>
  <si>
    <t>JURANES</t>
  </si>
  <si>
    <t>16-67-02-005-000083</t>
  </si>
  <si>
    <t>MAURO JR.</t>
  </si>
  <si>
    <t>16-67-24-031-000143</t>
  </si>
  <si>
    <t xml:space="preserve">PLAZA </t>
  </si>
  <si>
    <t>16-67-24-065-000013</t>
  </si>
  <si>
    <t>16-67-24-067-000108</t>
  </si>
  <si>
    <t>JIODESTO</t>
  </si>
  <si>
    <t>16-67-24-065-000021</t>
  </si>
  <si>
    <t>LEOBERT</t>
  </si>
  <si>
    <t>LISACA</t>
  </si>
  <si>
    <t>16-67-24-037-000007</t>
  </si>
  <si>
    <t>LOWELYN</t>
  </si>
  <si>
    <t>PAWA-ON</t>
  </si>
  <si>
    <t>16-67-24-067-000097</t>
  </si>
  <si>
    <t>TEODORO</t>
  </si>
  <si>
    <t>MOSTAJO</t>
  </si>
  <si>
    <t>16-67-24-067-000094</t>
  </si>
  <si>
    <t>POLICAN</t>
  </si>
  <si>
    <t>16-67-24-067-000151</t>
  </si>
  <si>
    <t>VILLANUEVA</t>
  </si>
  <si>
    <t xml:space="preserve"> SARCE</t>
  </si>
  <si>
    <t>16-67-24-037-000053</t>
  </si>
  <si>
    <t xml:space="preserve">FREDERICO </t>
  </si>
  <si>
    <t>MAQUIDATO</t>
  </si>
  <si>
    <t>ANA</t>
  </si>
  <si>
    <t>16-67-11-013-000082</t>
  </si>
  <si>
    <t>PREDOG</t>
  </si>
  <si>
    <t>NAVIDAS</t>
  </si>
  <si>
    <t>16-67-11-013-000119</t>
  </si>
  <si>
    <t>QUIBOT</t>
  </si>
  <si>
    <t>PEDRABLANCA</t>
  </si>
  <si>
    <t>16-85-07-005-000080</t>
  </si>
  <si>
    <t>NUï¿½EZ</t>
  </si>
  <si>
    <t>BUCTUAN</t>
  </si>
  <si>
    <t>16-67-11-008-000310</t>
  </si>
  <si>
    <t>QUIDAY</t>
  </si>
  <si>
    <t>ANACLETO</t>
  </si>
  <si>
    <t>ZAMUDIO</t>
  </si>
  <si>
    <t>16-67-24-013-000172</t>
  </si>
  <si>
    <t>TESSIE</t>
  </si>
  <si>
    <t>16-67-24-013-000019</t>
  </si>
  <si>
    <t>DUTERTE</t>
  </si>
  <si>
    <t>16-02-07-005-000245</t>
  </si>
  <si>
    <t>RADA</t>
  </si>
  <si>
    <t>ALGER</t>
  </si>
  <si>
    <t>PAMPILON</t>
  </si>
  <si>
    <t>16-02-02-060-000117</t>
  </si>
  <si>
    <t xml:space="preserve">RAGAS </t>
  </si>
  <si>
    <t>JUVY</t>
  </si>
  <si>
    <t>16-67-24-017-000056</t>
  </si>
  <si>
    <t>GABRIEL LUCAS JR</t>
  </si>
  <si>
    <t>RAMEREZ</t>
  </si>
  <si>
    <t>ROMNICK</t>
  </si>
  <si>
    <t>HENELASO</t>
  </si>
  <si>
    <t>16-02-07-005-000014</t>
  </si>
  <si>
    <t>GUIASAN</t>
  </si>
  <si>
    <t>GALO</t>
  </si>
  <si>
    <t>RAMIREZ</t>
  </si>
  <si>
    <t>LORENZA</t>
  </si>
  <si>
    <t>LINCUNA</t>
  </si>
  <si>
    <t>16-67-02-007-000529</t>
  </si>
  <si>
    <t>LOGUILO</t>
  </si>
  <si>
    <t>OLIVE AMELITA</t>
  </si>
  <si>
    <t>ADVIENTO</t>
  </si>
  <si>
    <t>10-43-01-010-000108</t>
  </si>
  <si>
    <t>RAPANAN</t>
  </si>
  <si>
    <t>REDOBLE</t>
  </si>
  <si>
    <t>LUCITO</t>
  </si>
  <si>
    <t>SALAZAR</t>
  </si>
  <si>
    <t>16-67-01-001-000035</t>
  </si>
  <si>
    <t>ROREY</t>
  </si>
  <si>
    <t>RESARE</t>
  </si>
  <si>
    <t>16-67-01-001-000101</t>
  </si>
  <si>
    <t>REGALARIO</t>
  </si>
  <si>
    <t>DAMIAGO</t>
  </si>
  <si>
    <t>16-67-24-066-000124</t>
  </si>
  <si>
    <t>Camiguin</t>
  </si>
  <si>
    <t>MAHINOG</t>
  </si>
  <si>
    <t>CATOHUGAN</t>
  </si>
  <si>
    <t>10-18-03-004-000008</t>
  </si>
  <si>
    <t>REQUILLO</t>
  </si>
  <si>
    <t>MARIBETH</t>
  </si>
  <si>
    <t>ELENITA</t>
  </si>
  <si>
    <t>SERAD</t>
  </si>
  <si>
    <t>RESULLAR</t>
  </si>
  <si>
    <t>NATIVIDAD</t>
  </si>
  <si>
    <t>16-67-24-032-000007</t>
  </si>
  <si>
    <t>REVIL</t>
  </si>
  <si>
    <t>MALACAY</t>
  </si>
  <si>
    <t>16-67-24-066-000056</t>
  </si>
  <si>
    <t>RIN</t>
  </si>
  <si>
    <t>LOUELA</t>
  </si>
  <si>
    <t>SALES</t>
  </si>
  <si>
    <t>16-67-24-013-000075</t>
  </si>
  <si>
    <t>HUBANGON</t>
  </si>
  <si>
    <t>RIZALDO</t>
  </si>
  <si>
    <t xml:space="preserve">TANQUERIDO </t>
  </si>
  <si>
    <t>16-03-08-008-000136</t>
  </si>
  <si>
    <t>ROCERO</t>
  </si>
  <si>
    <t>NENELYN</t>
  </si>
  <si>
    <t>SERAï¿½O</t>
  </si>
  <si>
    <t>16-85-07-005-000009</t>
  </si>
  <si>
    <t>MARISSA</t>
  </si>
  <si>
    <t>16-67-24-017-000159</t>
  </si>
  <si>
    <t>MARLITA</t>
  </si>
  <si>
    <t>16-67-24-017-000234</t>
  </si>
  <si>
    <t>ROLDAN</t>
  </si>
  <si>
    <t>EDUARD</t>
  </si>
  <si>
    <t>JOSOL</t>
  </si>
  <si>
    <t>EDVELYN</t>
  </si>
  <si>
    <t>16-67-24-032-000056</t>
  </si>
  <si>
    <t>ELVIE</t>
  </si>
  <si>
    <t>TINOY</t>
  </si>
  <si>
    <t>10-43-01-002-000067</t>
  </si>
  <si>
    <t>MARICHU</t>
  </si>
  <si>
    <t>10-43-01-010-000012</t>
  </si>
  <si>
    <t>10-18-03-004-000013</t>
  </si>
  <si>
    <t>LANIE</t>
  </si>
  <si>
    <t>QUILOG</t>
  </si>
  <si>
    <t>16-67-02-005-000038</t>
  </si>
  <si>
    <t>MODESTO</t>
  </si>
  <si>
    <t>THERESA</t>
  </si>
  <si>
    <t>LAMASAN</t>
  </si>
  <si>
    <t>RUAZA</t>
  </si>
  <si>
    <t>16-67-24-065-000028</t>
  </si>
  <si>
    <t xml:space="preserve">RUBIA </t>
  </si>
  <si>
    <t xml:space="preserve">FELIX </t>
  </si>
  <si>
    <t>MATOS</t>
  </si>
  <si>
    <t>16-03-10-006-000160</t>
  </si>
  <si>
    <t>SABADO</t>
  </si>
  <si>
    <t>16-03-01-030-000118</t>
  </si>
  <si>
    <t>SABINO</t>
  </si>
  <si>
    <t>JOCEBEL</t>
  </si>
  <si>
    <t>LABRICA</t>
  </si>
  <si>
    <t>SABUERO</t>
  </si>
  <si>
    <t>BENITA</t>
  </si>
  <si>
    <t>16-67-24-031-000178</t>
  </si>
  <si>
    <t>ODCHIGUE</t>
  </si>
  <si>
    <t>CARMELITO</t>
  </si>
  <si>
    <t>BF-10-018-03-040-00000008</t>
  </si>
  <si>
    <t>16-67-24-013-000058</t>
  </si>
  <si>
    <t>QIAMAN</t>
  </si>
  <si>
    <t>GERONIMO</t>
  </si>
  <si>
    <t>SAJORGA</t>
  </si>
  <si>
    <t>VIRTUDAZO</t>
  </si>
  <si>
    <t>16-67-17-002-000064</t>
  </si>
  <si>
    <t>RUDY</t>
  </si>
  <si>
    <t>VERTUDAZO</t>
  </si>
  <si>
    <t>16-67-17-002-000211</t>
  </si>
  <si>
    <t>MAPAWA</t>
  </si>
  <si>
    <t>SALAMANCA</t>
  </si>
  <si>
    <t>MARY JEAN</t>
  </si>
  <si>
    <t>16-67-24-022-000073</t>
  </si>
  <si>
    <t>REGLEN</t>
  </si>
  <si>
    <t>16-67-19-005-000188</t>
  </si>
  <si>
    <t>TERADO</t>
  </si>
  <si>
    <t>16-02-02-060-000027</t>
  </si>
  <si>
    <t>SANGLITAN</t>
  </si>
  <si>
    <t>ALAN JR.</t>
  </si>
  <si>
    <t>PACILAN</t>
  </si>
  <si>
    <t>16-67-24-067-000126</t>
  </si>
  <si>
    <t>SAPORTIZA</t>
  </si>
  <si>
    <t>BALGOMA</t>
  </si>
  <si>
    <t>10-43-01-010-000074</t>
  </si>
  <si>
    <t>SARAGOZA</t>
  </si>
  <si>
    <t>DEDAL</t>
  </si>
  <si>
    <t>16-03-01-011-000116</t>
  </si>
  <si>
    <t>16-67-24-037-000120</t>
  </si>
  <si>
    <t>MALOU</t>
  </si>
  <si>
    <t>ZULIETA</t>
  </si>
  <si>
    <t>16-67-24-037-000056</t>
  </si>
  <si>
    <t>16-67-24-037-000272</t>
  </si>
  <si>
    <t>DOLOGON</t>
  </si>
  <si>
    <t>SARIAL</t>
  </si>
  <si>
    <t>SORONGON</t>
  </si>
  <si>
    <t>10-13-15-008-000315</t>
  </si>
  <si>
    <t>DINAH JOY</t>
  </si>
  <si>
    <t>RAMADA</t>
  </si>
  <si>
    <t>16-02-02-064-000136</t>
  </si>
  <si>
    <t>REPOSO</t>
  </si>
  <si>
    <t>GONZALO</t>
  </si>
  <si>
    <t>J</t>
  </si>
  <si>
    <t>10-18-03-004-000014</t>
  </si>
  <si>
    <t>TOLENTINO</t>
  </si>
  <si>
    <t>10-18-03-004-000020</t>
  </si>
  <si>
    <t>SINANGLANAN</t>
  </si>
  <si>
    <t>LOZADA</t>
  </si>
  <si>
    <t>LACHICA</t>
  </si>
  <si>
    <t>LINABO</t>
  </si>
  <si>
    <t>CHAVEZ</t>
  </si>
  <si>
    <t>SHERWIN ROY</t>
  </si>
  <si>
    <t>ENDO</t>
  </si>
  <si>
    <t>10-13-12-026-000143</t>
  </si>
  <si>
    <t>ENOJO</t>
  </si>
  <si>
    <t>TUGADE</t>
  </si>
  <si>
    <t>7 - Dough Stg. (MATURITY)</t>
  </si>
  <si>
    <t>JOANA</t>
  </si>
  <si>
    <t>16-85-07-002-000199</t>
  </si>
  <si>
    <t>JOENALYN</t>
  </si>
  <si>
    <t>TERO</t>
  </si>
  <si>
    <t>16-067-24-037-000002</t>
  </si>
  <si>
    <t>RENANTE</t>
  </si>
  <si>
    <t>16-67-24-037-000063</t>
  </si>
  <si>
    <t>JAVIER</t>
  </si>
  <si>
    <t>CARILLA</t>
  </si>
  <si>
    <t>SERATO</t>
  </si>
  <si>
    <t>LEOCADIA</t>
  </si>
  <si>
    <t>16-67-24-034-000682</t>
  </si>
  <si>
    <t>ANGELICA</t>
  </si>
  <si>
    <t>BALIGUAT</t>
  </si>
  <si>
    <t>16-85-07-005-000103</t>
  </si>
  <si>
    <t>HERSON</t>
  </si>
  <si>
    <t>16-85-07-005-000014</t>
  </si>
  <si>
    <t>16-85-07-005-000056</t>
  </si>
  <si>
    <t xml:space="preserve">MARIO </t>
  </si>
  <si>
    <t>BUYER</t>
  </si>
  <si>
    <t>16-85-07-005-000122</t>
  </si>
  <si>
    <t>MIRASOL</t>
  </si>
  <si>
    <t>16-85-07-005-000106</t>
  </si>
  <si>
    <t>SERIï¿½O</t>
  </si>
  <si>
    <t>EDUAVE</t>
  </si>
  <si>
    <t>10-043-07-011-000018</t>
  </si>
  <si>
    <t>ELIESON JOHN</t>
  </si>
  <si>
    <t>LISBO</t>
  </si>
  <si>
    <t>16-67-24-005-000133</t>
  </si>
  <si>
    <t>RUNES</t>
  </si>
  <si>
    <t>16-67-24-005-000004</t>
  </si>
  <si>
    <t>16-67-24-005-000053</t>
  </si>
  <si>
    <t>JUANITO</t>
  </si>
  <si>
    <t>16-67-24-005-000031</t>
  </si>
  <si>
    <t>16-67-24-005-000012</t>
  </si>
  <si>
    <t>16-85-07-005-000081</t>
  </si>
  <si>
    <t>PRESCILA</t>
  </si>
  <si>
    <t>ROSALIO SR.</t>
  </si>
  <si>
    <t xml:space="preserve">SEVILLA </t>
  </si>
  <si>
    <t>ALIPIO</t>
  </si>
  <si>
    <t>GONSALES</t>
  </si>
  <si>
    <t>16-085-07-005-000004</t>
  </si>
  <si>
    <t>SIEGA</t>
  </si>
  <si>
    <t>BASMAYOR</t>
  </si>
  <si>
    <t xml:space="preserve">SIGA </t>
  </si>
  <si>
    <t>NEDERLYN</t>
  </si>
  <si>
    <t xml:space="preserve">MAMPULA </t>
  </si>
  <si>
    <t>16-03-10-001-000099</t>
  </si>
  <si>
    <t>PAITAN</t>
  </si>
  <si>
    <t>CALIPUSAN</t>
  </si>
  <si>
    <t>10-13-21-024-000448</t>
  </si>
  <si>
    <t>RAQUEL</t>
  </si>
  <si>
    <t>BALMORES</t>
  </si>
  <si>
    <t>GUICO</t>
  </si>
  <si>
    <t>ALONA</t>
  </si>
  <si>
    <t>YABA</t>
  </si>
  <si>
    <t>10-13-17-025-000255</t>
  </si>
  <si>
    <t>CLETO JR.</t>
  </si>
  <si>
    <t>LAURENCIANA</t>
  </si>
  <si>
    <t>ENSOMO</t>
  </si>
  <si>
    <t>PRIMITIVA</t>
  </si>
  <si>
    <t>GAMUTOT</t>
  </si>
  <si>
    <t>16-67-24-037-000274</t>
  </si>
  <si>
    <t>TUDTOD</t>
  </si>
  <si>
    <t>JALLY</t>
  </si>
  <si>
    <t>GRAN</t>
  </si>
  <si>
    <t>16-67-24-041-000001</t>
  </si>
  <si>
    <t>BERO</t>
  </si>
  <si>
    <t>16-67-24-037-000051</t>
  </si>
  <si>
    <t>16-67-24-037-000038</t>
  </si>
  <si>
    <t>ALICIA</t>
  </si>
  <si>
    <t>DENOY</t>
  </si>
  <si>
    <t xml:space="preserve">ELORDE </t>
  </si>
  <si>
    <t>GOSANO</t>
  </si>
  <si>
    <t>16-67-24-031-000014</t>
  </si>
  <si>
    <t>MARIETTA</t>
  </si>
  <si>
    <t>16-67-24-005-000065</t>
  </si>
  <si>
    <t>RADNER</t>
  </si>
  <si>
    <t>VANZUELA</t>
  </si>
  <si>
    <t>16-67-24-031-000236</t>
  </si>
  <si>
    <t xml:space="preserve">SOBIONO </t>
  </si>
  <si>
    <t>GLEND</t>
  </si>
  <si>
    <t>PECOLADOS</t>
  </si>
  <si>
    <t>SORIANO</t>
  </si>
  <si>
    <t>ROXANNE</t>
  </si>
  <si>
    <t>LORONA</t>
  </si>
  <si>
    <t>16-67-24-043-000028</t>
  </si>
  <si>
    <t>SUBERE</t>
  </si>
  <si>
    <t>BABY JEAN</t>
  </si>
  <si>
    <t>16-67-24-036-000040</t>
  </si>
  <si>
    <t>SUDARIA</t>
  </si>
  <si>
    <t>MARY JANE</t>
  </si>
  <si>
    <t>16-02-02-060-000028</t>
  </si>
  <si>
    <t>SUHAYON</t>
  </si>
  <si>
    <t>ILDEFONSA</t>
  </si>
  <si>
    <t>16-02-07-002-000116</t>
  </si>
  <si>
    <t>NORAFIE</t>
  </si>
  <si>
    <t>NOCEDO</t>
  </si>
  <si>
    <t>16-67-24-065-000068</t>
  </si>
  <si>
    <t>SUMAGAYSAY</t>
  </si>
  <si>
    <t>PEDRAJAS</t>
  </si>
  <si>
    <t>16-03-12-006-000042</t>
  </si>
  <si>
    <t>SUMAMPONG</t>
  </si>
  <si>
    <t>16-67-02-001-000074</t>
  </si>
  <si>
    <t>TUDTUD</t>
  </si>
  <si>
    <t>ANALYN</t>
  </si>
  <si>
    <t>16-67-24-037-000134</t>
  </si>
  <si>
    <t>SUNICO</t>
  </si>
  <si>
    <t>16-67-24-037-000149</t>
  </si>
  <si>
    <t>ELCULLADA</t>
  </si>
  <si>
    <t>ALFREDO JR.</t>
  </si>
  <si>
    <t>JENNIFER</t>
  </si>
  <si>
    <t>16-304-00-060-000030</t>
  </si>
  <si>
    <t>MEMERITA</t>
  </si>
  <si>
    <t>16-67-24-032-000006</t>
  </si>
  <si>
    <t>SURILLA</t>
  </si>
  <si>
    <t>VENIRANDO</t>
  </si>
  <si>
    <t>SALISID</t>
  </si>
  <si>
    <t>16-68-18-005-000287</t>
  </si>
  <si>
    <t>SYZDEK</t>
  </si>
  <si>
    <t>ARFEL</t>
  </si>
  <si>
    <t>16-67-24-065-000260</t>
  </si>
  <si>
    <t>TABANG</t>
  </si>
  <si>
    <t>TABAYA</t>
  </si>
  <si>
    <t>ZACARIAS</t>
  </si>
  <si>
    <t>TABINGO</t>
  </si>
  <si>
    <t>MARJORIE</t>
  </si>
  <si>
    <t>NIM</t>
  </si>
  <si>
    <t>16-03-05-005-000757</t>
  </si>
  <si>
    <t>TADLE</t>
  </si>
  <si>
    <t>RELINDA</t>
  </si>
  <si>
    <t>16-85-07-004-000022</t>
  </si>
  <si>
    <t>TADULAN</t>
  </si>
  <si>
    <t>16-03-01-011-000021</t>
  </si>
  <si>
    <t>TAGACAY</t>
  </si>
  <si>
    <t>ROGELYN</t>
  </si>
  <si>
    <t>16-03-13-004-000320</t>
  </si>
  <si>
    <t>ERIC</t>
  </si>
  <si>
    <t>16-03-01-030-000123</t>
  </si>
  <si>
    <t>TAGAROMA</t>
  </si>
  <si>
    <t>SALAS</t>
  </si>
  <si>
    <t>16-03-05-005-000388</t>
  </si>
  <si>
    <t>TAGAYLO</t>
  </si>
  <si>
    <t>BALBINA</t>
  </si>
  <si>
    <t>BAGUIO</t>
  </si>
  <si>
    <t>EMELYN</t>
  </si>
  <si>
    <t>QUITOS</t>
  </si>
  <si>
    <t>MAGNETICO</t>
  </si>
  <si>
    <t>JUNREL</t>
  </si>
  <si>
    <t>ENCLONA</t>
  </si>
  <si>
    <t>16-67-24-037-000273</t>
  </si>
  <si>
    <t>TALHA</t>
  </si>
  <si>
    <t>MARLON  DAVE</t>
  </si>
  <si>
    <t>ERNESTO  JR.</t>
  </si>
  <si>
    <t>TAMBOBOY</t>
  </si>
  <si>
    <t>PAUL JOHN</t>
  </si>
  <si>
    <t>ALBEOS</t>
  </si>
  <si>
    <t>GILBERT</t>
  </si>
  <si>
    <t>SIMOGAN</t>
  </si>
  <si>
    <t>TAN</t>
  </si>
  <si>
    <t>FERNANDO JR.</t>
  </si>
  <si>
    <t>IBOL</t>
  </si>
  <si>
    <t>TANTOY</t>
  </si>
  <si>
    <t>16-02-02-060-000004</t>
  </si>
  <si>
    <t>ZALDY</t>
  </si>
  <si>
    <t>PAGAPULAR</t>
  </si>
  <si>
    <t>16-67-24-031-000072</t>
  </si>
  <si>
    <t>TARE</t>
  </si>
  <si>
    <t>JACQUELYN</t>
  </si>
  <si>
    <t>TATOY</t>
  </si>
  <si>
    <t>ROSINA</t>
  </si>
  <si>
    <t>16-67-24-037-000092</t>
  </si>
  <si>
    <t>TAYAB</t>
  </si>
  <si>
    <t>SINGCOLAN</t>
  </si>
  <si>
    <t>THELMA</t>
  </si>
  <si>
    <t>16-67-24-066-000060</t>
  </si>
  <si>
    <t>TELLO</t>
  </si>
  <si>
    <t>SAMSON</t>
  </si>
  <si>
    <t>16-67-24-017-000144</t>
  </si>
  <si>
    <t>ELPIE</t>
  </si>
  <si>
    <t>16-67-24-005-000056</t>
  </si>
  <si>
    <t xml:space="preserve">TERO </t>
  </si>
  <si>
    <t xml:space="preserve">LUCIA </t>
  </si>
  <si>
    <t xml:space="preserve">LUMBRES </t>
  </si>
  <si>
    <t>16-67-24-005-000183</t>
  </si>
  <si>
    <t>DERIGAY</t>
  </si>
  <si>
    <t>16-67-24-037-000068</t>
  </si>
  <si>
    <t>CELSO</t>
  </si>
  <si>
    <t>TIMTIM</t>
  </si>
  <si>
    <t>EPIFANIA</t>
  </si>
  <si>
    <t>CARCUEVAS</t>
  </si>
  <si>
    <t>16-67-24-066-000055</t>
  </si>
  <si>
    <t>TINAMISAN</t>
  </si>
  <si>
    <t>ADELFA</t>
  </si>
  <si>
    <t>16-67-24-065-000256</t>
  </si>
  <si>
    <t xml:space="preserve">ELOGON </t>
  </si>
  <si>
    <t xml:space="preserve">MARCIANO </t>
  </si>
  <si>
    <t xml:space="preserve">CELLONA </t>
  </si>
  <si>
    <t>DENNIS</t>
  </si>
  <si>
    <t>ELPIDAZ</t>
  </si>
  <si>
    <t>16-67-24-032-000019</t>
  </si>
  <si>
    <t>NORLITA</t>
  </si>
  <si>
    <t>16-02-02-017-000043</t>
  </si>
  <si>
    <t>TINGSON</t>
  </si>
  <si>
    <t>JANETH</t>
  </si>
  <si>
    <t>ARTUZ</t>
  </si>
  <si>
    <t xml:space="preserve">TINO </t>
  </si>
  <si>
    <t xml:space="preserve">ARCHILITO </t>
  </si>
  <si>
    <t xml:space="preserve">GAPATE </t>
  </si>
  <si>
    <t>16-67-02-001-000379</t>
  </si>
  <si>
    <t>TINO</t>
  </si>
  <si>
    <t>NARCISO</t>
  </si>
  <si>
    <t>MANGANA</t>
  </si>
  <si>
    <t>16-67-02-003-000070</t>
  </si>
  <si>
    <t xml:space="preserve">TOLEDO </t>
  </si>
  <si>
    <t xml:space="preserve">EDDIE </t>
  </si>
  <si>
    <t>16-67-24-067-000119</t>
  </si>
  <si>
    <t>CELESTE</t>
  </si>
  <si>
    <t>16-67-24-067-000023</t>
  </si>
  <si>
    <t>LOURDESITA</t>
  </si>
  <si>
    <t>16-67-24-067-000162</t>
  </si>
  <si>
    <t>MARK RYAN</t>
  </si>
  <si>
    <t>16-67-24-067-000174</t>
  </si>
  <si>
    <t>16-67-24-017-000055</t>
  </si>
  <si>
    <t>LUMANTA</t>
  </si>
  <si>
    <t>16-67-24-013-000001</t>
  </si>
  <si>
    <t>TORREGOZA</t>
  </si>
  <si>
    <t xml:space="preserve">EDNA </t>
  </si>
  <si>
    <t>TOYCO</t>
  </si>
  <si>
    <t>MARITESS</t>
  </si>
  <si>
    <t>16-304-00-060-000022</t>
  </si>
  <si>
    <t>16-67-24-037-000071</t>
  </si>
  <si>
    <t>TUMANDA</t>
  </si>
  <si>
    <t>16-02-02-064-000123</t>
  </si>
  <si>
    <t xml:space="preserve">TUMBAGA </t>
  </si>
  <si>
    <t xml:space="preserve">EDUARDO </t>
  </si>
  <si>
    <t xml:space="preserve">ABQUILAN </t>
  </si>
  <si>
    <t>16-03-05-005-000248</t>
  </si>
  <si>
    <t>BERNANDINO JR</t>
  </si>
  <si>
    <t>UGTAL</t>
  </si>
  <si>
    <t>NIERE</t>
  </si>
  <si>
    <t>10-13-15-017-000106</t>
  </si>
  <si>
    <t>VALMORIA</t>
  </si>
  <si>
    <t>NELDA</t>
  </si>
  <si>
    <t>VARGAS</t>
  </si>
  <si>
    <t>ARGIE</t>
  </si>
  <si>
    <t>VELARDE</t>
  </si>
  <si>
    <t>MELODY</t>
  </si>
  <si>
    <t>16-02-02-060-000090</t>
  </si>
  <si>
    <t>VENTURA</t>
  </si>
  <si>
    <t>EUFEMIA</t>
  </si>
  <si>
    <t>10-13-12-063-000041</t>
  </si>
  <si>
    <t>VERA</t>
  </si>
  <si>
    <t>FLORENTINA</t>
  </si>
  <si>
    <t>16-02-02-064-000153</t>
  </si>
  <si>
    <t>PAGALAN</t>
  </si>
  <si>
    <t>16-67-24-017-000110</t>
  </si>
  <si>
    <t>SOLANTE</t>
  </si>
  <si>
    <t>16-67-24-037-000157</t>
  </si>
  <si>
    <t>APURA</t>
  </si>
  <si>
    <t>16-67-24-032-000029</t>
  </si>
  <si>
    <t>16-67-24-037-000100</t>
  </si>
  <si>
    <t>PEREGRINA</t>
  </si>
  <si>
    <t>16-67-24-065-000010</t>
  </si>
  <si>
    <t>VILLAR</t>
  </si>
  <si>
    <t>16-67-24-017-000032</t>
  </si>
  <si>
    <t>ESCO</t>
  </si>
  <si>
    <t>FRELYN</t>
  </si>
  <si>
    <t>VILLAZON</t>
  </si>
  <si>
    <t>16-67-24-017-000114</t>
  </si>
  <si>
    <t>VISORRO</t>
  </si>
  <si>
    <t>LEOPOLDO JR.</t>
  </si>
  <si>
    <t>LUMAMBA</t>
  </si>
  <si>
    <t>WENCESLAO</t>
  </si>
  <si>
    <t xml:space="preserve">EDGARDO </t>
  </si>
  <si>
    <t>16-67-24-065-000293</t>
  </si>
  <si>
    <t>16-67-24-037-000094</t>
  </si>
  <si>
    <t>YUIPCO</t>
  </si>
  <si>
    <t>LOTES</t>
  </si>
  <si>
    <t>YUSALAN</t>
  </si>
  <si>
    <t>LUZ</t>
  </si>
  <si>
    <t>16-03-10-006-001015</t>
  </si>
  <si>
    <t>ZABALA</t>
  </si>
  <si>
    <t>LAMAY</t>
  </si>
  <si>
    <t>VALENCIA</t>
  </si>
  <si>
    <t>SINAYAWAN</t>
  </si>
  <si>
    <t>GEVA</t>
  </si>
  <si>
    <t>Period of Exposure</t>
  </si>
  <si>
    <t>MALAYBALAY CITY</t>
  </si>
  <si>
    <t>TWS NO.</t>
  </si>
  <si>
    <t>Typhoon Basyang</t>
  </si>
  <si>
    <t>33 HRS</t>
  </si>
  <si>
    <t>02/05/2026 1:00:00 am to 02/06/2026  10:00:00 am</t>
  </si>
  <si>
    <t>Wind Velocity</t>
  </si>
  <si>
    <t>62-88kph</t>
  </si>
  <si>
    <t>TY Data Source: PAG-ASA</t>
  </si>
  <si>
    <t>Insurance Record: RISK EXPOSURE as of 02/09/2026</t>
  </si>
  <si>
    <t>Period of Exposure, hrs</t>
  </si>
  <si>
    <t>Duration (Hours)</t>
  </si>
  <si>
    <t>TCWS Level</t>
  </si>
  <si>
    <t>Start Time</t>
  </si>
  <si>
    <t>End Time</t>
  </si>
  <si>
    <t>Buenavista</t>
  </si>
  <si>
    <t>TCWS No. 2</t>
  </si>
  <si>
    <t>Butuan City</t>
  </si>
  <si>
    <t>Cabadbaran City</t>
  </si>
  <si>
    <t>Carmen</t>
  </si>
  <si>
    <t>Jabonga</t>
  </si>
  <si>
    <t>Kitcharao</t>
  </si>
  <si>
    <t>Las Nieves</t>
  </si>
  <si>
    <t>Magallanes</t>
  </si>
  <si>
    <t>Nasipit</t>
  </si>
  <si>
    <t>Remedios T. Romualdez</t>
  </si>
  <si>
    <t>Santiago</t>
  </si>
  <si>
    <t>Tubay</t>
  </si>
  <si>
    <t>Bayugan City</t>
  </si>
  <si>
    <t>Loreto</t>
  </si>
  <si>
    <t>Santa Josefa</t>
  </si>
  <si>
    <t>Veruela</t>
  </si>
  <si>
    <t>Bunawan</t>
  </si>
  <si>
    <t>La Paz</t>
  </si>
  <si>
    <t>Trento</t>
  </si>
  <si>
    <t>Prosperidad</t>
  </si>
  <si>
    <t>Rosario</t>
  </si>
  <si>
    <t>San Francisco</t>
  </si>
  <si>
    <t>San Luis</t>
  </si>
  <si>
    <t>Talacogon</t>
  </si>
  <si>
    <t>Esperanza</t>
  </si>
  <si>
    <t>Sibagat</t>
  </si>
  <si>
    <t>Cabanglasan</t>
  </si>
  <si>
    <t>Baungon</t>
  </si>
  <si>
    <t>Libona</t>
  </si>
  <si>
    <t>Malitbog</t>
  </si>
  <si>
    <t>Manolo Fortich</t>
  </si>
  <si>
    <t>Malaybalay City</t>
  </si>
  <si>
    <t>Impasog-ong</t>
  </si>
  <si>
    <t>Sumilao</t>
  </si>
  <si>
    <t>Catarman</t>
  </si>
  <si>
    <t>Guinsiliban</t>
  </si>
  <si>
    <t>Mahinog</t>
  </si>
  <si>
    <t>Mambajao</t>
  </si>
  <si>
    <t>Sagay</t>
  </si>
  <si>
    <t>Dinagat</t>
  </si>
  <si>
    <t>Tubajon</t>
  </si>
  <si>
    <t>Basilisa</t>
  </si>
  <si>
    <t>Cagdianao</t>
  </si>
  <si>
    <t>Libjo</t>
  </si>
  <si>
    <t>San Jose</t>
  </si>
  <si>
    <t>Alubijid</t>
  </si>
  <si>
    <t>Balingasag</t>
  </si>
  <si>
    <t>Balingoan</t>
  </si>
  <si>
    <t>Binuangan</t>
  </si>
  <si>
    <t>Cagayan de Oro City</t>
  </si>
  <si>
    <t>El Salvador City</t>
  </si>
  <si>
    <t>Gitagum</t>
  </si>
  <si>
    <t>Initao</t>
  </si>
  <si>
    <t>Jasaan</t>
  </si>
  <si>
    <t>Kinoguitan</t>
  </si>
  <si>
    <t>Lagonglong</t>
  </si>
  <si>
    <t>Laguindingan</t>
  </si>
  <si>
    <t>Libertad</t>
  </si>
  <si>
    <t>Lugait</t>
  </si>
  <si>
    <t>Manticao</t>
  </si>
  <si>
    <t>Medina</t>
  </si>
  <si>
    <t>Naawan</t>
  </si>
  <si>
    <t>Opol</t>
  </si>
  <si>
    <t>Salay</t>
  </si>
  <si>
    <t>Sugbongcogon</t>
  </si>
  <si>
    <t>Tagoloan</t>
  </si>
  <si>
    <t>Talisayan</t>
  </si>
  <si>
    <t>Villanueva</t>
  </si>
  <si>
    <t>Claveria</t>
  </si>
  <si>
    <t>Gingoog City</t>
  </si>
  <si>
    <t>Magsaysay</t>
  </si>
  <si>
    <t>Burgos</t>
  </si>
  <si>
    <t>Dapa</t>
  </si>
  <si>
    <t>Del Carmen</t>
  </si>
  <si>
    <t>General Luna</t>
  </si>
  <si>
    <t>Mainit</t>
  </si>
  <si>
    <t>Malimono</t>
  </si>
  <si>
    <t>Pilar</t>
  </si>
  <si>
    <t>Placer</t>
  </si>
  <si>
    <t>San Benito</t>
  </si>
  <si>
    <t>San Isidro</t>
  </si>
  <si>
    <t>Santa Monica</t>
  </si>
  <si>
    <t>Sison</t>
  </si>
  <si>
    <t>Socorro</t>
  </si>
  <si>
    <t>Surigao City</t>
  </si>
  <si>
    <t>Tagana-an</t>
  </si>
  <si>
    <t>Tubod</t>
  </si>
  <si>
    <t>Alegria</t>
  </si>
  <si>
    <t>Bacuag</t>
  </si>
  <si>
    <t>Claver</t>
  </si>
  <si>
    <t>Gigaquit</t>
  </si>
  <si>
    <t>Bislig City</t>
  </si>
  <si>
    <t>Hinatuan</t>
  </si>
  <si>
    <t>Lingig</t>
  </si>
  <si>
    <t>Tandag City</t>
  </si>
  <si>
    <t>Barobo</t>
  </si>
  <si>
    <t>Bayabas</t>
  </si>
  <si>
    <t>Cagwait</t>
  </si>
  <si>
    <t>Lianga</t>
  </si>
  <si>
    <t>Marihatag</t>
  </si>
  <si>
    <t>San Agustin</t>
  </si>
  <si>
    <t>Tagbina</t>
  </si>
  <si>
    <t>Cantilan</t>
  </si>
  <si>
    <t>Carrascal</t>
  </si>
  <si>
    <t>Cortes</t>
  </si>
  <si>
    <t>Lanuza</t>
  </si>
  <si>
    <t>Madrid</t>
  </si>
  <si>
    <t>San Miguel</t>
  </si>
  <si>
    <t>Tago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</si>
</sst>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yyyy\-mm\-dd\ hh:mm:ss"/>
  </numFmts>
  <fonts count="7">
    <font>
      <sz val="11.0"/>
      <color theme="1"/>
      <name val="Calibri"/>
      <scheme val="minor"/>
    </font>
    <font>
      <color rgb="FFFFFFFF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i/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rgb="FFD0CECE"/>
        <bgColor rgb="FFD0CE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Alignment="1" applyFont="1" applyNumberFormat="1">
      <alignment horizontal="center"/>
    </xf>
    <xf borderId="0" fillId="0" fontId="3" numFmtId="0" xfId="0" applyFont="1"/>
    <xf borderId="0" fillId="0" fontId="4" numFmtId="14" xfId="0" applyFont="1" applyNumberFormat="1"/>
    <xf borderId="0" fillId="0" fontId="4" numFmtId="1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164" xfId="0" applyFont="1" applyNumberFormat="1"/>
    <xf borderId="0" fillId="0" fontId="3" numFmtId="0" xfId="0" applyFont="1"/>
    <xf borderId="0" fillId="0" fontId="4" numFmtId="22" xfId="0" applyFont="1" applyNumberFormat="1"/>
    <xf borderId="0" fillId="0" fontId="6" numFmtId="0" xfId="0" applyFont="1"/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4" numFmtId="0" xfId="0" applyAlignment="1" applyFont="1">
      <alignment horizontal="center"/>
    </xf>
    <xf borderId="0" fillId="0" fontId="4" numFmtId="164" xfId="0" applyFont="1" applyNumberFormat="1"/>
    <xf borderId="1" fillId="2" fontId="4" numFmtId="0" xfId="0" applyBorder="1" applyFill="1" applyFont="1"/>
    <xf borderId="1" fillId="2" fontId="4" numFmtId="165" xfId="0" applyBorder="1" applyFont="1" applyNumberFormat="1"/>
    <xf borderId="1" fillId="3" fontId="4" numFmtId="0" xfId="0" applyBorder="1" applyFill="1" applyFont="1"/>
    <xf borderId="1" fillId="3" fontId="4" numFmtId="165" xfId="0" applyBorder="1" applyFont="1" applyNumberFormat="1"/>
    <xf borderId="0" fillId="0" fontId="4" numFmtId="165" xfId="0" applyFont="1" applyNumberFormat="1"/>
    <xf borderId="1" fillId="4" fontId="4" numFmtId="0" xfId="0" applyBorder="1" applyFill="1" applyFont="1"/>
    <xf borderId="1" fillId="4" fontId="4" numFmtId="165" xfId="0" applyBorder="1" applyFont="1" applyNumberFormat="1"/>
    <xf borderId="1" fillId="5" fontId="4" numFmtId="0" xfId="0" applyBorder="1" applyFill="1" applyFont="1"/>
    <xf borderId="1" fillId="5" fontId="4" numFmtId="165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RICE_Insured Farms_with PPI Pol-style">
      <tableStyleElement dxfId="1" type="headerRow"/>
      <tableStyleElement dxfId="2" type="firstRowStripe"/>
      <tableStyleElement dxfId="2" type="secondRowStripe"/>
    </tableStyle>
    <tableStyle count="3" pivot="0" name="Additional-style">
      <tableStyleElement dxfId="1" type="headerRow"/>
      <tableStyleElement dxfId="2" type="firstRowStripe"/>
      <tableStyleElement dxfId="2" type="secondRowStripe"/>
    </tableStyle>
    <tableStyle count="3" pivot="0" name="Qualified for ParamIns. 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490" displayName="Table_1" name="Table_1" id="1">
  <tableColumns count="23">
    <tableColumn name="No." id="1"/>
    <tableColumn name="Program Type" id="2"/>
    <tableColumn name="Province" id="3"/>
    <tableColumn name="Municipality" id="4"/>
    <tableColumn name="Barangay" id="5"/>
    <tableColumn name="Policy No." id="6"/>
    <tableColumn name="Effectivity Date" id="7"/>
    <tableColumn name="Expiry Date" id="8"/>
    <tableColumn name="Surname" id="9"/>
    <tableColumn name="Firstname" id="10"/>
    <tableColumn name="Middlename" id="11"/>
    <tableColumn name="AreaInsured" id="12"/>
    <tableColumn name="AmountofCover" id="13"/>
    <tableColumn name="Stage No." id="14"/>
    <tableColumn name="FarmersID" id="15"/>
    <tableColumn name="RSBSA No." id="16"/>
    <tableColumn name="Farm ID" id="17"/>
    <tableColumn name="Georef ID" id="18"/>
    <tableColumn name="RiskExposureAmount" id="19"/>
    <tableColumn name="Stage" id="20"/>
    <tableColumn name="EstimatedDamage" id="21"/>
    <tableColumn name="Days from Planting to  Typhoon Occurance" id="22"/>
    <tableColumn name="Adjuster's Stage of Crop Calculation" id="23"/>
  </tableColumns>
  <tableStyleInfo name="RICE_Insured Farms_with PPI Pol-style" showColumnStripes="0" showFirstColumn="1" showLastColumn="1" showRowStripes="1"/>
</table>
</file>

<file path=xl/tables/table2.xml><?xml version="1.0" encoding="utf-8"?>
<table xmlns="http://schemas.openxmlformats.org/spreadsheetml/2006/main" ref="A1:V151" displayName="Table_2" name="Table_2" id="2">
  <tableColumns count="22">
    <tableColumn name="No." id="1"/>
    <tableColumn name="Program Type" id="2"/>
    <tableColumn name="Province" id="3"/>
    <tableColumn name="Municipality" id="4"/>
    <tableColumn name="Barangay" id="5"/>
    <tableColumn name="Policy No." id="6"/>
    <tableColumn name="Effectivity Date" id="7"/>
    <tableColumn name="Expiry Date" id="8"/>
    <tableColumn name="Surname" id="9"/>
    <tableColumn name="Firstname" id="10"/>
    <tableColumn name="Middlename" id="11"/>
    <tableColumn name="AreaInsured" id="12"/>
    <tableColumn name="AmountofCover" id="13"/>
    <tableColumn name="Stage No." id="14"/>
    <tableColumn name="FarmersID" id="15"/>
    <tableColumn name="RSBSA No." id="16"/>
    <tableColumn name="Farm ID" id="17"/>
    <tableColumn name="Georef ID" id="18"/>
    <tableColumn name="RiskExposureAmount" id="19"/>
    <tableColumn name="Stage" id="20"/>
    <tableColumn name="EstimatedDamage" id="21"/>
    <tableColumn name="Period of Exposure" id="22"/>
  </tableColumns>
  <tableStyleInfo name="Additional-style" showColumnStripes="0" showFirstColumn="1" showLastColumn="1" showRowStripes="1"/>
</table>
</file>

<file path=xl/tables/table3.xml><?xml version="1.0" encoding="utf-8"?>
<table xmlns="http://schemas.openxmlformats.org/spreadsheetml/2006/main" ref="A5:V22" displayName="Table_3" name="Table_3" id="3">
  <tableColumns count="22">
    <tableColumn name="No." id="1"/>
    <tableColumn name="Program Type" id="2"/>
    <tableColumn name="Province" id="3"/>
    <tableColumn name="Municipality" id="4"/>
    <tableColumn name="Barangay" id="5"/>
    <tableColumn name="Policy No." id="6"/>
    <tableColumn name="Effectivity Date" id="7"/>
    <tableColumn name="Expiry Date" id="8"/>
    <tableColumn name="Surname" id="9"/>
    <tableColumn name="Firstname" id="10"/>
    <tableColumn name="Middlename" id="11"/>
    <tableColumn name="AreaInsured" id="12"/>
    <tableColumn name="AmountofCover" id="13"/>
    <tableColumn name="Stage No." id="14"/>
    <tableColumn name="FarmersID" id="15"/>
    <tableColumn name="RSBSA No." id="16"/>
    <tableColumn name="Farm ID" id="17"/>
    <tableColumn name="Georef ID" id="18"/>
    <tableColumn name="RiskExposureAmount" id="19"/>
    <tableColumn name="Stage" id="20"/>
    <tableColumn name="EstimatedDamage" id="21"/>
    <tableColumn name="Period of Exposure, hrs" id="22"/>
  </tableColumns>
  <tableStyleInfo name="Qualified for ParamIns.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9.71"/>
    <col customWidth="1" min="3" max="3" width="16.57"/>
    <col customWidth="1" min="4" max="4" width="24.0"/>
    <col customWidth="1" min="5" max="5" width="21.0"/>
    <col customWidth="1" min="6" max="6" width="12.71"/>
    <col customWidth="1" min="7" max="7" width="17.71"/>
    <col customWidth="1" min="8" max="8" width="14.0"/>
    <col customWidth="1" min="9" max="9" width="15.14"/>
    <col customWidth="1" min="10" max="10" width="19.71"/>
    <col customWidth="1" min="11" max="11" width="16.29"/>
    <col customWidth="1" min="12" max="12" width="14.86"/>
    <col customWidth="1" min="13" max="13" width="18.29"/>
    <col customWidth="1" min="14" max="14" width="12.29"/>
    <col customWidth="1" min="15" max="15" width="12.86"/>
    <col customWidth="1" min="16" max="16" width="25.14"/>
    <col customWidth="1" min="17" max="17" width="10.57"/>
    <col customWidth="1" min="18" max="18" width="13.57"/>
    <col customWidth="1" min="19" max="19" width="23.14"/>
    <col customWidth="1" min="20" max="20" width="36.86"/>
    <col customWidth="1" min="21" max="21" width="20.14"/>
    <col customWidth="1" min="22" max="22" width="41.29"/>
    <col customWidth="1" min="23" max="23" width="3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</row>
    <row r="2">
      <c r="A2" s="3">
        <v>1.0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1761007.0</v>
      </c>
      <c r="G2" s="4">
        <v>46019.0</v>
      </c>
      <c r="H2" s="4">
        <v>46139.0</v>
      </c>
      <c r="I2" s="3" t="s">
        <v>27</v>
      </c>
      <c r="J2" s="3" t="s">
        <v>28</v>
      </c>
      <c r="K2" s="3" t="s">
        <v>29</v>
      </c>
      <c r="L2" s="3">
        <v>1.11</v>
      </c>
      <c r="M2" s="3">
        <v>27750.0</v>
      </c>
      <c r="N2" s="3">
        <v>2.0</v>
      </c>
      <c r="O2" s="3">
        <v>127451.0</v>
      </c>
      <c r="P2" s="3" t="s">
        <v>30</v>
      </c>
      <c r="Q2" s="3">
        <v>390975.0</v>
      </c>
      <c r="R2" s="3"/>
      <c r="S2" s="3">
        <v>19425.0</v>
      </c>
      <c r="T2" s="3" t="s">
        <v>31</v>
      </c>
      <c r="U2" s="3">
        <v>19425.0</v>
      </c>
      <c r="V2" s="5">
        <f>(DATE(2026,2,3)-'RICE_Insured Farms_with PPI Pol'!$G2)+IF('RICE_Insured Farms_with PPI Pol'!$H2&lt;&gt;'RICE_Insured Farms_with PPI Pol'!$G2,18,0)</f>
        <v>55</v>
      </c>
      <c r="W2" s="3" t="str">
        <f t="array" ref="W2">IFS(V2&gt;120, "Harvested", V2&gt;=113, "Yellow Ripening", V2&gt;=101, "Dough Stage", V2&gt;=93, "Milking Stage", V2&gt;=86, "Flowering", V2&gt;=56, "Panicle Initiation/Booting", V2&lt;56, "Vegetative/Tillering")</f>
        <v>Vegetative/Tillering</v>
      </c>
    </row>
    <row r="3">
      <c r="A3" s="3">
        <v>2.0</v>
      </c>
      <c r="B3" s="3" t="s">
        <v>23</v>
      </c>
      <c r="C3" s="3" t="s">
        <v>24</v>
      </c>
      <c r="D3" s="3" t="s">
        <v>25</v>
      </c>
      <c r="E3" s="3" t="s">
        <v>32</v>
      </c>
      <c r="F3" s="3">
        <v>1760478.0</v>
      </c>
      <c r="G3" s="4">
        <v>46014.0</v>
      </c>
      <c r="H3" s="4">
        <v>46114.0</v>
      </c>
      <c r="I3" s="3" t="s">
        <v>33</v>
      </c>
      <c r="J3" s="3" t="s">
        <v>34</v>
      </c>
      <c r="K3" s="3" t="s">
        <v>35</v>
      </c>
      <c r="L3" s="3">
        <v>0.3564</v>
      </c>
      <c r="M3" s="3">
        <v>8910.0</v>
      </c>
      <c r="N3" s="3">
        <v>3.0</v>
      </c>
      <c r="O3" s="3">
        <v>313897.0</v>
      </c>
      <c r="P3" s="3" t="s">
        <v>36</v>
      </c>
      <c r="Q3" s="3">
        <v>572646.0</v>
      </c>
      <c r="R3" s="3"/>
      <c r="S3" s="3">
        <v>7128.0</v>
      </c>
      <c r="T3" s="3" t="s">
        <v>37</v>
      </c>
      <c r="U3" s="3">
        <v>7128.0</v>
      </c>
      <c r="V3" s="5">
        <f>(DATE(2026,2,3)-'RICE_Insured Farms_with PPI Pol'!$G3)+IF('RICE_Insured Farms_with PPI Pol'!$H3&lt;&gt;'RICE_Insured Farms_with PPI Pol'!$G3,18,0)</f>
        <v>60</v>
      </c>
      <c r="W3" s="3" t="str">
        <f t="array" ref="W3">IFS(V3&gt;120, "Harvested", V3&gt;=113, "Yellow Ripening", V3&gt;=101, "Dough Stage", V3&gt;=93, "Milking Stage", V3&gt;=86, "Flowering", V3&gt;=56, "Panicle Initiation/Booting", V3&lt;56, "Vegetative/Tillering")</f>
        <v>Panicle Initiation/Booting</v>
      </c>
    </row>
    <row r="4">
      <c r="A4" s="3">
        <v>3.0</v>
      </c>
      <c r="B4" s="3" t="s">
        <v>23</v>
      </c>
      <c r="C4" s="3" t="s">
        <v>24</v>
      </c>
      <c r="D4" s="3" t="s">
        <v>25</v>
      </c>
      <c r="E4" s="3" t="s">
        <v>32</v>
      </c>
      <c r="F4" s="3">
        <v>1760476.0</v>
      </c>
      <c r="G4" s="4">
        <v>46014.0</v>
      </c>
      <c r="H4" s="4">
        <v>46112.0</v>
      </c>
      <c r="I4" s="3" t="s">
        <v>38</v>
      </c>
      <c r="J4" s="3" t="s">
        <v>39</v>
      </c>
      <c r="K4" s="3" t="s">
        <v>40</v>
      </c>
      <c r="L4" s="3">
        <v>1.5</v>
      </c>
      <c r="M4" s="3">
        <v>37500.0</v>
      </c>
      <c r="N4" s="3">
        <v>3.0</v>
      </c>
      <c r="O4" s="3">
        <v>294980.0</v>
      </c>
      <c r="P4" s="3" t="s">
        <v>41</v>
      </c>
      <c r="Q4" s="3">
        <v>603915.0</v>
      </c>
      <c r="R4" s="3"/>
      <c r="S4" s="3">
        <v>30000.0</v>
      </c>
      <c r="T4" s="3" t="s">
        <v>37</v>
      </c>
      <c r="U4" s="3">
        <v>30000.0</v>
      </c>
      <c r="V4" s="5">
        <f>(DATE(2026,2,3)-'RICE_Insured Farms_with PPI Pol'!$G4)+IF('RICE_Insured Farms_with PPI Pol'!$H4&lt;&gt;'RICE_Insured Farms_with PPI Pol'!$G4,18,0)</f>
        <v>60</v>
      </c>
      <c r="W4" s="3" t="str">
        <f t="array" ref="W4">IFS(V4&gt;120, "Harvested", V4&gt;=113, "Yellow Ripening", V4&gt;=101, "Dough Stage", V4&gt;=93, "Milking Stage", V4&gt;=86, "Flowering", V4&gt;=56, "Panicle Initiation/Booting", V4&lt;56, "Vegetative/Tillering")</f>
        <v>Panicle Initiation/Booting</v>
      </c>
    </row>
    <row r="5">
      <c r="A5" s="3">
        <v>4.0</v>
      </c>
      <c r="B5" s="3" t="s">
        <v>23</v>
      </c>
      <c r="C5" s="3" t="s">
        <v>24</v>
      </c>
      <c r="D5" s="3" t="s">
        <v>25</v>
      </c>
      <c r="E5" s="3" t="s">
        <v>26</v>
      </c>
      <c r="F5" s="3">
        <v>1760459.0</v>
      </c>
      <c r="G5" s="4">
        <v>46015.0</v>
      </c>
      <c r="H5" s="4">
        <v>46112.0</v>
      </c>
      <c r="I5" s="3" t="s">
        <v>42</v>
      </c>
      <c r="J5" s="3" t="s">
        <v>43</v>
      </c>
      <c r="K5" s="3" t="s">
        <v>44</v>
      </c>
      <c r="L5" s="3">
        <v>1.0</v>
      </c>
      <c r="M5" s="3">
        <v>25000.0</v>
      </c>
      <c r="N5" s="3">
        <v>3.0</v>
      </c>
      <c r="O5" s="3">
        <v>369934.0</v>
      </c>
      <c r="P5" s="3" t="s">
        <v>45</v>
      </c>
      <c r="Q5" s="3">
        <v>727077.0</v>
      </c>
      <c r="R5" s="3"/>
      <c r="S5" s="3">
        <v>20000.0</v>
      </c>
      <c r="T5" s="3" t="s">
        <v>37</v>
      </c>
      <c r="U5" s="3">
        <v>20000.0</v>
      </c>
      <c r="V5" s="5">
        <f>(DATE(2026,2,3)-'RICE_Insured Farms_with PPI Pol'!$G5)+IF('RICE_Insured Farms_with PPI Pol'!$H5&lt;&gt;'RICE_Insured Farms_with PPI Pol'!$G5,18,0)</f>
        <v>59</v>
      </c>
      <c r="W5" s="3" t="str">
        <f t="array" ref="W5">IFS(V5&gt;120, "Harvested", V5&gt;=113, "Yellow Ripening", V5&gt;=101, "Dough Stage", V5&gt;=93, "Milking Stage", V5&gt;=86, "Flowering", V5&gt;=56, "Panicle Initiation/Booting", V5&lt;56, "Vegetative/Tillering")</f>
        <v>Panicle Initiation/Booting</v>
      </c>
    </row>
    <row r="6">
      <c r="A6" s="3">
        <v>5.0</v>
      </c>
      <c r="B6" s="3" t="s">
        <v>23</v>
      </c>
      <c r="C6" s="3" t="s">
        <v>24</v>
      </c>
      <c r="D6" s="3" t="s">
        <v>25</v>
      </c>
      <c r="E6" s="3" t="s">
        <v>26</v>
      </c>
      <c r="F6" s="3">
        <v>1760459.0</v>
      </c>
      <c r="G6" s="4">
        <v>46014.0</v>
      </c>
      <c r="H6" s="4">
        <v>46113.0</v>
      </c>
      <c r="I6" s="3" t="s">
        <v>46</v>
      </c>
      <c r="J6" s="3" t="s">
        <v>47</v>
      </c>
      <c r="K6" s="3" t="s">
        <v>48</v>
      </c>
      <c r="L6" s="3">
        <v>1.0</v>
      </c>
      <c r="M6" s="3">
        <v>25000.0</v>
      </c>
      <c r="N6" s="3">
        <v>3.0</v>
      </c>
      <c r="O6" s="3">
        <v>85802.0</v>
      </c>
      <c r="P6" s="3" t="s">
        <v>49</v>
      </c>
      <c r="Q6" s="3">
        <v>476759.0</v>
      </c>
      <c r="R6" s="3"/>
      <c r="S6" s="3">
        <v>20000.0</v>
      </c>
      <c r="T6" s="3" t="s">
        <v>37</v>
      </c>
      <c r="U6" s="3">
        <v>20000.0</v>
      </c>
      <c r="V6" s="5">
        <f>(DATE(2026,2,3)-'RICE_Insured Farms_with PPI Pol'!$G6)+IF('RICE_Insured Farms_with PPI Pol'!$H6&lt;&gt;'RICE_Insured Farms_with PPI Pol'!$G6,18,0)</f>
        <v>60</v>
      </c>
      <c r="W6" s="3" t="str">
        <f t="array" ref="W6">IFS(V6&gt;120, "Harvested", V6&gt;=113, "Yellow Ripening", V6&gt;=101, "Dough Stage", V6&gt;=93, "Milking Stage", V6&gt;=86, "Flowering", V6&gt;=56, "Panicle Initiation/Booting", V6&lt;56, "Vegetative/Tillering")</f>
        <v>Panicle Initiation/Booting</v>
      </c>
    </row>
    <row r="7" hidden="1">
      <c r="A7" s="3">
        <v>1418.0</v>
      </c>
      <c r="B7" s="3" t="s">
        <v>23</v>
      </c>
      <c r="C7" s="3" t="s">
        <v>50</v>
      </c>
      <c r="D7" s="3" t="s">
        <v>51</v>
      </c>
      <c r="E7" s="3" t="s">
        <v>52</v>
      </c>
      <c r="F7" s="3">
        <v>1741852.0</v>
      </c>
      <c r="G7" s="4">
        <v>46011.0</v>
      </c>
      <c r="H7" s="4">
        <v>46106.0</v>
      </c>
      <c r="I7" s="3" t="s">
        <v>53</v>
      </c>
      <c r="J7" s="3" t="s">
        <v>54</v>
      </c>
      <c r="K7" s="3" t="s">
        <v>55</v>
      </c>
      <c r="L7" s="3">
        <v>1.227</v>
      </c>
      <c r="M7" s="3">
        <v>30675.0</v>
      </c>
      <c r="N7" s="3">
        <v>4.0</v>
      </c>
      <c r="O7" s="3">
        <v>34852.0</v>
      </c>
      <c r="P7" s="3"/>
      <c r="Q7" s="3">
        <v>1279410.0</v>
      </c>
      <c r="R7" s="3"/>
      <c r="S7" s="3">
        <v>24540.0</v>
      </c>
      <c r="T7" s="3" t="s">
        <v>56</v>
      </c>
      <c r="U7" s="3">
        <v>24540.0</v>
      </c>
      <c r="V7" s="5">
        <f>(DATE(2026,2,3)-'RICE_Insured Farms_with PPI Pol'!$G7)+IF('RICE_Insured Farms_with PPI Pol'!$H7&lt;&gt;'RICE_Insured Farms_with PPI Pol'!$G7,18,0)</f>
        <v>63</v>
      </c>
      <c r="W7" s="3" t="str">
        <f t="array" ref="W7">IFS(V7&gt;120, "Harvested", V7&gt;=113, "Yellow Ripening", V7&gt;=101, "Dough Stage", V7&gt;=93, "Milking Stage", V7&gt;=86, "Flowering", V7&gt;=56, "Panicle Initiation/Booting", V7&lt;56, "Vegetative/Tillering")</f>
        <v>Panicle Initiation/Booting</v>
      </c>
    </row>
    <row r="8" hidden="1">
      <c r="A8" s="3">
        <v>7.0</v>
      </c>
      <c r="B8" s="3" t="s">
        <v>23</v>
      </c>
      <c r="C8" s="3" t="s">
        <v>24</v>
      </c>
      <c r="D8" s="3" t="s">
        <v>25</v>
      </c>
      <c r="E8" s="3" t="s">
        <v>57</v>
      </c>
      <c r="F8" s="3">
        <v>1761005.0</v>
      </c>
      <c r="G8" s="4">
        <v>46031.0</v>
      </c>
      <c r="H8" s="4">
        <v>46151.0</v>
      </c>
      <c r="I8" s="3" t="s">
        <v>58</v>
      </c>
      <c r="J8" s="3" t="s">
        <v>59</v>
      </c>
      <c r="K8" s="3" t="s">
        <v>60</v>
      </c>
      <c r="L8" s="3">
        <v>0.9303</v>
      </c>
      <c r="M8" s="3">
        <v>23257.5</v>
      </c>
      <c r="N8" s="3">
        <v>1.0</v>
      </c>
      <c r="O8" s="3">
        <v>362064.0</v>
      </c>
      <c r="P8" s="3" t="s">
        <v>61</v>
      </c>
      <c r="Q8" s="3">
        <v>708065.0</v>
      </c>
      <c r="R8" s="3"/>
      <c r="S8" s="3">
        <v>13954.5</v>
      </c>
      <c r="T8" s="3" t="s">
        <v>62</v>
      </c>
      <c r="U8" s="3">
        <v>13954.5</v>
      </c>
      <c r="V8" s="5">
        <f>(DATE(2026,2,3)-'RICE_Insured Farms_with PPI Pol'!$G8)+IF('RICE_Insured Farms_with PPI Pol'!$H8&lt;&gt;'RICE_Insured Farms_with PPI Pol'!$G8,18,0)</f>
        <v>43</v>
      </c>
      <c r="W8" s="3" t="str">
        <f t="array" ref="W8">IFS(V8&gt;120, "Harvested", V8&gt;=113, "Yellow Ripening", V8&gt;=101, "Dough Stage", V8&gt;=93, "Milking Stage", V8&gt;=86, "Flowering", V8&gt;=56, "Panicle Initiation/Booting", V8&lt;56, "Vegetative/Tillering")</f>
        <v>Vegetative/Tillering</v>
      </c>
    </row>
    <row r="9">
      <c r="A9" s="3">
        <v>8.0</v>
      </c>
      <c r="B9" s="3" t="s">
        <v>23</v>
      </c>
      <c r="C9" s="3" t="s">
        <v>24</v>
      </c>
      <c r="D9" s="3" t="s">
        <v>25</v>
      </c>
      <c r="E9" s="3" t="s">
        <v>63</v>
      </c>
      <c r="F9" s="3">
        <v>1761018.0</v>
      </c>
      <c r="G9" s="4">
        <v>46031.0</v>
      </c>
      <c r="H9" s="4">
        <v>46126.0</v>
      </c>
      <c r="I9" s="3" t="s">
        <v>64</v>
      </c>
      <c r="J9" s="3" t="s">
        <v>65</v>
      </c>
      <c r="K9" s="3" t="s">
        <v>66</v>
      </c>
      <c r="L9" s="3">
        <v>1.2146</v>
      </c>
      <c r="M9" s="3">
        <v>30365.0</v>
      </c>
      <c r="N9" s="3">
        <v>3.0</v>
      </c>
      <c r="O9" s="3">
        <v>325633.0</v>
      </c>
      <c r="P9" s="3" t="s">
        <v>67</v>
      </c>
      <c r="Q9" s="3">
        <v>607439.0</v>
      </c>
      <c r="R9" s="3"/>
      <c r="S9" s="3">
        <v>24292.0</v>
      </c>
      <c r="T9" s="3" t="s">
        <v>37</v>
      </c>
      <c r="U9" s="3">
        <v>24292.0</v>
      </c>
      <c r="V9" s="5">
        <f>(DATE(2026,2,3)-'RICE_Insured Farms_with PPI Pol'!$G9)+IF('RICE_Insured Farms_with PPI Pol'!$H9&lt;&gt;'RICE_Insured Farms_with PPI Pol'!$G9,18,0)</f>
        <v>43</v>
      </c>
      <c r="W9" s="3" t="str">
        <f t="array" ref="W9">IFS(V9&gt;120, "Harvested", V9&gt;=113, "Yellow Ripening", V9&gt;=101, "Dough Stage", V9&gt;=93, "Milking Stage", V9&gt;=86, "Flowering", V9&gt;=56, "Panicle Initiation/Booting", V9&lt;56, "Vegetative/Tillering")</f>
        <v>Vegetative/Tillering</v>
      </c>
    </row>
    <row r="10" hidden="1">
      <c r="A10" s="3">
        <v>115.0</v>
      </c>
      <c r="B10" s="3" t="s">
        <v>23</v>
      </c>
      <c r="C10" s="3" t="s">
        <v>68</v>
      </c>
      <c r="D10" s="3" t="s">
        <v>69</v>
      </c>
      <c r="E10" s="3" t="s">
        <v>70</v>
      </c>
      <c r="F10" s="3">
        <v>1739640.0</v>
      </c>
      <c r="G10" s="4">
        <v>46006.0</v>
      </c>
      <c r="H10" s="4">
        <v>46108.0</v>
      </c>
      <c r="I10" s="3" t="s">
        <v>71</v>
      </c>
      <c r="J10" s="3" t="s">
        <v>72</v>
      </c>
      <c r="K10" s="3" t="s">
        <v>73</v>
      </c>
      <c r="L10" s="3">
        <v>1.0114</v>
      </c>
      <c r="M10" s="3">
        <v>25285.0</v>
      </c>
      <c r="N10" s="3">
        <v>4.0</v>
      </c>
      <c r="O10" s="3">
        <v>338094.0</v>
      </c>
      <c r="P10" s="3" t="s">
        <v>74</v>
      </c>
      <c r="Q10" s="3">
        <v>1022382.0</v>
      </c>
      <c r="R10" s="3"/>
      <c r="S10" s="3">
        <v>20228.0</v>
      </c>
      <c r="T10" s="3" t="s">
        <v>56</v>
      </c>
      <c r="U10" s="3">
        <v>20228.0</v>
      </c>
      <c r="V10" s="5">
        <f>(DATE(2026,2,3)-'RICE_Insured Farms_with PPI Pol'!$G10)+IF('RICE_Insured Farms_with PPI Pol'!$H10&lt;&gt;'RICE_Insured Farms_with PPI Pol'!$G10,18,0)</f>
        <v>68</v>
      </c>
      <c r="W10" s="3" t="str">
        <f t="array" ref="W10">IFS(V10&gt;120, "Harvested", V10&gt;=113, "Yellow Ripening", V10&gt;=101, "Dough Stage", V10&gt;=93, "Milking Stage", V10&gt;=86, "Flowering", V10&gt;=56, "Panicle Initiation/Booting", V10&lt;56, "Vegetative/Tillering")</f>
        <v>Panicle Initiation/Booting</v>
      </c>
    </row>
    <row r="11">
      <c r="A11" s="3">
        <v>10.0</v>
      </c>
      <c r="B11" s="3" t="s">
        <v>23</v>
      </c>
      <c r="C11" s="3" t="s">
        <v>24</v>
      </c>
      <c r="D11" s="3" t="s">
        <v>25</v>
      </c>
      <c r="E11" s="3" t="s">
        <v>32</v>
      </c>
      <c r="F11" s="3">
        <v>1760479.0</v>
      </c>
      <c r="G11" s="4">
        <v>46011.0</v>
      </c>
      <c r="H11" s="4">
        <v>46112.0</v>
      </c>
      <c r="I11" s="3" t="s">
        <v>75</v>
      </c>
      <c r="J11" s="3" t="s">
        <v>76</v>
      </c>
      <c r="K11" s="3" t="s">
        <v>77</v>
      </c>
      <c r="L11" s="3">
        <v>0.9121</v>
      </c>
      <c r="M11" s="3">
        <v>22802.5</v>
      </c>
      <c r="N11" s="3">
        <v>3.0</v>
      </c>
      <c r="O11" s="3">
        <v>192791.0</v>
      </c>
      <c r="P11" s="3"/>
      <c r="Q11" s="3">
        <v>512629.0</v>
      </c>
      <c r="R11" s="3"/>
      <c r="S11" s="3">
        <v>18242.0</v>
      </c>
      <c r="T11" s="3" t="s">
        <v>37</v>
      </c>
      <c r="U11" s="3">
        <v>18242.0</v>
      </c>
      <c r="V11" s="5">
        <f>(DATE(2026,2,3)-'RICE_Insured Farms_with PPI Pol'!$G11)+IF('RICE_Insured Farms_with PPI Pol'!$H11&lt;&gt;'RICE_Insured Farms_with PPI Pol'!$G11,18,0)</f>
        <v>63</v>
      </c>
      <c r="W11" s="3" t="str">
        <f t="array" ref="W11">IFS(V11&gt;120, "Harvested", V11&gt;=113, "Yellow Ripening", V11&gt;=101, "Dough Stage", V11&gt;=93, "Milking Stage", V11&gt;=86, "Flowering", V11&gt;=56, "Panicle Initiation/Booting", V11&lt;56, "Vegetative/Tillering")</f>
        <v>Panicle Initiation/Booting</v>
      </c>
    </row>
    <row r="12">
      <c r="A12" s="3">
        <v>11.0</v>
      </c>
      <c r="B12" s="3" t="s">
        <v>23</v>
      </c>
      <c r="C12" s="3" t="s">
        <v>24</v>
      </c>
      <c r="D12" s="3" t="s">
        <v>25</v>
      </c>
      <c r="E12" s="3" t="s">
        <v>32</v>
      </c>
      <c r="F12" s="3">
        <v>1760476.0</v>
      </c>
      <c r="G12" s="4">
        <v>46011.0</v>
      </c>
      <c r="H12" s="4">
        <v>46112.0</v>
      </c>
      <c r="I12" s="3" t="s">
        <v>78</v>
      </c>
      <c r="J12" s="3" t="s">
        <v>79</v>
      </c>
      <c r="K12" s="3" t="s">
        <v>80</v>
      </c>
      <c r="L12" s="3">
        <v>1.9891</v>
      </c>
      <c r="M12" s="3">
        <v>49727.5</v>
      </c>
      <c r="N12" s="3">
        <v>3.0</v>
      </c>
      <c r="O12" s="3">
        <v>294979.0</v>
      </c>
      <c r="P12" s="3" t="s">
        <v>81</v>
      </c>
      <c r="Q12" s="3">
        <v>603919.0</v>
      </c>
      <c r="R12" s="3"/>
      <c r="S12" s="3">
        <v>39782.0</v>
      </c>
      <c r="T12" s="3" t="s">
        <v>37</v>
      </c>
      <c r="U12" s="3">
        <v>39782.0</v>
      </c>
      <c r="V12" s="5">
        <f>(DATE(2026,2,3)-'RICE_Insured Farms_with PPI Pol'!$G12)+IF('RICE_Insured Farms_with PPI Pol'!$H12&lt;&gt;'RICE_Insured Farms_with PPI Pol'!$G12,18,0)</f>
        <v>63</v>
      </c>
      <c r="W12" s="3" t="str">
        <f t="array" ref="W12">IFS(V12&gt;120, "Harvested", V12&gt;=113, "Yellow Ripening", V12&gt;=101, "Dough Stage", V12&gt;=93, "Milking Stage", V12&gt;=86, "Flowering", V12&gt;=56, "Panicle Initiation/Booting", V12&lt;56, "Vegetative/Tillering")</f>
        <v>Panicle Initiation/Booting</v>
      </c>
    </row>
    <row r="13">
      <c r="A13" s="3">
        <v>12.0</v>
      </c>
      <c r="B13" s="3" t="s">
        <v>23</v>
      </c>
      <c r="C13" s="3" t="s">
        <v>24</v>
      </c>
      <c r="D13" s="3" t="s">
        <v>25</v>
      </c>
      <c r="E13" s="3" t="s">
        <v>32</v>
      </c>
      <c r="F13" s="3">
        <v>1760479.0</v>
      </c>
      <c r="G13" s="4">
        <v>46016.0</v>
      </c>
      <c r="H13" s="4">
        <v>46126.0</v>
      </c>
      <c r="I13" s="3" t="s">
        <v>82</v>
      </c>
      <c r="J13" s="3" t="s">
        <v>83</v>
      </c>
      <c r="K13" s="3" t="s">
        <v>84</v>
      </c>
      <c r="L13" s="3">
        <v>0.989</v>
      </c>
      <c r="M13" s="3">
        <v>24725.0</v>
      </c>
      <c r="N13" s="3">
        <v>3.0</v>
      </c>
      <c r="O13" s="3">
        <v>313904.0</v>
      </c>
      <c r="P13" s="3"/>
      <c r="Q13" s="3">
        <v>572661.0</v>
      </c>
      <c r="R13" s="3"/>
      <c r="S13" s="3">
        <v>19780.0</v>
      </c>
      <c r="T13" s="3" t="s">
        <v>37</v>
      </c>
      <c r="U13" s="3">
        <v>19780.0</v>
      </c>
      <c r="V13" s="5">
        <f>(DATE(2026,2,3)-'RICE_Insured Farms_with PPI Pol'!$G13)+IF('RICE_Insured Farms_with PPI Pol'!$H13&lt;&gt;'RICE_Insured Farms_with PPI Pol'!$G13,18,0)</f>
        <v>58</v>
      </c>
      <c r="W13" s="3" t="str">
        <f t="array" ref="W13">IFS(V13&gt;120, "Harvested", V13&gt;=113, "Yellow Ripening", V13&gt;=101, "Dough Stage", V13&gt;=93, "Milking Stage", V13&gt;=86, "Flowering", V13&gt;=56, "Panicle Initiation/Booting", V13&lt;56, "Vegetative/Tillering")</f>
        <v>Panicle Initiation/Booting</v>
      </c>
    </row>
    <row r="14" hidden="1">
      <c r="A14" s="3">
        <v>13.0</v>
      </c>
      <c r="B14" s="3" t="s">
        <v>23</v>
      </c>
      <c r="C14" s="3" t="s">
        <v>24</v>
      </c>
      <c r="D14" s="3" t="s">
        <v>25</v>
      </c>
      <c r="E14" s="3" t="s">
        <v>32</v>
      </c>
      <c r="F14" s="3">
        <v>1760479.0</v>
      </c>
      <c r="G14" s="4">
        <v>46011.0</v>
      </c>
      <c r="H14" s="4">
        <v>46131.0</v>
      </c>
      <c r="I14" s="3" t="s">
        <v>82</v>
      </c>
      <c r="J14" s="3" t="s">
        <v>85</v>
      </c>
      <c r="K14" s="3" t="s">
        <v>86</v>
      </c>
      <c r="L14" s="3">
        <v>2.6704</v>
      </c>
      <c r="M14" s="3">
        <v>66760.0</v>
      </c>
      <c r="N14" s="3">
        <v>2.0</v>
      </c>
      <c r="O14" s="3">
        <v>192790.0</v>
      </c>
      <c r="P14" s="3" t="s">
        <v>87</v>
      </c>
      <c r="Q14" s="3">
        <v>603986.0</v>
      </c>
      <c r="R14" s="3"/>
      <c r="S14" s="3">
        <v>46732.0</v>
      </c>
      <c r="T14" s="3" t="s">
        <v>31</v>
      </c>
      <c r="U14" s="3">
        <v>46732.0</v>
      </c>
      <c r="V14" s="5">
        <f>(DATE(2026,2,3)-'RICE_Insured Farms_with PPI Pol'!$G14)+IF('RICE_Insured Farms_with PPI Pol'!$H14&lt;&gt;'RICE_Insured Farms_with PPI Pol'!$G14,18,0)</f>
        <v>63</v>
      </c>
      <c r="W14" s="3" t="str">
        <f t="array" ref="W14">IFS(V14&gt;120, "Harvested", V14&gt;=113, "Yellow Ripening", V14&gt;=101, "Dough Stage", V14&gt;=93, "Milking Stage", V14&gt;=86, "Flowering", V14&gt;=56, "Panicle Initiation/Booting", V14&lt;56, "Vegetative/Tillering")</f>
        <v>Panicle Initiation/Booting</v>
      </c>
    </row>
    <row r="15">
      <c r="A15" s="3">
        <v>14.0</v>
      </c>
      <c r="B15" s="3" t="s">
        <v>23</v>
      </c>
      <c r="C15" s="3" t="s">
        <v>24</v>
      </c>
      <c r="D15" s="3" t="s">
        <v>25</v>
      </c>
      <c r="E15" s="3" t="s">
        <v>32</v>
      </c>
      <c r="F15" s="3">
        <v>1760479.0</v>
      </c>
      <c r="G15" s="4">
        <v>46012.0</v>
      </c>
      <c r="H15" s="4">
        <v>46113.0</v>
      </c>
      <c r="I15" s="3" t="s">
        <v>88</v>
      </c>
      <c r="J15" s="3" t="s">
        <v>89</v>
      </c>
      <c r="K15" s="3" t="s">
        <v>90</v>
      </c>
      <c r="L15" s="3">
        <v>2.6669</v>
      </c>
      <c r="M15" s="3">
        <v>66672.5</v>
      </c>
      <c r="N15" s="3">
        <v>3.0</v>
      </c>
      <c r="O15" s="3">
        <v>192461.0</v>
      </c>
      <c r="P15" s="3"/>
      <c r="Q15" s="3">
        <v>604013.0</v>
      </c>
      <c r="R15" s="3"/>
      <c r="S15" s="3">
        <v>53338.0</v>
      </c>
      <c r="T15" s="3" t="s">
        <v>37</v>
      </c>
      <c r="U15" s="3">
        <v>53338.0</v>
      </c>
      <c r="V15" s="5">
        <f>(DATE(2026,2,3)-'RICE_Insured Farms_with PPI Pol'!$G15)+IF('RICE_Insured Farms_with PPI Pol'!$H15&lt;&gt;'RICE_Insured Farms_with PPI Pol'!$G15,18,0)</f>
        <v>62</v>
      </c>
      <c r="W15" s="3" t="str">
        <f t="array" ref="W15">IFS(V15&gt;120, "Harvested", V15&gt;=113, "Yellow Ripening", V15&gt;=101, "Dough Stage", V15&gt;=93, "Milking Stage", V15&gt;=86, "Flowering", V15&gt;=56, "Panicle Initiation/Booting", V15&lt;56, "Vegetative/Tillering")</f>
        <v>Panicle Initiation/Booting</v>
      </c>
    </row>
    <row r="16">
      <c r="A16" s="3">
        <v>15.0</v>
      </c>
      <c r="B16" s="3" t="s">
        <v>23</v>
      </c>
      <c r="C16" s="3" t="s">
        <v>24</v>
      </c>
      <c r="D16" s="3" t="s">
        <v>25</v>
      </c>
      <c r="E16" s="3" t="s">
        <v>32</v>
      </c>
      <c r="F16" s="3">
        <v>1760479.0</v>
      </c>
      <c r="G16" s="4">
        <v>46011.0</v>
      </c>
      <c r="H16" s="4">
        <v>46112.0</v>
      </c>
      <c r="I16" s="3" t="s">
        <v>88</v>
      </c>
      <c r="J16" s="3" t="s">
        <v>91</v>
      </c>
      <c r="K16" s="3" t="s">
        <v>92</v>
      </c>
      <c r="L16" s="3">
        <v>1.4525</v>
      </c>
      <c r="M16" s="3">
        <v>36312.5</v>
      </c>
      <c r="N16" s="3">
        <v>3.0</v>
      </c>
      <c r="O16" s="3">
        <v>122911.0</v>
      </c>
      <c r="P16" s="3" t="s">
        <v>93</v>
      </c>
      <c r="Q16" s="3">
        <v>604215.0</v>
      </c>
      <c r="R16" s="3"/>
      <c r="S16" s="3">
        <v>29050.0</v>
      </c>
      <c r="T16" s="3" t="s">
        <v>37</v>
      </c>
      <c r="U16" s="3">
        <v>29050.0</v>
      </c>
      <c r="V16" s="5">
        <f>(DATE(2026,2,3)-'RICE_Insured Farms_with PPI Pol'!$G16)+IF('RICE_Insured Farms_with PPI Pol'!$H16&lt;&gt;'RICE_Insured Farms_with PPI Pol'!$G16,18,0)</f>
        <v>63</v>
      </c>
      <c r="W16" s="3" t="str">
        <f t="array" ref="W16">IFS(V16&gt;120, "Harvested", V16&gt;=113, "Yellow Ripening", V16&gt;=101, "Dough Stage", V16&gt;=93, "Milking Stage", V16&gt;=86, "Flowering", V16&gt;=56, "Panicle Initiation/Booting", V16&lt;56, "Vegetative/Tillering")</f>
        <v>Panicle Initiation/Booting</v>
      </c>
    </row>
    <row r="17" hidden="1">
      <c r="A17" s="3">
        <v>116.0</v>
      </c>
      <c r="B17" s="3" t="s">
        <v>23</v>
      </c>
      <c r="C17" s="3" t="s">
        <v>68</v>
      </c>
      <c r="D17" s="3" t="s">
        <v>69</v>
      </c>
      <c r="E17" s="3" t="s">
        <v>70</v>
      </c>
      <c r="F17" s="3">
        <v>1739640.0</v>
      </c>
      <c r="G17" s="4">
        <v>46007.0</v>
      </c>
      <c r="H17" s="4">
        <v>46109.0</v>
      </c>
      <c r="I17" s="3" t="s">
        <v>71</v>
      </c>
      <c r="J17" s="3" t="s">
        <v>94</v>
      </c>
      <c r="K17" s="3" t="s">
        <v>73</v>
      </c>
      <c r="L17" s="3">
        <v>1.0</v>
      </c>
      <c r="M17" s="3">
        <v>25000.0</v>
      </c>
      <c r="N17" s="3">
        <v>4.0</v>
      </c>
      <c r="O17" s="3">
        <v>187790.0</v>
      </c>
      <c r="P17" s="3"/>
      <c r="Q17" s="3">
        <v>1029398.0</v>
      </c>
      <c r="R17" s="3"/>
      <c r="S17" s="3">
        <v>20000.0</v>
      </c>
      <c r="T17" s="3" t="s">
        <v>56</v>
      </c>
      <c r="U17" s="3">
        <v>20000.0</v>
      </c>
      <c r="V17" s="5">
        <f>(DATE(2026,2,3)-'RICE_Insured Farms_with PPI Pol'!$G17)+IF('RICE_Insured Farms_with PPI Pol'!$H17&lt;&gt;'RICE_Insured Farms_with PPI Pol'!$G17,18,0)</f>
        <v>67</v>
      </c>
      <c r="W17" s="3" t="str">
        <f t="array" ref="W17">IFS(V17&gt;120, "Harvested", V17&gt;=113, "Yellow Ripening", V17&gt;=101, "Dough Stage", V17&gt;=93, "Milking Stage", V17&gt;=86, "Flowering", V17&gt;=56, "Panicle Initiation/Booting", V17&lt;56, "Vegetative/Tillering")</f>
        <v>Panicle Initiation/Booting</v>
      </c>
    </row>
    <row r="18">
      <c r="A18" s="3">
        <v>17.0</v>
      </c>
      <c r="B18" s="3" t="s">
        <v>23</v>
      </c>
      <c r="C18" s="3" t="s">
        <v>24</v>
      </c>
      <c r="D18" s="3" t="s">
        <v>25</v>
      </c>
      <c r="E18" s="3" t="s">
        <v>32</v>
      </c>
      <c r="F18" s="3">
        <v>1760476.0</v>
      </c>
      <c r="G18" s="4">
        <v>46014.0</v>
      </c>
      <c r="H18" s="4">
        <v>46112.0</v>
      </c>
      <c r="I18" s="3" t="s">
        <v>95</v>
      </c>
      <c r="J18" s="3" t="s">
        <v>96</v>
      </c>
      <c r="K18" s="3" t="s">
        <v>97</v>
      </c>
      <c r="L18" s="3">
        <v>0.8935</v>
      </c>
      <c r="M18" s="3">
        <v>22337.5</v>
      </c>
      <c r="N18" s="3">
        <v>3.0</v>
      </c>
      <c r="O18" s="3">
        <v>233371.0</v>
      </c>
      <c r="P18" s="3" t="s">
        <v>98</v>
      </c>
      <c r="Q18" s="3">
        <v>512620.0</v>
      </c>
      <c r="R18" s="3"/>
      <c r="S18" s="3">
        <v>17870.0</v>
      </c>
      <c r="T18" s="3" t="s">
        <v>37</v>
      </c>
      <c r="U18" s="3">
        <v>17870.0</v>
      </c>
      <c r="V18" s="5">
        <f>(DATE(2026,2,3)-'RICE_Insured Farms_with PPI Pol'!$G18)+IF('RICE_Insured Farms_with PPI Pol'!$H18&lt;&gt;'RICE_Insured Farms_with PPI Pol'!$G18,18,0)</f>
        <v>60</v>
      </c>
      <c r="W18" s="3" t="str">
        <f t="array" ref="W18">IFS(V18&gt;120, "Harvested", V18&gt;=113, "Yellow Ripening", V18&gt;=101, "Dough Stage", V18&gt;=93, "Milking Stage", V18&gt;=86, "Flowering", V18&gt;=56, "Panicle Initiation/Booting", V18&lt;56, "Vegetative/Tillering")</f>
        <v>Panicle Initiation/Booting</v>
      </c>
    </row>
    <row r="19">
      <c r="A19" s="3">
        <v>18.0</v>
      </c>
      <c r="B19" s="3" t="s">
        <v>23</v>
      </c>
      <c r="C19" s="3" t="s">
        <v>24</v>
      </c>
      <c r="D19" s="3" t="s">
        <v>25</v>
      </c>
      <c r="E19" s="3" t="s">
        <v>32</v>
      </c>
      <c r="F19" s="3">
        <v>1760476.0</v>
      </c>
      <c r="G19" s="4">
        <v>46011.0</v>
      </c>
      <c r="H19" s="4">
        <v>46121.0</v>
      </c>
      <c r="I19" s="3" t="s">
        <v>99</v>
      </c>
      <c r="J19" s="3" t="s">
        <v>100</v>
      </c>
      <c r="K19" s="3" t="s">
        <v>101</v>
      </c>
      <c r="L19" s="3">
        <v>0.9068</v>
      </c>
      <c r="M19" s="3">
        <v>22670.0</v>
      </c>
      <c r="N19" s="3">
        <v>3.0</v>
      </c>
      <c r="O19" s="3">
        <v>324673.0</v>
      </c>
      <c r="P19" s="3"/>
      <c r="Q19" s="3">
        <v>604248.0</v>
      </c>
      <c r="R19" s="3"/>
      <c r="S19" s="3">
        <v>18136.0</v>
      </c>
      <c r="T19" s="3" t="s">
        <v>37</v>
      </c>
      <c r="U19" s="3">
        <v>18136.0</v>
      </c>
      <c r="V19" s="5">
        <f>(DATE(2026,2,3)-'RICE_Insured Farms_with PPI Pol'!$G19)+IF('RICE_Insured Farms_with PPI Pol'!$H19&lt;&gt;'RICE_Insured Farms_with PPI Pol'!$G19,18,0)</f>
        <v>63</v>
      </c>
      <c r="W19" s="3" t="str">
        <f t="array" ref="W19">IFS(V19&gt;120, "Harvested", V19&gt;=113, "Yellow Ripening", V19&gt;=101, "Dough Stage", V19&gt;=93, "Milking Stage", V19&gt;=86, "Flowering", V19&gt;=56, "Panicle Initiation/Booting", V19&lt;56, "Vegetative/Tillering")</f>
        <v>Panicle Initiation/Booting</v>
      </c>
    </row>
    <row r="20">
      <c r="A20" s="3">
        <v>19.0</v>
      </c>
      <c r="B20" s="3" t="s">
        <v>23</v>
      </c>
      <c r="C20" s="3" t="s">
        <v>24</v>
      </c>
      <c r="D20" s="3" t="s">
        <v>25</v>
      </c>
      <c r="E20" s="3" t="s">
        <v>32</v>
      </c>
      <c r="F20" s="3">
        <v>1760476.0</v>
      </c>
      <c r="G20" s="4">
        <v>46014.0</v>
      </c>
      <c r="H20" s="4">
        <v>46124.0</v>
      </c>
      <c r="I20" s="3" t="s">
        <v>99</v>
      </c>
      <c r="J20" s="3" t="s">
        <v>102</v>
      </c>
      <c r="K20" s="3" t="s">
        <v>103</v>
      </c>
      <c r="L20" s="3">
        <v>2.0</v>
      </c>
      <c r="M20" s="3">
        <v>50000.0</v>
      </c>
      <c r="N20" s="3">
        <v>3.0</v>
      </c>
      <c r="O20" s="3">
        <v>294859.0</v>
      </c>
      <c r="P20" s="3"/>
      <c r="Q20" s="3">
        <v>603998.0</v>
      </c>
      <c r="R20" s="3"/>
      <c r="S20" s="3">
        <v>40000.0</v>
      </c>
      <c r="T20" s="3" t="s">
        <v>37</v>
      </c>
      <c r="U20" s="3">
        <v>40000.0</v>
      </c>
      <c r="V20" s="5">
        <f>(DATE(2026,2,3)-'RICE_Insured Farms_with PPI Pol'!$G20)+IF('RICE_Insured Farms_with PPI Pol'!$H20&lt;&gt;'RICE_Insured Farms_with PPI Pol'!$G20,18,0)</f>
        <v>60</v>
      </c>
      <c r="W20" s="3" t="str">
        <f t="array" ref="W20">IFS(V20&gt;120, "Harvested", V20&gt;=113, "Yellow Ripening", V20&gt;=101, "Dough Stage", V20&gt;=93, "Milking Stage", V20&gt;=86, "Flowering", V20&gt;=56, "Panicle Initiation/Booting", V20&lt;56, "Vegetative/Tillering")</f>
        <v>Panicle Initiation/Booting</v>
      </c>
    </row>
    <row r="21" ht="15.75" hidden="1" customHeight="1">
      <c r="A21" s="3">
        <v>20.0</v>
      </c>
      <c r="B21" s="3" t="s">
        <v>23</v>
      </c>
      <c r="C21" s="3" t="s">
        <v>24</v>
      </c>
      <c r="D21" s="3" t="s">
        <v>25</v>
      </c>
      <c r="E21" s="3" t="s">
        <v>57</v>
      </c>
      <c r="F21" s="3">
        <v>1761032.0</v>
      </c>
      <c r="G21" s="4">
        <v>46037.0</v>
      </c>
      <c r="H21" s="4">
        <v>46157.0</v>
      </c>
      <c r="I21" s="3" t="s">
        <v>104</v>
      </c>
      <c r="J21" s="3" t="s">
        <v>105</v>
      </c>
      <c r="K21" s="3" t="s">
        <v>106</v>
      </c>
      <c r="L21" s="3">
        <v>0.6562</v>
      </c>
      <c r="M21" s="3">
        <v>16405.0</v>
      </c>
      <c r="N21" s="3">
        <v>1.0</v>
      </c>
      <c r="O21" s="3">
        <v>50132.0</v>
      </c>
      <c r="P21" s="3" t="s">
        <v>107</v>
      </c>
      <c r="Q21" s="3">
        <v>402509.0</v>
      </c>
      <c r="R21" s="3"/>
      <c r="S21" s="3">
        <v>9843.0</v>
      </c>
      <c r="T21" s="3" t="s">
        <v>62</v>
      </c>
      <c r="U21" s="3">
        <v>9843.0</v>
      </c>
      <c r="V21" s="5">
        <f>(DATE(2026,2,3)-'RICE_Insured Farms_with PPI Pol'!$G21)+IF('RICE_Insured Farms_with PPI Pol'!$H21&lt;&gt;'RICE_Insured Farms_with PPI Pol'!$G21,18,0)</f>
        <v>37</v>
      </c>
      <c r="W21" s="3" t="str">
        <f t="array" ref="W21">IFS(V21&gt;120, "Harvested", V21&gt;=113, "Yellow Ripening", V21&gt;=101, "Dough Stage", V21&gt;=93, "Milking Stage", V21&gt;=86, "Flowering", V21&gt;=56, "Panicle Initiation/Booting", V21&lt;56, "Vegetative/Tillering")</f>
        <v>Vegetative/Tillering</v>
      </c>
    </row>
    <row r="22" ht="15.75" hidden="1" customHeight="1">
      <c r="A22" s="3">
        <v>21.0</v>
      </c>
      <c r="B22" s="3" t="s">
        <v>23</v>
      </c>
      <c r="C22" s="3" t="s">
        <v>24</v>
      </c>
      <c r="D22" s="3" t="s">
        <v>25</v>
      </c>
      <c r="E22" s="3" t="s">
        <v>57</v>
      </c>
      <c r="F22" s="3">
        <v>1761032.0</v>
      </c>
      <c r="G22" s="4">
        <v>46027.0</v>
      </c>
      <c r="H22" s="4">
        <v>46147.0</v>
      </c>
      <c r="I22" s="3" t="s">
        <v>108</v>
      </c>
      <c r="J22" s="3" t="s">
        <v>109</v>
      </c>
      <c r="K22" s="3" t="s">
        <v>110</v>
      </c>
      <c r="L22" s="3">
        <v>1.0921</v>
      </c>
      <c r="M22" s="3">
        <v>27302.5</v>
      </c>
      <c r="N22" s="3">
        <v>1.0</v>
      </c>
      <c r="O22" s="3">
        <v>192095.0</v>
      </c>
      <c r="P22" s="3" t="s">
        <v>111</v>
      </c>
      <c r="Q22" s="3">
        <v>613630.0</v>
      </c>
      <c r="R22" s="3"/>
      <c r="S22" s="3">
        <v>16381.5</v>
      </c>
      <c r="T22" s="3" t="s">
        <v>62</v>
      </c>
      <c r="U22" s="3">
        <v>16381.5</v>
      </c>
      <c r="V22" s="5">
        <f>(DATE(2026,2,3)-'RICE_Insured Farms_with PPI Pol'!$G22)+IF('RICE_Insured Farms_with PPI Pol'!$H22&lt;&gt;'RICE_Insured Farms_with PPI Pol'!$G22,18,0)</f>
        <v>47</v>
      </c>
      <c r="W22" s="3" t="str">
        <f t="array" ref="W22">IFS(V22&gt;120, "Harvested", V22&gt;=113, "Yellow Ripening", V22&gt;=101, "Dough Stage", V22&gt;=93, "Milking Stage", V22&gt;=86, "Flowering", V22&gt;=56, "Panicle Initiation/Booting", V22&lt;56, "Vegetative/Tillering")</f>
        <v>Vegetative/Tillering</v>
      </c>
    </row>
    <row r="23" ht="15.75" customHeight="1">
      <c r="A23" s="3">
        <v>22.0</v>
      </c>
      <c r="B23" s="3" t="s">
        <v>23</v>
      </c>
      <c r="C23" s="3" t="s">
        <v>24</v>
      </c>
      <c r="D23" s="3" t="s">
        <v>25</v>
      </c>
      <c r="E23" s="3" t="s">
        <v>112</v>
      </c>
      <c r="F23" s="3">
        <v>1761028.0</v>
      </c>
      <c r="G23" s="4">
        <v>46021.0</v>
      </c>
      <c r="H23" s="4">
        <v>46116.0</v>
      </c>
      <c r="I23" s="3" t="s">
        <v>113</v>
      </c>
      <c r="J23" s="3" t="s">
        <v>114</v>
      </c>
      <c r="K23" s="3" t="s">
        <v>115</v>
      </c>
      <c r="L23" s="3">
        <v>1.028</v>
      </c>
      <c r="M23" s="3">
        <v>25700.0</v>
      </c>
      <c r="N23" s="3">
        <v>3.0</v>
      </c>
      <c r="O23" s="3">
        <v>161074.0</v>
      </c>
      <c r="P23" s="3" t="s">
        <v>116</v>
      </c>
      <c r="Q23" s="3">
        <v>723520.0</v>
      </c>
      <c r="R23" s="3"/>
      <c r="S23" s="3">
        <v>20560.0</v>
      </c>
      <c r="T23" s="3" t="s">
        <v>37</v>
      </c>
      <c r="U23" s="3">
        <v>20560.0</v>
      </c>
      <c r="V23" s="5">
        <f>(DATE(2026,2,3)-'RICE_Insured Farms_with PPI Pol'!$G23)+IF('RICE_Insured Farms_with PPI Pol'!$H23&lt;&gt;'RICE_Insured Farms_with PPI Pol'!$G23,18,0)</f>
        <v>53</v>
      </c>
      <c r="W23" s="3" t="str">
        <f t="array" ref="W23">IFS(V23&gt;120, "Harvested", V23&gt;=113, "Yellow Ripening", V23&gt;=101, "Dough Stage", V23&gt;=93, "Milking Stage", V23&gt;=86, "Flowering", V23&gt;=56, "Panicle Initiation/Booting", V23&lt;56, "Vegetative/Tillering")</f>
        <v>Vegetative/Tillering</v>
      </c>
    </row>
    <row r="24" ht="15.75" customHeight="1">
      <c r="A24" s="3">
        <v>23.0</v>
      </c>
      <c r="B24" s="3" t="s">
        <v>23</v>
      </c>
      <c r="C24" s="3" t="s">
        <v>24</v>
      </c>
      <c r="D24" s="3" t="s">
        <v>25</v>
      </c>
      <c r="E24" s="3" t="s">
        <v>112</v>
      </c>
      <c r="F24" s="3">
        <v>1761028.0</v>
      </c>
      <c r="G24" s="4">
        <v>46020.0</v>
      </c>
      <c r="H24" s="4">
        <v>46116.0</v>
      </c>
      <c r="I24" s="3" t="s">
        <v>117</v>
      </c>
      <c r="J24" s="3" t="s">
        <v>118</v>
      </c>
      <c r="K24" s="3" t="s">
        <v>119</v>
      </c>
      <c r="L24" s="3">
        <v>1.2284</v>
      </c>
      <c r="M24" s="3">
        <v>30710.0</v>
      </c>
      <c r="N24" s="3">
        <v>3.0</v>
      </c>
      <c r="O24" s="3">
        <v>123961.0</v>
      </c>
      <c r="P24" s="3" t="s">
        <v>120</v>
      </c>
      <c r="Q24" s="3">
        <v>723548.0</v>
      </c>
      <c r="R24" s="3"/>
      <c r="S24" s="3">
        <v>24568.0</v>
      </c>
      <c r="T24" s="3" t="s">
        <v>37</v>
      </c>
      <c r="U24" s="3">
        <v>24568.0</v>
      </c>
      <c r="V24" s="5">
        <f>(DATE(2026,2,3)-'RICE_Insured Farms_with PPI Pol'!$G24)+IF('RICE_Insured Farms_with PPI Pol'!$H24&lt;&gt;'RICE_Insured Farms_with PPI Pol'!$G24,18,0)</f>
        <v>54</v>
      </c>
      <c r="W24" s="3" t="str">
        <f t="array" ref="W24">IFS(V24&gt;120, "Harvested", V24&gt;=113, "Yellow Ripening", V24&gt;=101, "Dough Stage", V24&gt;=93, "Milking Stage", V24&gt;=86, "Flowering", V24&gt;=56, "Panicle Initiation/Booting", V24&lt;56, "Vegetative/Tillering")</f>
        <v>Vegetative/Tillering</v>
      </c>
    </row>
    <row r="25" ht="15.75" hidden="1" customHeight="1">
      <c r="A25" s="3">
        <v>24.0</v>
      </c>
      <c r="B25" s="3" t="s">
        <v>23</v>
      </c>
      <c r="C25" s="3" t="s">
        <v>121</v>
      </c>
      <c r="D25" s="3" t="s">
        <v>122</v>
      </c>
      <c r="E25" s="3" t="s">
        <v>123</v>
      </c>
      <c r="F25" s="3">
        <v>1760507.0</v>
      </c>
      <c r="G25" s="4">
        <v>46021.0</v>
      </c>
      <c r="H25" s="4">
        <v>46141.0</v>
      </c>
      <c r="I25" s="3" t="s">
        <v>124</v>
      </c>
      <c r="J25" s="3" t="s">
        <v>125</v>
      </c>
      <c r="K25" s="3" t="s">
        <v>126</v>
      </c>
      <c r="L25" s="3">
        <v>1.4528</v>
      </c>
      <c r="M25" s="3">
        <v>36320.0</v>
      </c>
      <c r="N25" s="3">
        <v>2.0</v>
      </c>
      <c r="O25" s="3">
        <v>169004.0</v>
      </c>
      <c r="P25" s="3"/>
      <c r="Q25" s="3">
        <v>703246.0</v>
      </c>
      <c r="R25" s="3"/>
      <c r="S25" s="3">
        <v>25424.0</v>
      </c>
      <c r="T25" s="3" t="s">
        <v>31</v>
      </c>
      <c r="U25" s="3">
        <v>25424.0</v>
      </c>
      <c r="V25" s="5">
        <f>(DATE(2026,2,3)-'RICE_Insured Farms_with PPI Pol'!$G25)+IF('RICE_Insured Farms_with PPI Pol'!$H25&lt;&gt;'RICE_Insured Farms_with PPI Pol'!$G25,18,0)</f>
        <v>53</v>
      </c>
      <c r="W25" s="3" t="str">
        <f t="array" ref="W25">IFS(V25&gt;120, "Harvested", V25&gt;=113, "Yellow Ripening", V25&gt;=101, "Dough Stage", V25&gt;=93, "Milking Stage", V25&gt;=86, "Flowering", V25&gt;=56, "Panicle Initiation/Booting", V25&lt;56, "Vegetative/Tillering")</f>
        <v>Vegetative/Tillering</v>
      </c>
    </row>
    <row r="26" ht="15.75" hidden="1" customHeight="1">
      <c r="A26" s="3">
        <v>25.0</v>
      </c>
      <c r="B26" s="3" t="s">
        <v>23</v>
      </c>
      <c r="C26" s="3" t="s">
        <v>24</v>
      </c>
      <c r="D26" s="3" t="s">
        <v>25</v>
      </c>
      <c r="E26" s="3" t="s">
        <v>32</v>
      </c>
      <c r="F26" s="3">
        <v>1760482.0</v>
      </c>
      <c r="G26" s="4">
        <v>46011.0</v>
      </c>
      <c r="H26" s="4">
        <v>46131.0</v>
      </c>
      <c r="I26" s="3" t="s">
        <v>127</v>
      </c>
      <c r="J26" s="3" t="s">
        <v>128</v>
      </c>
      <c r="K26" s="3" t="s">
        <v>129</v>
      </c>
      <c r="L26" s="3">
        <v>1.197</v>
      </c>
      <c r="M26" s="3">
        <v>29925.0</v>
      </c>
      <c r="N26" s="3">
        <v>2.0</v>
      </c>
      <c r="O26" s="3">
        <v>192784.0</v>
      </c>
      <c r="P26" s="3" t="s">
        <v>130</v>
      </c>
      <c r="Q26" s="3">
        <v>512631.0</v>
      </c>
      <c r="R26" s="3"/>
      <c r="S26" s="3">
        <v>20947.5</v>
      </c>
      <c r="T26" s="3" t="s">
        <v>31</v>
      </c>
      <c r="U26" s="3">
        <v>20947.5</v>
      </c>
      <c r="V26" s="5">
        <f>(DATE(2026,2,3)-'RICE_Insured Farms_with PPI Pol'!$G26)+IF('RICE_Insured Farms_with PPI Pol'!$H26&lt;&gt;'RICE_Insured Farms_with PPI Pol'!$G26,18,0)</f>
        <v>63</v>
      </c>
      <c r="W26" s="3" t="str">
        <f t="array" ref="W26">IFS(V26&gt;120, "Harvested", V26&gt;=113, "Yellow Ripening", V26&gt;=101, "Dough Stage", V26&gt;=93, "Milking Stage", V26&gt;=86, "Flowering", V26&gt;=56, "Panicle Initiation/Booting", V26&lt;56, "Vegetative/Tillering")</f>
        <v>Panicle Initiation/Booting</v>
      </c>
    </row>
    <row r="27" ht="15.75" hidden="1" customHeight="1">
      <c r="A27" s="3">
        <v>126.0</v>
      </c>
      <c r="B27" s="3" t="s">
        <v>23</v>
      </c>
      <c r="C27" s="3" t="s">
        <v>68</v>
      </c>
      <c r="D27" s="3" t="s">
        <v>69</v>
      </c>
      <c r="E27" s="3" t="s">
        <v>131</v>
      </c>
      <c r="F27" s="3">
        <v>1739640.0</v>
      </c>
      <c r="G27" s="4">
        <v>46001.0</v>
      </c>
      <c r="H27" s="4">
        <v>46103.0</v>
      </c>
      <c r="I27" s="3" t="s">
        <v>132</v>
      </c>
      <c r="J27" s="3" t="s">
        <v>133</v>
      </c>
      <c r="K27" s="3" t="s">
        <v>134</v>
      </c>
      <c r="L27" s="3">
        <v>0.5</v>
      </c>
      <c r="M27" s="3">
        <v>12500.0</v>
      </c>
      <c r="N27" s="3">
        <v>4.0</v>
      </c>
      <c r="O27" s="3">
        <v>228437.0</v>
      </c>
      <c r="P27" s="3" t="s">
        <v>135</v>
      </c>
      <c r="Q27" s="3">
        <v>1025316.0</v>
      </c>
      <c r="R27" s="3"/>
      <c r="S27" s="3">
        <v>10000.0</v>
      </c>
      <c r="T27" s="3" t="s">
        <v>56</v>
      </c>
      <c r="U27" s="3">
        <v>10000.0</v>
      </c>
      <c r="V27" s="5">
        <f>(DATE(2026,2,3)-'RICE_Insured Farms_with PPI Pol'!$G27)+IF('RICE_Insured Farms_with PPI Pol'!$H27&lt;&gt;'RICE_Insured Farms_with PPI Pol'!$G27,18,0)</f>
        <v>73</v>
      </c>
      <c r="W27" s="3" t="str">
        <f t="array" ref="W27">IFS(V27&gt;120, "Harvested", V27&gt;=113, "Yellow Ripening", V27&gt;=101, "Dough Stage", V27&gt;=93, "Milking Stage", V27&gt;=86, "Flowering", V27&gt;=56, "Panicle Initiation/Booting", V27&lt;56, "Vegetative/Tillering")</f>
        <v>Panicle Initiation/Booting</v>
      </c>
    </row>
    <row r="28" ht="15.75" hidden="1" customHeight="1">
      <c r="A28" s="3">
        <v>27.0</v>
      </c>
      <c r="B28" s="3" t="s">
        <v>23</v>
      </c>
      <c r="C28" s="3" t="s">
        <v>24</v>
      </c>
      <c r="D28" s="3" t="s">
        <v>25</v>
      </c>
      <c r="E28" s="3" t="s">
        <v>57</v>
      </c>
      <c r="F28" s="3">
        <v>1761031.0</v>
      </c>
      <c r="G28" s="4">
        <v>46020.0</v>
      </c>
      <c r="H28" s="4">
        <v>46140.0</v>
      </c>
      <c r="I28" s="3" t="s">
        <v>136</v>
      </c>
      <c r="J28" s="3" t="s">
        <v>34</v>
      </c>
      <c r="K28" s="3" t="s">
        <v>137</v>
      </c>
      <c r="L28" s="3">
        <v>0.6019</v>
      </c>
      <c r="M28" s="3">
        <v>15047.5</v>
      </c>
      <c r="N28" s="3">
        <v>2.0</v>
      </c>
      <c r="O28" s="3">
        <v>197919.0</v>
      </c>
      <c r="P28" s="3" t="s">
        <v>138</v>
      </c>
      <c r="Q28" s="3">
        <v>723166.0</v>
      </c>
      <c r="R28" s="3"/>
      <c r="S28" s="3">
        <v>10533.25</v>
      </c>
      <c r="T28" s="3" t="s">
        <v>31</v>
      </c>
      <c r="U28" s="3">
        <v>10533.25</v>
      </c>
      <c r="V28" s="5">
        <f>(DATE(2026,2,3)-'RICE_Insured Farms_with PPI Pol'!$G28)+IF('RICE_Insured Farms_with PPI Pol'!$H28&lt;&gt;'RICE_Insured Farms_with PPI Pol'!$G28,18,0)</f>
        <v>54</v>
      </c>
      <c r="W28" s="3" t="str">
        <f t="array" ref="W28">IFS(V28&gt;120, "Harvested", V28&gt;=113, "Yellow Ripening", V28&gt;=101, "Dough Stage", V28&gt;=93, "Milking Stage", V28&gt;=86, "Flowering", V28&gt;=56, "Panicle Initiation/Booting", V28&lt;56, "Vegetative/Tillering")</f>
        <v>Vegetative/Tillering</v>
      </c>
    </row>
    <row r="29" ht="15.75" hidden="1" customHeight="1">
      <c r="A29" s="3">
        <v>28.0</v>
      </c>
      <c r="B29" s="3" t="s">
        <v>23</v>
      </c>
      <c r="C29" s="3" t="s">
        <v>24</v>
      </c>
      <c r="D29" s="3" t="s">
        <v>25</v>
      </c>
      <c r="E29" s="3" t="s">
        <v>57</v>
      </c>
      <c r="F29" s="3">
        <v>1761031.0</v>
      </c>
      <c r="G29" s="4">
        <v>46037.0</v>
      </c>
      <c r="H29" s="4">
        <v>46157.0</v>
      </c>
      <c r="I29" s="3" t="s">
        <v>136</v>
      </c>
      <c r="J29" s="3" t="s">
        <v>139</v>
      </c>
      <c r="K29" s="3" t="s">
        <v>140</v>
      </c>
      <c r="L29" s="3">
        <v>0.9956</v>
      </c>
      <c r="M29" s="3">
        <v>24890.0</v>
      </c>
      <c r="N29" s="3">
        <v>1.0</v>
      </c>
      <c r="O29" s="3">
        <v>113229.0</v>
      </c>
      <c r="P29" s="3"/>
      <c r="Q29" s="3">
        <v>647403.0</v>
      </c>
      <c r="R29" s="3"/>
      <c r="S29" s="3">
        <v>14934.0</v>
      </c>
      <c r="T29" s="3" t="s">
        <v>62</v>
      </c>
      <c r="U29" s="3">
        <v>14934.0</v>
      </c>
      <c r="V29" s="5">
        <f>(DATE(2026,2,3)-'RICE_Insured Farms_with PPI Pol'!$G29)+IF('RICE_Insured Farms_with PPI Pol'!$H29&lt;&gt;'RICE_Insured Farms_with PPI Pol'!$G29,18,0)</f>
        <v>37</v>
      </c>
      <c r="W29" s="3" t="str">
        <f t="array" ref="W29">IFS(V29&gt;120, "Harvested", V29&gt;=113, "Yellow Ripening", V29&gt;=101, "Dough Stage", V29&gt;=93, "Milking Stage", V29&gt;=86, "Flowering", V29&gt;=56, "Panicle Initiation/Booting", V29&lt;56, "Vegetative/Tillering")</f>
        <v>Vegetative/Tillering</v>
      </c>
    </row>
    <row r="30" ht="15.75" customHeight="1">
      <c r="A30" s="3">
        <v>29.0</v>
      </c>
      <c r="B30" s="3" t="s">
        <v>23</v>
      </c>
      <c r="C30" s="3" t="s">
        <v>24</v>
      </c>
      <c r="D30" s="3" t="s">
        <v>25</v>
      </c>
      <c r="E30" s="3" t="s">
        <v>32</v>
      </c>
      <c r="F30" s="3">
        <v>1760478.0</v>
      </c>
      <c r="G30" s="4">
        <v>46012.0</v>
      </c>
      <c r="H30" s="4">
        <v>46113.0</v>
      </c>
      <c r="I30" s="3" t="s">
        <v>136</v>
      </c>
      <c r="J30" s="3" t="s">
        <v>141</v>
      </c>
      <c r="K30" s="3" t="s">
        <v>142</v>
      </c>
      <c r="L30" s="3">
        <v>1.384</v>
      </c>
      <c r="M30" s="3">
        <v>34600.0</v>
      </c>
      <c r="N30" s="3">
        <v>3.0</v>
      </c>
      <c r="O30" s="3">
        <v>233200.0</v>
      </c>
      <c r="P30" s="3" t="s">
        <v>143</v>
      </c>
      <c r="Q30" s="3">
        <v>569796.0</v>
      </c>
      <c r="R30" s="3"/>
      <c r="S30" s="3">
        <v>27680.0</v>
      </c>
      <c r="T30" s="3" t="s">
        <v>37</v>
      </c>
      <c r="U30" s="3">
        <v>27680.0</v>
      </c>
      <c r="V30" s="5">
        <f>(DATE(2026,2,3)-'RICE_Insured Farms_with PPI Pol'!$G30)+IF('RICE_Insured Farms_with PPI Pol'!$H30&lt;&gt;'RICE_Insured Farms_with PPI Pol'!$G30,18,0)</f>
        <v>62</v>
      </c>
      <c r="W30" s="3" t="str">
        <f t="array" ref="W30">IFS(V30&gt;120, "Harvested", V30&gt;=113, "Yellow Ripening", V30&gt;=101, "Dough Stage", V30&gt;=93, "Milking Stage", V30&gt;=86, "Flowering", V30&gt;=56, "Panicle Initiation/Booting", V30&lt;56, "Vegetative/Tillering")</f>
        <v>Panicle Initiation/Booting</v>
      </c>
    </row>
    <row r="31" ht="15.75" customHeight="1">
      <c r="A31" s="3">
        <v>30.0</v>
      </c>
      <c r="B31" s="3" t="s">
        <v>23</v>
      </c>
      <c r="C31" s="3" t="s">
        <v>24</v>
      </c>
      <c r="D31" s="3" t="s">
        <v>25</v>
      </c>
      <c r="E31" s="3" t="s">
        <v>144</v>
      </c>
      <c r="F31" s="3">
        <v>1761019.0</v>
      </c>
      <c r="G31" s="4">
        <v>46021.0</v>
      </c>
      <c r="H31" s="4">
        <v>46116.0</v>
      </c>
      <c r="I31" s="3" t="s">
        <v>145</v>
      </c>
      <c r="J31" s="3" t="s">
        <v>146</v>
      </c>
      <c r="K31" s="3" t="s">
        <v>147</v>
      </c>
      <c r="L31" s="3">
        <v>1.0165</v>
      </c>
      <c r="M31" s="3">
        <v>25412.5</v>
      </c>
      <c r="N31" s="3">
        <v>3.0</v>
      </c>
      <c r="O31" s="3">
        <v>367937.0</v>
      </c>
      <c r="P31" s="3"/>
      <c r="Q31" s="3">
        <v>722333.0</v>
      </c>
      <c r="R31" s="3"/>
      <c r="S31" s="3">
        <v>20330.0</v>
      </c>
      <c r="T31" s="3" t="s">
        <v>37</v>
      </c>
      <c r="U31" s="3">
        <v>20330.0</v>
      </c>
      <c r="V31" s="5">
        <f>(DATE(2026,2,3)-'RICE_Insured Farms_with PPI Pol'!$G31)+IF('RICE_Insured Farms_with PPI Pol'!$H31&lt;&gt;'RICE_Insured Farms_with PPI Pol'!$G31,18,0)</f>
        <v>53</v>
      </c>
      <c r="W31" s="3" t="str">
        <f t="array" ref="W31">IFS(V31&gt;120, "Harvested", V31&gt;=113, "Yellow Ripening", V31&gt;=101, "Dough Stage", V31&gt;=93, "Milking Stage", V31&gt;=86, "Flowering", V31&gt;=56, "Panicle Initiation/Booting", V31&lt;56, "Vegetative/Tillering")</f>
        <v>Vegetative/Tillering</v>
      </c>
    </row>
    <row r="32" ht="15.75" customHeight="1">
      <c r="A32" s="3">
        <v>31.0</v>
      </c>
      <c r="B32" s="3" t="s">
        <v>23</v>
      </c>
      <c r="C32" s="3" t="s">
        <v>24</v>
      </c>
      <c r="D32" s="3" t="s">
        <v>25</v>
      </c>
      <c r="E32" s="3" t="s">
        <v>32</v>
      </c>
      <c r="F32" s="3">
        <v>1760476.0</v>
      </c>
      <c r="G32" s="4">
        <v>46011.0</v>
      </c>
      <c r="H32" s="4">
        <v>46114.0</v>
      </c>
      <c r="I32" s="3" t="s">
        <v>148</v>
      </c>
      <c r="J32" s="3" t="s">
        <v>149</v>
      </c>
      <c r="K32" s="3" t="s">
        <v>150</v>
      </c>
      <c r="L32" s="3">
        <v>0.7696</v>
      </c>
      <c r="M32" s="3">
        <v>19240.0</v>
      </c>
      <c r="N32" s="3">
        <v>3.0</v>
      </c>
      <c r="O32" s="3">
        <v>189499.0</v>
      </c>
      <c r="P32" s="3" t="s">
        <v>151</v>
      </c>
      <c r="Q32" s="3">
        <v>512612.0</v>
      </c>
      <c r="R32" s="3"/>
      <c r="S32" s="3">
        <v>15392.0</v>
      </c>
      <c r="T32" s="3" t="s">
        <v>37</v>
      </c>
      <c r="U32" s="3">
        <v>15392.0</v>
      </c>
      <c r="V32" s="5">
        <f>(DATE(2026,2,3)-'RICE_Insured Farms_with PPI Pol'!$G32)+IF('RICE_Insured Farms_with PPI Pol'!$H32&lt;&gt;'RICE_Insured Farms_with PPI Pol'!$G32,18,0)</f>
        <v>63</v>
      </c>
      <c r="W32" s="3" t="str">
        <f t="array" ref="W32">IFS(V32&gt;120, "Harvested", V32&gt;=113, "Yellow Ripening", V32&gt;=101, "Dough Stage", V32&gt;=93, "Milking Stage", V32&gt;=86, "Flowering", V32&gt;=56, "Panicle Initiation/Booting", V32&lt;56, "Vegetative/Tillering")</f>
        <v>Panicle Initiation/Booting</v>
      </c>
    </row>
    <row r="33" ht="15.75" customHeight="1">
      <c r="A33" s="3">
        <v>32.0</v>
      </c>
      <c r="B33" s="3" t="s">
        <v>23</v>
      </c>
      <c r="C33" s="3" t="s">
        <v>24</v>
      </c>
      <c r="D33" s="3" t="s">
        <v>25</v>
      </c>
      <c r="E33" s="3" t="s">
        <v>32</v>
      </c>
      <c r="F33" s="3">
        <v>1760479.0</v>
      </c>
      <c r="G33" s="4">
        <v>46011.0</v>
      </c>
      <c r="H33" s="4">
        <v>46112.0</v>
      </c>
      <c r="I33" s="3" t="s">
        <v>152</v>
      </c>
      <c r="J33" s="3" t="s">
        <v>153</v>
      </c>
      <c r="K33" s="3" t="s">
        <v>154</v>
      </c>
      <c r="L33" s="3">
        <v>0.7889</v>
      </c>
      <c r="M33" s="3">
        <v>19722.5</v>
      </c>
      <c r="N33" s="3">
        <v>3.0</v>
      </c>
      <c r="O33" s="3">
        <v>313083.0</v>
      </c>
      <c r="P33" s="3" t="s">
        <v>155</v>
      </c>
      <c r="Q33" s="3">
        <v>570069.0</v>
      </c>
      <c r="R33" s="3"/>
      <c r="S33" s="3">
        <v>15778.0</v>
      </c>
      <c r="T33" s="3" t="s">
        <v>37</v>
      </c>
      <c r="U33" s="3">
        <v>15778.0</v>
      </c>
      <c r="V33" s="5">
        <f>(DATE(2026,2,3)-'RICE_Insured Farms_with PPI Pol'!$G33)+IF('RICE_Insured Farms_with PPI Pol'!$H33&lt;&gt;'RICE_Insured Farms_with PPI Pol'!$G33,18,0)</f>
        <v>63</v>
      </c>
      <c r="W33" s="3" t="str">
        <f t="array" ref="W33">IFS(V33&gt;120, "Harvested", V33&gt;=113, "Yellow Ripening", V33&gt;=101, "Dough Stage", V33&gt;=93, "Milking Stage", V33&gt;=86, "Flowering", V33&gt;=56, "Panicle Initiation/Booting", V33&lt;56, "Vegetative/Tillering")</f>
        <v>Panicle Initiation/Booting</v>
      </c>
    </row>
    <row r="34" ht="15.75" hidden="1" customHeight="1">
      <c r="A34" s="3">
        <v>33.0</v>
      </c>
      <c r="B34" s="3" t="s">
        <v>23</v>
      </c>
      <c r="C34" s="3" t="s">
        <v>24</v>
      </c>
      <c r="D34" s="3" t="s">
        <v>25</v>
      </c>
      <c r="E34" s="3" t="s">
        <v>57</v>
      </c>
      <c r="F34" s="3">
        <v>1761032.0</v>
      </c>
      <c r="G34" s="4">
        <v>46034.0</v>
      </c>
      <c r="H34" s="4">
        <v>46154.0</v>
      </c>
      <c r="I34" s="3" t="s">
        <v>156</v>
      </c>
      <c r="J34" s="3" t="s">
        <v>157</v>
      </c>
      <c r="K34" s="3" t="s">
        <v>158</v>
      </c>
      <c r="L34" s="3">
        <v>1.9284</v>
      </c>
      <c r="M34" s="3">
        <v>48210.0</v>
      </c>
      <c r="N34" s="3">
        <v>1.0</v>
      </c>
      <c r="O34" s="3">
        <v>327460.0</v>
      </c>
      <c r="P34" s="3" t="s">
        <v>159</v>
      </c>
      <c r="Q34" s="3">
        <v>707647.0</v>
      </c>
      <c r="R34" s="3"/>
      <c r="S34" s="3">
        <v>28926.0</v>
      </c>
      <c r="T34" s="3" t="s">
        <v>62</v>
      </c>
      <c r="U34" s="3">
        <v>28926.0</v>
      </c>
      <c r="V34" s="5">
        <f>(DATE(2026,2,3)-'RICE_Insured Farms_with PPI Pol'!$G34)+IF('RICE_Insured Farms_with PPI Pol'!$H34&lt;&gt;'RICE_Insured Farms_with PPI Pol'!$G34,18,0)</f>
        <v>40</v>
      </c>
      <c r="W34" s="3" t="str">
        <f t="array" ref="W34">IFS(V34&gt;120, "Harvested", V34&gt;=113, "Yellow Ripening", V34&gt;=101, "Dough Stage", V34&gt;=93, "Milking Stage", V34&gt;=86, "Flowering", V34&gt;=56, "Panicle Initiation/Booting", V34&lt;56, "Vegetative/Tillering")</f>
        <v>Vegetative/Tillering</v>
      </c>
    </row>
    <row r="35" ht="15.75" customHeight="1">
      <c r="A35" s="3">
        <v>34.0</v>
      </c>
      <c r="B35" s="3" t="s">
        <v>23</v>
      </c>
      <c r="C35" s="3" t="s">
        <v>24</v>
      </c>
      <c r="D35" s="3" t="s">
        <v>25</v>
      </c>
      <c r="E35" s="3" t="s">
        <v>160</v>
      </c>
      <c r="F35" s="3">
        <v>1761001.0</v>
      </c>
      <c r="G35" s="4">
        <v>46019.0</v>
      </c>
      <c r="H35" s="4">
        <v>46117.0</v>
      </c>
      <c r="I35" s="3" t="s">
        <v>161</v>
      </c>
      <c r="J35" s="3" t="s">
        <v>162</v>
      </c>
      <c r="K35" s="3" t="s">
        <v>163</v>
      </c>
      <c r="L35" s="3">
        <v>0.7237</v>
      </c>
      <c r="M35" s="3">
        <v>18092.5</v>
      </c>
      <c r="N35" s="3">
        <v>3.0</v>
      </c>
      <c r="O35" s="3">
        <v>175189.0</v>
      </c>
      <c r="P35" s="3" t="s">
        <v>164</v>
      </c>
      <c r="Q35" s="3">
        <v>724427.0</v>
      </c>
      <c r="R35" s="3"/>
      <c r="S35" s="3">
        <v>14474.0</v>
      </c>
      <c r="T35" s="3" t="s">
        <v>37</v>
      </c>
      <c r="U35" s="3">
        <v>14474.0</v>
      </c>
      <c r="V35" s="5">
        <f>(DATE(2026,2,3)-'RICE_Insured Farms_with PPI Pol'!$G35)+IF('RICE_Insured Farms_with PPI Pol'!$H35&lt;&gt;'RICE_Insured Farms_with PPI Pol'!$G35,18,0)</f>
        <v>55</v>
      </c>
      <c r="W35" s="3" t="str">
        <f t="array" ref="W35">IFS(V35&gt;120, "Harvested", V35&gt;=113, "Yellow Ripening", V35&gt;=101, "Dough Stage", V35&gt;=93, "Milking Stage", V35&gt;=86, "Flowering", V35&gt;=56, "Panicle Initiation/Booting", V35&lt;56, "Vegetative/Tillering")</f>
        <v>Vegetative/Tillering</v>
      </c>
    </row>
    <row r="36" ht="15.75" hidden="1" customHeight="1">
      <c r="A36" s="3">
        <v>127.0</v>
      </c>
      <c r="B36" s="3" t="s">
        <v>23</v>
      </c>
      <c r="C36" s="3" t="s">
        <v>68</v>
      </c>
      <c r="D36" s="3" t="s">
        <v>69</v>
      </c>
      <c r="E36" s="3" t="s">
        <v>70</v>
      </c>
      <c r="F36" s="3">
        <v>1739640.0</v>
      </c>
      <c r="G36" s="4">
        <v>46005.0</v>
      </c>
      <c r="H36" s="4">
        <v>46107.0</v>
      </c>
      <c r="I36" s="3" t="s">
        <v>165</v>
      </c>
      <c r="J36" s="3" t="s">
        <v>166</v>
      </c>
      <c r="K36" s="3" t="s">
        <v>167</v>
      </c>
      <c r="L36" s="3">
        <v>0.9395</v>
      </c>
      <c r="M36" s="3">
        <v>23487.5</v>
      </c>
      <c r="N36" s="3">
        <v>4.0</v>
      </c>
      <c r="O36" s="3">
        <v>135693.0</v>
      </c>
      <c r="P36" s="3" t="s">
        <v>168</v>
      </c>
      <c r="Q36" s="3">
        <v>1024467.0</v>
      </c>
      <c r="R36" s="3"/>
      <c r="S36" s="3">
        <v>18790.0</v>
      </c>
      <c r="T36" s="3" t="s">
        <v>56</v>
      </c>
      <c r="U36" s="3">
        <v>18790.0</v>
      </c>
      <c r="V36" s="5">
        <f>(DATE(2026,2,3)-'RICE_Insured Farms_with PPI Pol'!$G36)+IF('RICE_Insured Farms_with PPI Pol'!$H36&lt;&gt;'RICE_Insured Farms_with PPI Pol'!$G36,18,0)</f>
        <v>69</v>
      </c>
      <c r="W36" s="3" t="str">
        <f t="array" ref="W36">IFS(V36&gt;120, "Harvested", V36&gt;=113, "Yellow Ripening", V36&gt;=101, "Dough Stage", V36&gt;=93, "Milking Stage", V36&gt;=86, "Flowering", V36&gt;=56, "Panicle Initiation/Booting", V36&lt;56, "Vegetative/Tillering")</f>
        <v>Panicle Initiation/Booting</v>
      </c>
    </row>
    <row r="37" ht="15.75" hidden="1" customHeight="1">
      <c r="A37" s="3">
        <v>129.0</v>
      </c>
      <c r="B37" s="3" t="s">
        <v>23</v>
      </c>
      <c r="C37" s="3" t="s">
        <v>68</v>
      </c>
      <c r="D37" s="3" t="s">
        <v>69</v>
      </c>
      <c r="E37" s="3" t="s">
        <v>70</v>
      </c>
      <c r="F37" s="3">
        <v>1739639.0</v>
      </c>
      <c r="G37" s="4">
        <v>46009.0</v>
      </c>
      <c r="H37" s="4">
        <v>46111.0</v>
      </c>
      <c r="I37" s="3" t="s">
        <v>169</v>
      </c>
      <c r="J37" s="3" t="s">
        <v>170</v>
      </c>
      <c r="K37" s="3" t="s">
        <v>171</v>
      </c>
      <c r="L37" s="3">
        <v>0.504</v>
      </c>
      <c r="M37" s="3">
        <v>12600.0</v>
      </c>
      <c r="N37" s="3">
        <v>4.0</v>
      </c>
      <c r="O37" s="3">
        <v>294640.0</v>
      </c>
      <c r="P37" s="3" t="s">
        <v>172</v>
      </c>
      <c r="Q37" s="3">
        <v>1022343.0</v>
      </c>
      <c r="R37" s="3"/>
      <c r="S37" s="3">
        <v>10080.0</v>
      </c>
      <c r="T37" s="3" t="s">
        <v>56</v>
      </c>
      <c r="U37" s="3">
        <v>10080.0</v>
      </c>
      <c r="V37" s="5">
        <f>(DATE(2026,2,3)-'RICE_Insured Farms_with PPI Pol'!$G37)+IF('RICE_Insured Farms_with PPI Pol'!$H37&lt;&gt;'RICE_Insured Farms_with PPI Pol'!$G37,18,0)</f>
        <v>65</v>
      </c>
      <c r="W37" s="3" t="str">
        <f t="array" ref="W37">IFS(V37&gt;120, "Harvested", V37&gt;=113, "Yellow Ripening", V37&gt;=101, "Dough Stage", V37&gt;=93, "Milking Stage", V37&gt;=86, "Flowering", V37&gt;=56, "Panicle Initiation/Booting", V37&lt;56, "Vegetative/Tillering")</f>
        <v>Panicle Initiation/Booting</v>
      </c>
    </row>
    <row r="38" ht="15.75" customHeight="1">
      <c r="A38" s="3">
        <v>37.0</v>
      </c>
      <c r="B38" s="3" t="s">
        <v>23</v>
      </c>
      <c r="C38" s="3" t="s">
        <v>24</v>
      </c>
      <c r="D38" s="3" t="s">
        <v>25</v>
      </c>
      <c r="E38" s="3" t="s">
        <v>63</v>
      </c>
      <c r="F38" s="3">
        <v>1761016.0</v>
      </c>
      <c r="G38" s="4">
        <v>46030.0</v>
      </c>
      <c r="H38" s="4">
        <v>46125.0</v>
      </c>
      <c r="I38" s="3" t="s">
        <v>173</v>
      </c>
      <c r="J38" s="3" t="s">
        <v>174</v>
      </c>
      <c r="K38" s="3" t="s">
        <v>175</v>
      </c>
      <c r="L38" s="3">
        <v>0.9251</v>
      </c>
      <c r="M38" s="3">
        <v>23127.5</v>
      </c>
      <c r="N38" s="3">
        <v>3.0</v>
      </c>
      <c r="O38" s="3">
        <v>22963.0</v>
      </c>
      <c r="P38" s="3" t="s">
        <v>176</v>
      </c>
      <c r="Q38" s="3">
        <v>722638.0</v>
      </c>
      <c r="R38" s="3"/>
      <c r="S38" s="3">
        <v>18502.0</v>
      </c>
      <c r="T38" s="3" t="s">
        <v>37</v>
      </c>
      <c r="U38" s="3">
        <v>18502.0</v>
      </c>
      <c r="V38" s="5">
        <f>(DATE(2026,2,3)-'RICE_Insured Farms_with PPI Pol'!$G38)+IF('RICE_Insured Farms_with PPI Pol'!$H38&lt;&gt;'RICE_Insured Farms_with PPI Pol'!$G38,18,0)</f>
        <v>44</v>
      </c>
      <c r="W38" s="3" t="str">
        <f t="array" ref="W38">IFS(V38&gt;120, "Harvested", V38&gt;=113, "Yellow Ripening", V38&gt;=101, "Dough Stage", V38&gt;=93, "Milking Stage", V38&gt;=86, "Flowering", V38&gt;=56, "Panicle Initiation/Booting", V38&lt;56, "Vegetative/Tillering")</f>
        <v>Vegetative/Tillering</v>
      </c>
    </row>
    <row r="39" ht="15.75" customHeight="1">
      <c r="A39" s="3">
        <v>38.0</v>
      </c>
      <c r="B39" s="3" t="s">
        <v>23</v>
      </c>
      <c r="C39" s="3" t="s">
        <v>24</v>
      </c>
      <c r="D39" s="3" t="s">
        <v>25</v>
      </c>
      <c r="E39" s="3" t="s">
        <v>160</v>
      </c>
      <c r="F39" s="3">
        <v>1761001.0</v>
      </c>
      <c r="G39" s="4">
        <v>46019.0</v>
      </c>
      <c r="H39" s="4">
        <v>46117.0</v>
      </c>
      <c r="I39" s="3" t="s">
        <v>161</v>
      </c>
      <c r="J39" s="3" t="s">
        <v>162</v>
      </c>
      <c r="K39" s="3" t="s">
        <v>163</v>
      </c>
      <c r="L39" s="3">
        <v>0.7237</v>
      </c>
      <c r="M39" s="3">
        <v>18092.5</v>
      </c>
      <c r="N39" s="3">
        <v>3.0</v>
      </c>
      <c r="O39" s="3">
        <v>175189.0</v>
      </c>
      <c r="P39" s="3" t="s">
        <v>164</v>
      </c>
      <c r="Q39" s="3">
        <v>724427.0</v>
      </c>
      <c r="R39" s="3"/>
      <c r="S39" s="3">
        <v>14474.0</v>
      </c>
      <c r="T39" s="3" t="s">
        <v>37</v>
      </c>
      <c r="U39" s="3">
        <v>14474.0</v>
      </c>
      <c r="V39" s="5">
        <f>(DATE(2026,2,3)-'RICE_Insured Farms_with PPI Pol'!$G39)+IF('RICE_Insured Farms_with PPI Pol'!$H39&lt;&gt;'RICE_Insured Farms_with PPI Pol'!$G39,18,0)</f>
        <v>55</v>
      </c>
      <c r="W39" s="3" t="str">
        <f t="array" ref="W39">IFS(V39&gt;120, "Harvested", V39&gt;=113, "Yellow Ripening", V39&gt;=101, "Dough Stage", V39&gt;=93, "Milking Stage", V39&gt;=86, "Flowering", V39&gt;=56, "Panicle Initiation/Booting", V39&lt;56, "Vegetative/Tillering")</f>
        <v>Vegetative/Tillering</v>
      </c>
    </row>
    <row r="40" ht="15.75" hidden="1" customHeight="1">
      <c r="A40" s="3">
        <v>39.0</v>
      </c>
      <c r="B40" s="3" t="s">
        <v>23</v>
      </c>
      <c r="C40" s="3" t="s">
        <v>24</v>
      </c>
      <c r="D40" s="3" t="s">
        <v>25</v>
      </c>
      <c r="E40" s="3" t="s">
        <v>177</v>
      </c>
      <c r="F40" s="3">
        <v>1760498.0</v>
      </c>
      <c r="G40" s="4">
        <v>46011.0</v>
      </c>
      <c r="H40" s="4">
        <v>46131.0</v>
      </c>
      <c r="I40" s="3" t="s">
        <v>178</v>
      </c>
      <c r="J40" s="3" t="s">
        <v>179</v>
      </c>
      <c r="K40" s="3" t="s">
        <v>180</v>
      </c>
      <c r="L40" s="3">
        <v>1.4952</v>
      </c>
      <c r="M40" s="3">
        <v>37380.0</v>
      </c>
      <c r="N40" s="3">
        <v>2.0</v>
      </c>
      <c r="O40" s="3">
        <v>294924.0</v>
      </c>
      <c r="P40" s="3" t="s">
        <v>181</v>
      </c>
      <c r="Q40" s="3">
        <v>598084.0</v>
      </c>
      <c r="R40" s="3"/>
      <c r="S40" s="3">
        <v>26166.0</v>
      </c>
      <c r="T40" s="3" t="s">
        <v>31</v>
      </c>
      <c r="U40" s="3">
        <v>26166.0</v>
      </c>
      <c r="V40" s="5">
        <f>(DATE(2026,2,3)-'RICE_Insured Farms_with PPI Pol'!$G40)+IF('RICE_Insured Farms_with PPI Pol'!$H40&lt;&gt;'RICE_Insured Farms_with PPI Pol'!$G40,18,0)</f>
        <v>63</v>
      </c>
      <c r="W40" s="3" t="str">
        <f t="array" ref="W40">IFS(V40&gt;120, "Harvested", V40&gt;=113, "Yellow Ripening", V40&gt;=101, "Dough Stage", V40&gt;=93, "Milking Stage", V40&gt;=86, "Flowering", V40&gt;=56, "Panicle Initiation/Booting", V40&lt;56, "Vegetative/Tillering")</f>
        <v>Panicle Initiation/Booting</v>
      </c>
    </row>
    <row r="41" ht="15.75" customHeight="1">
      <c r="A41" s="3">
        <v>40.0</v>
      </c>
      <c r="B41" s="3" t="s">
        <v>23</v>
      </c>
      <c r="C41" s="3" t="s">
        <v>24</v>
      </c>
      <c r="D41" s="3" t="s">
        <v>25</v>
      </c>
      <c r="E41" s="3" t="s">
        <v>32</v>
      </c>
      <c r="F41" s="3">
        <v>1760479.0</v>
      </c>
      <c r="G41" s="4">
        <v>46025.0</v>
      </c>
      <c r="H41" s="4">
        <v>46120.0</v>
      </c>
      <c r="I41" s="3" t="s">
        <v>182</v>
      </c>
      <c r="J41" s="3" t="s">
        <v>183</v>
      </c>
      <c r="K41" s="3"/>
      <c r="L41" s="3">
        <v>0.5036</v>
      </c>
      <c r="M41" s="3">
        <v>12590.0</v>
      </c>
      <c r="N41" s="3">
        <v>3.0</v>
      </c>
      <c r="O41" s="3">
        <v>361838.0</v>
      </c>
      <c r="P41" s="3"/>
      <c r="Q41" s="3">
        <v>707250.0</v>
      </c>
      <c r="R41" s="3"/>
      <c r="S41" s="3">
        <v>10072.0</v>
      </c>
      <c r="T41" s="3" t="s">
        <v>37</v>
      </c>
      <c r="U41" s="3">
        <v>10072.0</v>
      </c>
      <c r="V41" s="5">
        <f>(DATE(2026,2,3)-'RICE_Insured Farms_with PPI Pol'!$G41)+IF('RICE_Insured Farms_with PPI Pol'!$H41&lt;&gt;'RICE_Insured Farms_with PPI Pol'!$G41,18,0)</f>
        <v>49</v>
      </c>
      <c r="W41" s="3" t="str">
        <f t="array" ref="W41">IFS(V41&gt;120, "Harvested", V41&gt;=113, "Yellow Ripening", V41&gt;=101, "Dough Stage", V41&gt;=93, "Milking Stage", V41&gt;=86, "Flowering", V41&gt;=56, "Panicle Initiation/Booting", V41&lt;56, "Vegetative/Tillering")</f>
        <v>Vegetative/Tillering</v>
      </c>
    </row>
    <row r="42" ht="15.75" hidden="1" customHeight="1">
      <c r="A42" s="3">
        <v>519.0</v>
      </c>
      <c r="B42" s="3" t="s">
        <v>23</v>
      </c>
      <c r="C42" s="3" t="s">
        <v>68</v>
      </c>
      <c r="D42" s="3" t="s">
        <v>69</v>
      </c>
      <c r="E42" s="3" t="s">
        <v>184</v>
      </c>
      <c r="F42" s="3">
        <v>1739639.0</v>
      </c>
      <c r="G42" s="4">
        <v>46009.0</v>
      </c>
      <c r="H42" s="4">
        <v>46111.0</v>
      </c>
      <c r="I42" s="3" t="s">
        <v>185</v>
      </c>
      <c r="J42" s="3" t="s">
        <v>186</v>
      </c>
      <c r="K42" s="3" t="s">
        <v>187</v>
      </c>
      <c r="L42" s="3">
        <v>1.2874</v>
      </c>
      <c r="M42" s="3">
        <v>32185.0</v>
      </c>
      <c r="N42" s="3">
        <v>4.0</v>
      </c>
      <c r="O42" s="3">
        <v>356957.0</v>
      </c>
      <c r="P42" s="3"/>
      <c r="Q42" s="3">
        <v>1137947.0</v>
      </c>
      <c r="R42" s="3"/>
      <c r="S42" s="3">
        <v>25748.0</v>
      </c>
      <c r="T42" s="3" t="s">
        <v>56</v>
      </c>
      <c r="U42" s="3">
        <v>25748.0</v>
      </c>
      <c r="V42" s="5">
        <f>(DATE(2026,2,3)-'RICE_Insured Farms_with PPI Pol'!$G42)+IF('RICE_Insured Farms_with PPI Pol'!$H42&lt;&gt;'RICE_Insured Farms_with PPI Pol'!$G42,18,0)</f>
        <v>65</v>
      </c>
      <c r="W42" s="3" t="str">
        <f t="array" ref="W42">IFS(V42&gt;120, "Harvested", V42&gt;=113, "Yellow Ripening", V42&gt;=101, "Dough Stage", V42&gt;=93, "Milking Stage", V42&gt;=86, "Flowering", V42&gt;=56, "Panicle Initiation/Booting", V42&lt;56, "Vegetative/Tillering")</f>
        <v>Panicle Initiation/Booting</v>
      </c>
    </row>
    <row r="43" ht="15.75" hidden="1" customHeight="1">
      <c r="A43" s="3">
        <v>42.0</v>
      </c>
      <c r="B43" s="3" t="s">
        <v>23</v>
      </c>
      <c r="C43" s="3" t="s">
        <v>24</v>
      </c>
      <c r="D43" s="3" t="s">
        <v>25</v>
      </c>
      <c r="E43" s="3" t="s">
        <v>57</v>
      </c>
      <c r="F43" s="3">
        <v>1761032.0</v>
      </c>
      <c r="G43" s="4">
        <v>46047.0</v>
      </c>
      <c r="H43" s="4">
        <v>46167.0</v>
      </c>
      <c r="I43" s="3" t="s">
        <v>188</v>
      </c>
      <c r="J43" s="3" t="s">
        <v>189</v>
      </c>
      <c r="K43" s="3" t="s">
        <v>190</v>
      </c>
      <c r="L43" s="3">
        <v>0.9633</v>
      </c>
      <c r="M43" s="3">
        <v>24082.5</v>
      </c>
      <c r="N43" s="3">
        <v>0.0</v>
      </c>
      <c r="O43" s="3">
        <v>21176.0</v>
      </c>
      <c r="P43" s="3"/>
      <c r="Q43" s="3">
        <v>707660.0</v>
      </c>
      <c r="R43" s="3"/>
      <c r="S43" s="3">
        <v>14449.5</v>
      </c>
      <c r="T43" s="3" t="s">
        <v>191</v>
      </c>
      <c r="U43" s="3">
        <v>14449.5</v>
      </c>
      <c r="V43" s="5">
        <f>(DATE(2026,2,3)-'RICE_Insured Farms_with PPI Pol'!$G43)+IF('RICE_Insured Farms_with PPI Pol'!$H43&lt;&gt;'RICE_Insured Farms_with PPI Pol'!$G43,18,0)</f>
        <v>27</v>
      </c>
      <c r="W43" s="3" t="str">
        <f t="array" ref="W43">IFS(V43&gt;120, "Harvested", V43&gt;=113, "Yellow Ripening", V43&gt;=101, "Dough Stage", V43&gt;=93, "Milking Stage", V43&gt;=86, "Flowering", V43&gt;=56, "Panicle Initiation/Booting", V43&lt;56, "Vegetative/Tillering")</f>
        <v>Vegetative/Tillering</v>
      </c>
    </row>
    <row r="44" ht="15.75" customHeight="1">
      <c r="A44" s="3">
        <v>43.0</v>
      </c>
      <c r="B44" s="3" t="s">
        <v>23</v>
      </c>
      <c r="C44" s="3" t="s">
        <v>24</v>
      </c>
      <c r="D44" s="3" t="s">
        <v>25</v>
      </c>
      <c r="E44" s="3" t="s">
        <v>192</v>
      </c>
      <c r="F44" s="3">
        <v>1760479.0</v>
      </c>
      <c r="G44" s="4">
        <v>46011.0</v>
      </c>
      <c r="H44" s="4">
        <v>46112.0</v>
      </c>
      <c r="I44" s="3" t="s">
        <v>193</v>
      </c>
      <c r="J44" s="3" t="s">
        <v>194</v>
      </c>
      <c r="K44" s="3" t="s">
        <v>195</v>
      </c>
      <c r="L44" s="3">
        <v>1.05</v>
      </c>
      <c r="M44" s="3">
        <v>26250.0</v>
      </c>
      <c r="N44" s="3">
        <v>3.0</v>
      </c>
      <c r="O44" s="3">
        <v>109132.0</v>
      </c>
      <c r="P44" s="3" t="s">
        <v>196</v>
      </c>
      <c r="Q44" s="3">
        <v>707181.0</v>
      </c>
      <c r="R44" s="3"/>
      <c r="S44" s="3">
        <v>21000.0</v>
      </c>
      <c r="T44" s="3" t="s">
        <v>37</v>
      </c>
      <c r="U44" s="3">
        <v>21000.0</v>
      </c>
      <c r="V44" s="5">
        <f>(DATE(2026,2,3)-'RICE_Insured Farms_with PPI Pol'!$G44)+IF('RICE_Insured Farms_with PPI Pol'!$H44&lt;&gt;'RICE_Insured Farms_with PPI Pol'!$G44,18,0)</f>
        <v>63</v>
      </c>
      <c r="W44" s="3" t="str">
        <f t="array" ref="W44">IFS(V44&gt;120, "Harvested", V44&gt;=113, "Yellow Ripening", V44&gt;=101, "Dough Stage", V44&gt;=93, "Milking Stage", V44&gt;=86, "Flowering", V44&gt;=56, "Panicle Initiation/Booting", V44&lt;56, "Vegetative/Tillering")</f>
        <v>Panicle Initiation/Booting</v>
      </c>
    </row>
    <row r="45" ht="15.75" customHeight="1">
      <c r="A45" s="3">
        <v>44.0</v>
      </c>
      <c r="B45" s="3" t="s">
        <v>23</v>
      </c>
      <c r="C45" s="3" t="s">
        <v>24</v>
      </c>
      <c r="D45" s="3" t="s">
        <v>25</v>
      </c>
      <c r="E45" s="3" t="s">
        <v>177</v>
      </c>
      <c r="F45" s="3">
        <v>1760498.0</v>
      </c>
      <c r="G45" s="4">
        <v>46019.0</v>
      </c>
      <c r="H45" s="4">
        <v>46119.0</v>
      </c>
      <c r="I45" s="3" t="s">
        <v>197</v>
      </c>
      <c r="J45" s="3" t="s">
        <v>198</v>
      </c>
      <c r="K45" s="3" t="s">
        <v>199</v>
      </c>
      <c r="L45" s="3">
        <v>1.0</v>
      </c>
      <c r="M45" s="3">
        <v>25000.0</v>
      </c>
      <c r="N45" s="3">
        <v>3.0</v>
      </c>
      <c r="O45" s="3">
        <v>322314.0</v>
      </c>
      <c r="P45" s="3" t="s">
        <v>200</v>
      </c>
      <c r="Q45" s="3">
        <v>598107.0</v>
      </c>
      <c r="R45" s="3"/>
      <c r="S45" s="3">
        <v>20000.0</v>
      </c>
      <c r="T45" s="3" t="s">
        <v>37</v>
      </c>
      <c r="U45" s="3">
        <v>20000.0</v>
      </c>
      <c r="V45" s="5">
        <f>(DATE(2026,2,3)-'RICE_Insured Farms_with PPI Pol'!$G45)+IF('RICE_Insured Farms_with PPI Pol'!$H45&lt;&gt;'RICE_Insured Farms_with PPI Pol'!$G45,18,0)</f>
        <v>55</v>
      </c>
      <c r="W45" s="3" t="str">
        <f t="array" ref="W45">IFS(V45&gt;120, "Harvested", V45&gt;=113, "Yellow Ripening", V45&gt;=101, "Dough Stage", V45&gt;=93, "Milking Stage", V45&gt;=86, "Flowering", V45&gt;=56, "Panicle Initiation/Booting", V45&lt;56, "Vegetative/Tillering")</f>
        <v>Vegetative/Tillering</v>
      </c>
    </row>
    <row r="46" ht="15.75" hidden="1" customHeight="1">
      <c r="A46" s="3">
        <v>611.0</v>
      </c>
      <c r="B46" s="3" t="s">
        <v>23</v>
      </c>
      <c r="C46" s="3" t="s">
        <v>68</v>
      </c>
      <c r="D46" s="3" t="s">
        <v>69</v>
      </c>
      <c r="E46" s="3" t="s">
        <v>184</v>
      </c>
      <c r="F46" s="3">
        <v>1739652.0</v>
      </c>
      <c r="G46" s="4">
        <v>46009.0</v>
      </c>
      <c r="H46" s="4">
        <v>46111.0</v>
      </c>
      <c r="I46" s="3" t="s">
        <v>201</v>
      </c>
      <c r="J46" s="3" t="s">
        <v>202</v>
      </c>
      <c r="K46" s="3" t="s">
        <v>203</v>
      </c>
      <c r="L46" s="3">
        <v>0.7181</v>
      </c>
      <c r="M46" s="3">
        <v>17952.5</v>
      </c>
      <c r="N46" s="3">
        <v>4.0</v>
      </c>
      <c r="O46" s="3">
        <v>334290.0</v>
      </c>
      <c r="P46" s="3" t="s">
        <v>204</v>
      </c>
      <c r="Q46" s="3">
        <v>1138050.0</v>
      </c>
      <c r="R46" s="3"/>
      <c r="S46" s="3">
        <v>14362.0</v>
      </c>
      <c r="T46" s="3" t="s">
        <v>56</v>
      </c>
      <c r="U46" s="3">
        <v>14362.0</v>
      </c>
      <c r="V46" s="5">
        <f>(DATE(2026,2,3)-'RICE_Insured Farms_with PPI Pol'!$G46)+IF('RICE_Insured Farms_with PPI Pol'!$H46&lt;&gt;'RICE_Insured Farms_with PPI Pol'!$G46,18,0)</f>
        <v>65</v>
      </c>
      <c r="W46" s="3" t="str">
        <f t="array" ref="W46">IFS(V46&gt;120, "Harvested", V46&gt;=113, "Yellow Ripening", V46&gt;=101, "Dough Stage", V46&gt;=93, "Milking Stage", V46&gt;=86, "Flowering", V46&gt;=56, "Panicle Initiation/Booting", V46&lt;56, "Vegetative/Tillering")</f>
        <v>Panicle Initiation/Booting</v>
      </c>
    </row>
    <row r="47" ht="15.75" customHeight="1">
      <c r="A47" s="3">
        <v>46.0</v>
      </c>
      <c r="B47" s="3" t="s">
        <v>23</v>
      </c>
      <c r="C47" s="3" t="s">
        <v>24</v>
      </c>
      <c r="D47" s="3" t="s">
        <v>25</v>
      </c>
      <c r="E47" s="3" t="s">
        <v>32</v>
      </c>
      <c r="F47" s="3">
        <v>1760476.0</v>
      </c>
      <c r="G47" s="4">
        <v>46013.0</v>
      </c>
      <c r="H47" s="4">
        <v>46116.0</v>
      </c>
      <c r="I47" s="3" t="s">
        <v>205</v>
      </c>
      <c r="J47" s="3" t="s">
        <v>206</v>
      </c>
      <c r="K47" s="3" t="s">
        <v>207</v>
      </c>
      <c r="L47" s="3">
        <v>1.1263</v>
      </c>
      <c r="M47" s="3">
        <v>28157.5</v>
      </c>
      <c r="N47" s="3">
        <v>3.0</v>
      </c>
      <c r="O47" s="3">
        <v>192792.0</v>
      </c>
      <c r="P47" s="3" t="s">
        <v>208</v>
      </c>
      <c r="Q47" s="3">
        <v>603962.0</v>
      </c>
      <c r="R47" s="3"/>
      <c r="S47" s="3">
        <v>22526.0</v>
      </c>
      <c r="T47" s="3" t="s">
        <v>37</v>
      </c>
      <c r="U47" s="3">
        <v>22526.0</v>
      </c>
      <c r="V47" s="5">
        <f>(DATE(2026,2,3)-'RICE_Insured Farms_with PPI Pol'!$G47)+IF('RICE_Insured Farms_with PPI Pol'!$H47&lt;&gt;'RICE_Insured Farms_with PPI Pol'!$G47,18,0)</f>
        <v>61</v>
      </c>
      <c r="W47" s="3" t="str">
        <f t="array" ref="W47">IFS(V47&gt;120, "Harvested", V47&gt;=113, "Yellow Ripening", V47&gt;=101, "Dough Stage", V47&gt;=93, "Milking Stage", V47&gt;=86, "Flowering", V47&gt;=56, "Panicle Initiation/Booting", V47&lt;56, "Vegetative/Tillering")</f>
        <v>Panicle Initiation/Booting</v>
      </c>
    </row>
    <row r="48" ht="15.75" hidden="1" customHeight="1">
      <c r="A48" s="3">
        <v>779.0</v>
      </c>
      <c r="B48" s="3" t="s">
        <v>23</v>
      </c>
      <c r="C48" s="3" t="s">
        <v>68</v>
      </c>
      <c r="D48" s="3" t="s">
        <v>69</v>
      </c>
      <c r="E48" s="3" t="s">
        <v>131</v>
      </c>
      <c r="F48" s="3">
        <v>1739642.0</v>
      </c>
      <c r="G48" s="4">
        <v>46018.0</v>
      </c>
      <c r="H48" s="4">
        <v>46110.0</v>
      </c>
      <c r="I48" s="3" t="s">
        <v>209</v>
      </c>
      <c r="J48" s="3" t="s">
        <v>210</v>
      </c>
      <c r="K48" s="3" t="s">
        <v>211</v>
      </c>
      <c r="L48" s="3">
        <v>0.7053</v>
      </c>
      <c r="M48" s="3">
        <v>17632.5</v>
      </c>
      <c r="N48" s="3">
        <v>4.0</v>
      </c>
      <c r="O48" s="3">
        <v>127353.0</v>
      </c>
      <c r="P48" s="3"/>
      <c r="Q48" s="3">
        <v>1137727.0</v>
      </c>
      <c r="R48" s="3"/>
      <c r="S48" s="3">
        <v>14106.0</v>
      </c>
      <c r="T48" s="3" t="s">
        <v>56</v>
      </c>
      <c r="U48" s="3">
        <v>14106.0</v>
      </c>
      <c r="V48" s="5">
        <f>(DATE(2026,2,3)-'RICE_Insured Farms_with PPI Pol'!$G48)+IF('RICE_Insured Farms_with PPI Pol'!$H48&lt;&gt;'RICE_Insured Farms_with PPI Pol'!$G48,18,0)</f>
        <v>56</v>
      </c>
      <c r="W48" s="3" t="str">
        <f t="array" ref="W48">IFS(V48&gt;120, "Harvested", V48&gt;=113, "Yellow Ripening", V48&gt;=101, "Dough Stage", V48&gt;=93, "Milking Stage", V48&gt;=86, "Flowering", V48&gt;=56, "Panicle Initiation/Booting", V48&lt;56, "Vegetative/Tillering")</f>
        <v>Panicle Initiation/Booting</v>
      </c>
    </row>
    <row r="49" ht="15.75" hidden="1" customHeight="1">
      <c r="A49" s="3">
        <v>48.0</v>
      </c>
      <c r="B49" s="3" t="s">
        <v>23</v>
      </c>
      <c r="C49" s="3" t="s">
        <v>24</v>
      </c>
      <c r="D49" s="3" t="s">
        <v>25</v>
      </c>
      <c r="E49" s="3" t="s">
        <v>57</v>
      </c>
      <c r="F49" s="3">
        <v>1761030.0</v>
      </c>
      <c r="G49" s="4">
        <v>46021.0</v>
      </c>
      <c r="H49" s="4">
        <v>46141.0</v>
      </c>
      <c r="I49" s="3" t="s">
        <v>212</v>
      </c>
      <c r="J49" s="3" t="s">
        <v>213</v>
      </c>
      <c r="K49" s="3" t="s">
        <v>214</v>
      </c>
      <c r="L49" s="3">
        <v>1.0209</v>
      </c>
      <c r="M49" s="3">
        <v>25522.5</v>
      </c>
      <c r="N49" s="3">
        <v>2.0</v>
      </c>
      <c r="O49" s="3">
        <v>192090.0</v>
      </c>
      <c r="P49" s="3" t="s">
        <v>215</v>
      </c>
      <c r="Q49" s="3">
        <v>723885.0</v>
      </c>
      <c r="R49" s="3"/>
      <c r="S49" s="3">
        <v>17865.75</v>
      </c>
      <c r="T49" s="3" t="s">
        <v>31</v>
      </c>
      <c r="U49" s="3">
        <v>17865.75</v>
      </c>
      <c r="V49" s="5">
        <f>(DATE(2026,2,3)-'RICE_Insured Farms_with PPI Pol'!$G49)+IF('RICE_Insured Farms_with PPI Pol'!$H49&lt;&gt;'RICE_Insured Farms_with PPI Pol'!$G49,18,0)</f>
        <v>53</v>
      </c>
      <c r="W49" s="3" t="str">
        <f t="array" ref="W49">IFS(V49&gt;120, "Harvested", V49&gt;=113, "Yellow Ripening", V49&gt;=101, "Dough Stage", V49&gt;=93, "Milking Stage", V49&gt;=86, "Flowering", V49&gt;=56, "Panicle Initiation/Booting", V49&lt;56, "Vegetative/Tillering")</f>
        <v>Vegetative/Tillering</v>
      </c>
    </row>
    <row r="50" ht="15.75" customHeight="1">
      <c r="A50" s="3">
        <v>49.0</v>
      </c>
      <c r="B50" s="3" t="s">
        <v>23</v>
      </c>
      <c r="C50" s="3" t="s">
        <v>24</v>
      </c>
      <c r="D50" s="3" t="s">
        <v>25</v>
      </c>
      <c r="E50" s="3" t="s">
        <v>32</v>
      </c>
      <c r="F50" s="3">
        <v>1760479.0</v>
      </c>
      <c r="G50" s="4">
        <v>46015.0</v>
      </c>
      <c r="H50" s="4">
        <v>46116.0</v>
      </c>
      <c r="I50" s="3" t="s">
        <v>216</v>
      </c>
      <c r="J50" s="3" t="s">
        <v>217</v>
      </c>
      <c r="K50" s="3" t="s">
        <v>99</v>
      </c>
      <c r="L50" s="3">
        <v>2.0219</v>
      </c>
      <c r="M50" s="3">
        <v>50547.5</v>
      </c>
      <c r="N50" s="3">
        <v>3.0</v>
      </c>
      <c r="O50" s="3">
        <v>294849.0</v>
      </c>
      <c r="P50" s="3" t="s">
        <v>218</v>
      </c>
      <c r="Q50" s="3">
        <v>602932.0</v>
      </c>
      <c r="R50" s="3"/>
      <c r="S50" s="3">
        <v>40438.0</v>
      </c>
      <c r="T50" s="3" t="s">
        <v>37</v>
      </c>
      <c r="U50" s="3">
        <v>40438.0</v>
      </c>
      <c r="V50" s="5">
        <f>(DATE(2026,2,3)-'RICE_Insured Farms_with PPI Pol'!$G50)+IF('RICE_Insured Farms_with PPI Pol'!$H50&lt;&gt;'RICE_Insured Farms_with PPI Pol'!$G50,18,0)</f>
        <v>59</v>
      </c>
      <c r="W50" s="3" t="str">
        <f t="array" ref="W50">IFS(V50&gt;120, "Harvested", V50&gt;=113, "Yellow Ripening", V50&gt;=101, "Dough Stage", V50&gt;=93, "Milking Stage", V50&gt;=86, "Flowering", V50&gt;=56, "Panicle Initiation/Booting", V50&lt;56, "Vegetative/Tillering")</f>
        <v>Panicle Initiation/Booting</v>
      </c>
    </row>
    <row r="51" ht="15.75" customHeight="1">
      <c r="A51" s="3">
        <v>50.0</v>
      </c>
      <c r="B51" s="3" t="s">
        <v>23</v>
      </c>
      <c r="C51" s="3" t="s">
        <v>24</v>
      </c>
      <c r="D51" s="3" t="s">
        <v>25</v>
      </c>
      <c r="E51" s="3" t="s">
        <v>32</v>
      </c>
      <c r="F51" s="3">
        <v>1760476.0</v>
      </c>
      <c r="G51" s="4">
        <v>46014.0</v>
      </c>
      <c r="H51" s="4">
        <v>46117.0</v>
      </c>
      <c r="I51" s="3" t="s">
        <v>219</v>
      </c>
      <c r="J51" s="3" t="s">
        <v>43</v>
      </c>
      <c r="K51" s="3" t="s">
        <v>220</v>
      </c>
      <c r="L51" s="3">
        <v>1.0133</v>
      </c>
      <c r="M51" s="3">
        <v>25332.5</v>
      </c>
      <c r="N51" s="3">
        <v>3.0</v>
      </c>
      <c r="O51" s="3">
        <v>122897.0</v>
      </c>
      <c r="P51" s="3" t="s">
        <v>221</v>
      </c>
      <c r="Q51" s="3">
        <v>603996.0</v>
      </c>
      <c r="R51" s="3"/>
      <c r="S51" s="3">
        <v>20266.0</v>
      </c>
      <c r="T51" s="3" t="s">
        <v>37</v>
      </c>
      <c r="U51" s="3">
        <v>20266.0</v>
      </c>
      <c r="V51" s="5">
        <f>(DATE(2026,2,3)-'RICE_Insured Farms_with PPI Pol'!$G51)+IF('RICE_Insured Farms_with PPI Pol'!$H51&lt;&gt;'RICE_Insured Farms_with PPI Pol'!$G51,18,0)</f>
        <v>60</v>
      </c>
      <c r="W51" s="3" t="str">
        <f t="array" ref="W51">IFS(V51&gt;120, "Harvested", V51&gt;=113, "Yellow Ripening", V51&gt;=101, "Dough Stage", V51&gt;=93, "Milking Stage", V51&gt;=86, "Flowering", V51&gt;=56, "Panicle Initiation/Booting", V51&lt;56, "Vegetative/Tillering")</f>
        <v>Panicle Initiation/Booting</v>
      </c>
    </row>
    <row r="52" ht="15.75" hidden="1" customHeight="1">
      <c r="A52" s="3">
        <v>51.0</v>
      </c>
      <c r="B52" s="3" t="s">
        <v>23</v>
      </c>
      <c r="C52" s="3" t="s">
        <v>24</v>
      </c>
      <c r="D52" s="3" t="s">
        <v>25</v>
      </c>
      <c r="E52" s="3" t="s">
        <v>32</v>
      </c>
      <c r="F52" s="3">
        <v>1760476.0</v>
      </c>
      <c r="G52" s="4">
        <v>46014.0</v>
      </c>
      <c r="H52" s="4">
        <v>46134.0</v>
      </c>
      <c r="I52" s="3" t="s">
        <v>219</v>
      </c>
      <c r="J52" s="3" t="s">
        <v>222</v>
      </c>
      <c r="K52" s="3" t="s">
        <v>223</v>
      </c>
      <c r="L52" s="3">
        <v>0.9766</v>
      </c>
      <c r="M52" s="3">
        <v>24415.0</v>
      </c>
      <c r="N52" s="3">
        <v>2.0</v>
      </c>
      <c r="O52" s="3">
        <v>294860.0</v>
      </c>
      <c r="P52" s="3" t="s">
        <v>224</v>
      </c>
      <c r="Q52" s="3">
        <v>602933.0</v>
      </c>
      <c r="R52" s="3"/>
      <c r="S52" s="3">
        <v>17090.5</v>
      </c>
      <c r="T52" s="3" t="s">
        <v>31</v>
      </c>
      <c r="U52" s="3">
        <v>17090.5</v>
      </c>
      <c r="V52" s="5">
        <f>(DATE(2026,2,3)-'RICE_Insured Farms_with PPI Pol'!$G52)+IF('RICE_Insured Farms_with PPI Pol'!$H52&lt;&gt;'RICE_Insured Farms_with PPI Pol'!$G52,18,0)</f>
        <v>60</v>
      </c>
      <c r="W52" s="3" t="str">
        <f t="array" ref="W52">IFS(V52&gt;120, "Harvested", V52&gt;=113, "Yellow Ripening", V52&gt;=101, "Dough Stage", V52&gt;=93, "Milking Stage", V52&gt;=86, "Flowering", V52&gt;=56, "Panicle Initiation/Booting", V52&lt;56, "Vegetative/Tillering")</f>
        <v>Panicle Initiation/Booting</v>
      </c>
    </row>
    <row r="53" ht="15.75" customHeight="1">
      <c r="A53" s="3">
        <v>52.0</v>
      </c>
      <c r="B53" s="3" t="s">
        <v>23</v>
      </c>
      <c r="C53" s="3" t="s">
        <v>24</v>
      </c>
      <c r="D53" s="3" t="s">
        <v>25</v>
      </c>
      <c r="E53" s="3" t="s">
        <v>32</v>
      </c>
      <c r="F53" s="3">
        <v>1760478.0</v>
      </c>
      <c r="G53" s="4">
        <v>46011.0</v>
      </c>
      <c r="H53" s="4">
        <v>46112.0</v>
      </c>
      <c r="I53" s="3" t="s">
        <v>225</v>
      </c>
      <c r="J53" s="3" t="s">
        <v>226</v>
      </c>
      <c r="K53" s="3" t="s">
        <v>227</v>
      </c>
      <c r="L53" s="3">
        <v>1.0</v>
      </c>
      <c r="M53" s="3">
        <v>25000.0</v>
      </c>
      <c r="N53" s="3">
        <v>3.0</v>
      </c>
      <c r="O53" s="3">
        <v>16081.0</v>
      </c>
      <c r="P53" s="3" t="s">
        <v>228</v>
      </c>
      <c r="Q53" s="3">
        <v>569735.0</v>
      </c>
      <c r="R53" s="3"/>
      <c r="S53" s="3">
        <v>20000.0</v>
      </c>
      <c r="T53" s="3" t="s">
        <v>37</v>
      </c>
      <c r="U53" s="3">
        <v>20000.0</v>
      </c>
      <c r="V53" s="5">
        <f>(DATE(2026,2,3)-'RICE_Insured Farms_with PPI Pol'!$G53)+IF('RICE_Insured Farms_with PPI Pol'!$H53&lt;&gt;'RICE_Insured Farms_with PPI Pol'!$G53,18,0)</f>
        <v>63</v>
      </c>
      <c r="W53" s="3" t="str">
        <f t="array" ref="W53">IFS(V53&gt;120, "Harvested", V53&gt;=113, "Yellow Ripening", V53&gt;=101, "Dough Stage", V53&gt;=93, "Milking Stage", V53&gt;=86, "Flowering", V53&gt;=56, "Panicle Initiation/Booting", V53&lt;56, "Vegetative/Tillering")</f>
        <v>Panicle Initiation/Booting</v>
      </c>
    </row>
    <row r="54" ht="15.75" customHeight="1">
      <c r="A54" s="3">
        <v>53.0</v>
      </c>
      <c r="B54" s="3" t="s">
        <v>23</v>
      </c>
      <c r="C54" s="3" t="s">
        <v>24</v>
      </c>
      <c r="D54" s="3" t="s">
        <v>25</v>
      </c>
      <c r="E54" s="3" t="s">
        <v>26</v>
      </c>
      <c r="F54" s="3">
        <v>1760459.0</v>
      </c>
      <c r="G54" s="4">
        <v>46019.0</v>
      </c>
      <c r="H54" s="4">
        <v>46114.0</v>
      </c>
      <c r="I54" s="3" t="s">
        <v>229</v>
      </c>
      <c r="J54" s="3" t="s">
        <v>230</v>
      </c>
      <c r="K54" s="3" t="s">
        <v>231</v>
      </c>
      <c r="L54" s="3">
        <v>0.8454</v>
      </c>
      <c r="M54" s="3">
        <v>21135.0</v>
      </c>
      <c r="N54" s="3">
        <v>3.0</v>
      </c>
      <c r="O54" s="3">
        <v>309497.0</v>
      </c>
      <c r="P54" s="3" t="s">
        <v>232</v>
      </c>
      <c r="Q54" s="3">
        <v>603509.0</v>
      </c>
      <c r="R54" s="3"/>
      <c r="S54" s="3">
        <v>16908.0</v>
      </c>
      <c r="T54" s="3" t="s">
        <v>37</v>
      </c>
      <c r="U54" s="3">
        <v>16908.0</v>
      </c>
      <c r="V54" s="5">
        <f>(DATE(2026,2,3)-'RICE_Insured Farms_with PPI Pol'!$G54)+IF('RICE_Insured Farms_with PPI Pol'!$H54&lt;&gt;'RICE_Insured Farms_with PPI Pol'!$G54,18,0)</f>
        <v>55</v>
      </c>
      <c r="W54" s="3" t="str">
        <f t="array" ref="W54">IFS(V54&gt;120, "Harvested", V54&gt;=113, "Yellow Ripening", V54&gt;=101, "Dough Stage", V54&gt;=93, "Milking Stage", V54&gt;=86, "Flowering", V54&gt;=56, "Panicle Initiation/Booting", V54&lt;56, "Vegetative/Tillering")</f>
        <v>Vegetative/Tillering</v>
      </c>
    </row>
    <row r="55" ht="15.75" customHeight="1">
      <c r="A55" s="3">
        <v>54.0</v>
      </c>
      <c r="B55" s="3" t="s">
        <v>23</v>
      </c>
      <c r="C55" s="3" t="s">
        <v>24</v>
      </c>
      <c r="D55" s="3" t="s">
        <v>25</v>
      </c>
      <c r="E55" s="3" t="s">
        <v>57</v>
      </c>
      <c r="F55" s="3">
        <v>1760483.0</v>
      </c>
      <c r="G55" s="4">
        <v>46017.0</v>
      </c>
      <c r="H55" s="4">
        <v>46112.0</v>
      </c>
      <c r="I55" s="3" t="s">
        <v>233</v>
      </c>
      <c r="J55" s="3" t="s">
        <v>234</v>
      </c>
      <c r="K55" s="3" t="s">
        <v>235</v>
      </c>
      <c r="L55" s="3">
        <v>1.5</v>
      </c>
      <c r="M55" s="3">
        <v>37500.0</v>
      </c>
      <c r="N55" s="3">
        <v>3.0</v>
      </c>
      <c r="O55" s="3">
        <v>233569.0</v>
      </c>
      <c r="P55" s="3" t="s">
        <v>236</v>
      </c>
      <c r="Q55" s="3">
        <v>613600.0</v>
      </c>
      <c r="R55" s="3"/>
      <c r="S55" s="3">
        <v>30000.0</v>
      </c>
      <c r="T55" s="3" t="s">
        <v>37</v>
      </c>
      <c r="U55" s="3">
        <v>30000.0</v>
      </c>
      <c r="V55" s="5">
        <f>(DATE(2026,2,3)-'RICE_Insured Farms_with PPI Pol'!$G55)+IF('RICE_Insured Farms_with PPI Pol'!$H55&lt;&gt;'RICE_Insured Farms_with PPI Pol'!$G55,18,0)</f>
        <v>57</v>
      </c>
      <c r="W55" s="3" t="str">
        <f t="array" ref="W55">IFS(V55&gt;120, "Harvested", V55&gt;=113, "Yellow Ripening", V55&gt;=101, "Dough Stage", V55&gt;=93, "Milking Stage", V55&gt;=86, "Flowering", V55&gt;=56, "Panicle Initiation/Booting", V55&lt;56, "Vegetative/Tillering")</f>
        <v>Panicle Initiation/Booting</v>
      </c>
    </row>
    <row r="56" ht="15.75" hidden="1" customHeight="1">
      <c r="A56" s="3">
        <v>55.0</v>
      </c>
      <c r="B56" s="3" t="s">
        <v>23</v>
      </c>
      <c r="C56" s="3" t="s">
        <v>24</v>
      </c>
      <c r="D56" s="3" t="s">
        <v>25</v>
      </c>
      <c r="E56" s="3" t="s">
        <v>57</v>
      </c>
      <c r="F56" s="3">
        <v>1761031.0</v>
      </c>
      <c r="G56" s="4">
        <v>46035.0</v>
      </c>
      <c r="H56" s="4">
        <v>46137.0</v>
      </c>
      <c r="I56" s="3" t="s">
        <v>237</v>
      </c>
      <c r="J56" s="3" t="s">
        <v>238</v>
      </c>
      <c r="K56" s="3" t="s">
        <v>239</v>
      </c>
      <c r="L56" s="3">
        <v>1.8054</v>
      </c>
      <c r="M56" s="3">
        <v>45135.0</v>
      </c>
      <c r="N56" s="3">
        <v>2.0</v>
      </c>
      <c r="O56" s="3">
        <v>332187.0</v>
      </c>
      <c r="P56" s="3"/>
      <c r="Q56" s="3">
        <v>705939.0</v>
      </c>
      <c r="R56" s="3"/>
      <c r="S56" s="3">
        <v>31594.5</v>
      </c>
      <c r="T56" s="3" t="s">
        <v>31</v>
      </c>
      <c r="U56" s="3">
        <v>31594.5</v>
      </c>
      <c r="V56" s="5">
        <f>(DATE(2026,2,3)-'RICE_Insured Farms_with PPI Pol'!$G56)+IF('RICE_Insured Farms_with PPI Pol'!$H56&lt;&gt;'RICE_Insured Farms_with PPI Pol'!$G56,18,0)</f>
        <v>39</v>
      </c>
      <c r="W56" s="3" t="str">
        <f t="array" ref="W56">IFS(V56&gt;120, "Harvested", V56&gt;=113, "Yellow Ripening", V56&gt;=101, "Dough Stage", V56&gt;=93, "Milking Stage", V56&gt;=86, "Flowering", V56&gt;=56, "Panicle Initiation/Booting", V56&lt;56, "Vegetative/Tillering")</f>
        <v>Vegetative/Tillering</v>
      </c>
    </row>
    <row r="57" ht="15.75" customHeight="1">
      <c r="A57" s="3">
        <v>56.0</v>
      </c>
      <c r="B57" s="3" t="s">
        <v>23</v>
      </c>
      <c r="C57" s="3" t="s">
        <v>24</v>
      </c>
      <c r="D57" s="3" t="s">
        <v>25</v>
      </c>
      <c r="E57" s="3" t="s">
        <v>32</v>
      </c>
      <c r="F57" s="3">
        <v>1760478.0</v>
      </c>
      <c r="G57" s="4">
        <v>46011.0</v>
      </c>
      <c r="H57" s="4">
        <v>46121.0</v>
      </c>
      <c r="I57" s="3" t="s">
        <v>240</v>
      </c>
      <c r="J57" s="3" t="s">
        <v>241</v>
      </c>
      <c r="K57" s="3" t="s">
        <v>242</v>
      </c>
      <c r="L57" s="3">
        <v>0.8049</v>
      </c>
      <c r="M57" s="3">
        <v>20122.5</v>
      </c>
      <c r="N57" s="3">
        <v>3.0</v>
      </c>
      <c r="O57" s="3">
        <v>233279.0</v>
      </c>
      <c r="P57" s="3" t="s">
        <v>243</v>
      </c>
      <c r="Q57" s="3">
        <v>611659.0</v>
      </c>
      <c r="R57" s="3"/>
      <c r="S57" s="3">
        <v>16098.0</v>
      </c>
      <c r="T57" s="3" t="s">
        <v>37</v>
      </c>
      <c r="U57" s="3">
        <v>16098.0</v>
      </c>
      <c r="V57" s="5">
        <f>(DATE(2026,2,3)-'RICE_Insured Farms_with PPI Pol'!$G57)+IF('RICE_Insured Farms_with PPI Pol'!$H57&lt;&gt;'RICE_Insured Farms_with PPI Pol'!$G57,18,0)</f>
        <v>63</v>
      </c>
      <c r="W57" s="3" t="str">
        <f t="array" ref="W57">IFS(V57&gt;120, "Harvested", V57&gt;=113, "Yellow Ripening", V57&gt;=101, "Dough Stage", V57&gt;=93, "Milking Stage", V57&gt;=86, "Flowering", V57&gt;=56, "Panicle Initiation/Booting", V57&lt;56, "Vegetative/Tillering")</f>
        <v>Panicle Initiation/Booting</v>
      </c>
    </row>
    <row r="58" ht="15.75" hidden="1" customHeight="1">
      <c r="A58" s="3">
        <v>801.0</v>
      </c>
      <c r="B58" s="3" t="s">
        <v>23</v>
      </c>
      <c r="C58" s="3" t="s">
        <v>68</v>
      </c>
      <c r="D58" s="3" t="s">
        <v>69</v>
      </c>
      <c r="E58" s="3" t="s">
        <v>184</v>
      </c>
      <c r="F58" s="3">
        <v>1739640.0</v>
      </c>
      <c r="G58" s="4">
        <v>46006.0</v>
      </c>
      <c r="H58" s="4">
        <v>46108.0</v>
      </c>
      <c r="I58" s="3" t="s">
        <v>244</v>
      </c>
      <c r="J58" s="3" t="s">
        <v>245</v>
      </c>
      <c r="K58" s="3" t="s">
        <v>246</v>
      </c>
      <c r="L58" s="3">
        <v>0.4984</v>
      </c>
      <c r="M58" s="3">
        <v>12460.0</v>
      </c>
      <c r="N58" s="3">
        <v>4.0</v>
      </c>
      <c r="O58" s="3">
        <v>387138.0</v>
      </c>
      <c r="P58" s="3" t="s">
        <v>247</v>
      </c>
      <c r="Q58" s="3">
        <v>1138128.0</v>
      </c>
      <c r="R58" s="3"/>
      <c r="S58" s="3">
        <v>9968.0</v>
      </c>
      <c r="T58" s="3" t="s">
        <v>56</v>
      </c>
      <c r="U58" s="3">
        <v>9968.0</v>
      </c>
      <c r="V58" s="5">
        <f>(DATE(2026,2,3)-'RICE_Insured Farms_with PPI Pol'!$G58)+IF('RICE_Insured Farms_with PPI Pol'!$H58&lt;&gt;'RICE_Insured Farms_with PPI Pol'!$G58,18,0)</f>
        <v>68</v>
      </c>
      <c r="W58" s="3" t="str">
        <f t="array" ref="W58">IFS(V58&gt;120, "Harvested", V58&gt;=113, "Yellow Ripening", V58&gt;=101, "Dough Stage", V58&gt;=93, "Milking Stage", V58&gt;=86, "Flowering", V58&gt;=56, "Panicle Initiation/Booting", V58&lt;56, "Vegetative/Tillering")</f>
        <v>Panicle Initiation/Booting</v>
      </c>
    </row>
    <row r="59" ht="15.75" customHeight="1">
      <c r="A59" s="3">
        <v>58.0</v>
      </c>
      <c r="B59" s="3" t="s">
        <v>23</v>
      </c>
      <c r="C59" s="3" t="s">
        <v>24</v>
      </c>
      <c r="D59" s="3" t="s">
        <v>25</v>
      </c>
      <c r="E59" s="3" t="s">
        <v>144</v>
      </c>
      <c r="F59" s="3">
        <v>1761019.0</v>
      </c>
      <c r="G59" s="4">
        <v>46017.0</v>
      </c>
      <c r="H59" s="4">
        <v>46112.0</v>
      </c>
      <c r="I59" s="3" t="s">
        <v>248</v>
      </c>
      <c r="J59" s="3" t="s">
        <v>249</v>
      </c>
      <c r="K59" s="3" t="s">
        <v>250</v>
      </c>
      <c r="L59" s="3">
        <v>1.0831</v>
      </c>
      <c r="M59" s="3">
        <v>27077.5</v>
      </c>
      <c r="N59" s="3">
        <v>3.0</v>
      </c>
      <c r="O59" s="3">
        <v>202253.0</v>
      </c>
      <c r="P59" s="3" t="s">
        <v>251</v>
      </c>
      <c r="Q59" s="3">
        <v>726584.0</v>
      </c>
      <c r="R59" s="3"/>
      <c r="S59" s="3">
        <v>21662.0</v>
      </c>
      <c r="T59" s="3" t="s">
        <v>37</v>
      </c>
      <c r="U59" s="3">
        <v>21662.0</v>
      </c>
      <c r="V59" s="5">
        <f>(DATE(2026,2,3)-'RICE_Insured Farms_with PPI Pol'!$G59)+IF('RICE_Insured Farms_with PPI Pol'!$H59&lt;&gt;'RICE_Insured Farms_with PPI Pol'!$G59,18,0)</f>
        <v>57</v>
      </c>
      <c r="W59" s="3" t="str">
        <f t="array" ref="W59">IFS(V59&gt;120, "Harvested", V59&gt;=113, "Yellow Ripening", V59&gt;=101, "Dough Stage", V59&gt;=93, "Milking Stage", V59&gt;=86, "Flowering", V59&gt;=56, "Panicle Initiation/Booting", V59&lt;56, "Vegetative/Tillering")</f>
        <v>Panicle Initiation/Booting</v>
      </c>
    </row>
    <row r="60" ht="15.75" hidden="1" customHeight="1">
      <c r="A60" s="3">
        <v>59.0</v>
      </c>
      <c r="B60" s="3" t="s">
        <v>23</v>
      </c>
      <c r="C60" s="3" t="s">
        <v>24</v>
      </c>
      <c r="D60" s="3" t="s">
        <v>25</v>
      </c>
      <c r="E60" s="3" t="s">
        <v>57</v>
      </c>
      <c r="F60" s="3">
        <v>1761032.0</v>
      </c>
      <c r="G60" s="4">
        <v>46047.0</v>
      </c>
      <c r="H60" s="4">
        <v>46167.0</v>
      </c>
      <c r="I60" s="3" t="s">
        <v>252</v>
      </c>
      <c r="J60" s="3" t="s">
        <v>253</v>
      </c>
      <c r="K60" s="3" t="s">
        <v>254</v>
      </c>
      <c r="L60" s="3">
        <v>1.3654</v>
      </c>
      <c r="M60" s="3">
        <v>34135.0</v>
      </c>
      <c r="N60" s="3">
        <v>0.0</v>
      </c>
      <c r="O60" s="3">
        <v>113184.0</v>
      </c>
      <c r="P60" s="3"/>
      <c r="Q60" s="3">
        <v>647406.0</v>
      </c>
      <c r="R60" s="3"/>
      <c r="S60" s="3">
        <v>20481.0</v>
      </c>
      <c r="T60" s="3" t="s">
        <v>191</v>
      </c>
      <c r="U60" s="3">
        <v>20481.0</v>
      </c>
      <c r="V60" s="5">
        <f>(DATE(2026,2,3)-'RICE_Insured Farms_with PPI Pol'!$G60)+IF('RICE_Insured Farms_with PPI Pol'!$H60&lt;&gt;'RICE_Insured Farms_with PPI Pol'!$G60,18,0)</f>
        <v>27</v>
      </c>
      <c r="W60" s="3" t="str">
        <f t="array" ref="W60">IFS(V60&gt;120, "Harvested", V60&gt;=113, "Yellow Ripening", V60&gt;=101, "Dough Stage", V60&gt;=93, "Milking Stage", V60&gt;=86, "Flowering", V60&gt;=56, "Panicle Initiation/Booting", V60&lt;56, "Vegetative/Tillering")</f>
        <v>Vegetative/Tillering</v>
      </c>
    </row>
    <row r="61" ht="15.75" customHeight="1">
      <c r="A61" s="3">
        <v>60.0</v>
      </c>
      <c r="B61" s="3" t="s">
        <v>23</v>
      </c>
      <c r="C61" s="3" t="s">
        <v>24</v>
      </c>
      <c r="D61" s="3" t="s">
        <v>25</v>
      </c>
      <c r="E61" s="3" t="s">
        <v>26</v>
      </c>
      <c r="F61" s="3">
        <v>1760459.0</v>
      </c>
      <c r="G61" s="4">
        <v>46015.0</v>
      </c>
      <c r="H61" s="4">
        <v>46112.0</v>
      </c>
      <c r="I61" s="3" t="s">
        <v>255</v>
      </c>
      <c r="J61" s="3" t="s">
        <v>256</v>
      </c>
      <c r="K61" s="3" t="s">
        <v>257</v>
      </c>
      <c r="L61" s="3">
        <v>0.9967</v>
      </c>
      <c r="M61" s="3">
        <v>24917.5</v>
      </c>
      <c r="N61" s="3">
        <v>3.0</v>
      </c>
      <c r="O61" s="3">
        <v>127466.0</v>
      </c>
      <c r="P61" s="3"/>
      <c r="Q61" s="3">
        <v>557350.0</v>
      </c>
      <c r="R61" s="3"/>
      <c r="S61" s="3">
        <v>19934.0</v>
      </c>
      <c r="T61" s="3" t="s">
        <v>37</v>
      </c>
      <c r="U61" s="3">
        <v>19934.0</v>
      </c>
      <c r="V61" s="5">
        <f>(DATE(2026,2,3)-'RICE_Insured Farms_with PPI Pol'!$G61)+IF('RICE_Insured Farms_with PPI Pol'!$H61&lt;&gt;'RICE_Insured Farms_with PPI Pol'!$G61,18,0)</f>
        <v>59</v>
      </c>
      <c r="W61" s="3" t="str">
        <f t="array" ref="W61">IFS(V61&gt;120, "Harvested", V61&gt;=113, "Yellow Ripening", V61&gt;=101, "Dough Stage", V61&gt;=93, "Milking Stage", V61&gt;=86, "Flowering", V61&gt;=56, "Panicle Initiation/Booting", V61&lt;56, "Vegetative/Tillering")</f>
        <v>Panicle Initiation/Booting</v>
      </c>
    </row>
    <row r="62" ht="15.75" customHeight="1">
      <c r="A62" s="3">
        <v>61.0</v>
      </c>
      <c r="B62" s="3" t="s">
        <v>23</v>
      </c>
      <c r="C62" s="3" t="s">
        <v>24</v>
      </c>
      <c r="D62" s="3" t="s">
        <v>25</v>
      </c>
      <c r="E62" s="3" t="s">
        <v>57</v>
      </c>
      <c r="F62" s="3">
        <v>1761030.0</v>
      </c>
      <c r="G62" s="4">
        <v>46030.0</v>
      </c>
      <c r="H62" s="4">
        <v>46125.0</v>
      </c>
      <c r="I62" s="3" t="s">
        <v>258</v>
      </c>
      <c r="J62" s="3" t="s">
        <v>259</v>
      </c>
      <c r="K62" s="3" t="s">
        <v>260</v>
      </c>
      <c r="L62" s="3">
        <v>0.67</v>
      </c>
      <c r="M62" s="3">
        <v>16750.0</v>
      </c>
      <c r="N62" s="3">
        <v>3.0</v>
      </c>
      <c r="O62" s="3">
        <v>315450.0</v>
      </c>
      <c r="P62" s="3" t="s">
        <v>261</v>
      </c>
      <c r="Q62" s="3">
        <v>697220.0</v>
      </c>
      <c r="R62" s="3"/>
      <c r="S62" s="3">
        <v>13400.0</v>
      </c>
      <c r="T62" s="3" t="s">
        <v>37</v>
      </c>
      <c r="U62" s="3">
        <v>13400.0</v>
      </c>
      <c r="V62" s="5">
        <f>(DATE(2026,2,3)-'RICE_Insured Farms_with PPI Pol'!$G62)+IF('RICE_Insured Farms_with PPI Pol'!$H62&lt;&gt;'RICE_Insured Farms_with PPI Pol'!$G62,18,0)</f>
        <v>44</v>
      </c>
      <c r="W62" s="3" t="str">
        <f t="array" ref="W62">IFS(V62&gt;120, "Harvested", V62&gt;=113, "Yellow Ripening", V62&gt;=101, "Dough Stage", V62&gt;=93, "Milking Stage", V62&gt;=86, "Flowering", V62&gt;=56, "Panicle Initiation/Booting", V62&lt;56, "Vegetative/Tillering")</f>
        <v>Vegetative/Tillering</v>
      </c>
    </row>
    <row r="63" ht="15.75" customHeight="1">
      <c r="A63" s="3">
        <v>62.0</v>
      </c>
      <c r="B63" s="3" t="s">
        <v>23</v>
      </c>
      <c r="C63" s="3" t="s">
        <v>68</v>
      </c>
      <c r="D63" s="3" t="s">
        <v>262</v>
      </c>
      <c r="E63" s="3" t="s">
        <v>263</v>
      </c>
      <c r="F63" s="3">
        <v>1739586.0</v>
      </c>
      <c r="G63" s="4">
        <v>46021.0</v>
      </c>
      <c r="H63" s="4">
        <v>46123.0</v>
      </c>
      <c r="I63" s="3" t="s">
        <v>264</v>
      </c>
      <c r="J63" s="3" t="s">
        <v>265</v>
      </c>
      <c r="K63" s="3" t="s">
        <v>266</v>
      </c>
      <c r="L63" s="3">
        <v>0.4</v>
      </c>
      <c r="M63" s="3">
        <v>10000.0</v>
      </c>
      <c r="N63" s="3">
        <v>3.0</v>
      </c>
      <c r="O63" s="3">
        <v>192875.0</v>
      </c>
      <c r="P63" s="3" t="s">
        <v>267</v>
      </c>
      <c r="Q63" s="3">
        <v>957361.0</v>
      </c>
      <c r="R63" s="3"/>
      <c r="S63" s="3">
        <v>8000.0</v>
      </c>
      <c r="T63" s="3" t="s">
        <v>37</v>
      </c>
      <c r="U63" s="3">
        <v>8000.0</v>
      </c>
      <c r="V63" s="5">
        <f>(DATE(2026,2,3)-'RICE_Insured Farms_with PPI Pol'!$G63)+IF('RICE_Insured Farms_with PPI Pol'!$H63&lt;&gt;'RICE_Insured Farms_with PPI Pol'!$G63,18,0)</f>
        <v>53</v>
      </c>
      <c r="W63" s="3" t="str">
        <f t="array" ref="W63">IFS(V63&gt;120, "Harvested", V63&gt;=113, "Yellow Ripening", V63&gt;=101, "Dough Stage", V63&gt;=93, "Milking Stage", V63&gt;=86, "Flowering", V63&gt;=56, "Panicle Initiation/Booting", V63&lt;56, "Vegetative/Tillering")</f>
        <v>Vegetative/Tillering</v>
      </c>
    </row>
    <row r="64" ht="15.75" customHeight="1">
      <c r="A64" s="3">
        <v>63.0</v>
      </c>
      <c r="B64" s="3" t="s">
        <v>23</v>
      </c>
      <c r="C64" s="3" t="s">
        <v>68</v>
      </c>
      <c r="D64" s="3" t="s">
        <v>262</v>
      </c>
      <c r="E64" s="3" t="s">
        <v>268</v>
      </c>
      <c r="F64" s="3">
        <v>1739590.0</v>
      </c>
      <c r="G64" s="4">
        <v>46015.0</v>
      </c>
      <c r="H64" s="4">
        <v>46117.0</v>
      </c>
      <c r="I64" s="3" t="s">
        <v>269</v>
      </c>
      <c r="J64" s="3" t="s">
        <v>270</v>
      </c>
      <c r="K64" s="3" t="s">
        <v>271</v>
      </c>
      <c r="L64" s="3">
        <v>0.5</v>
      </c>
      <c r="M64" s="3">
        <v>12500.0</v>
      </c>
      <c r="N64" s="3">
        <v>3.0</v>
      </c>
      <c r="O64" s="3">
        <v>436602.0</v>
      </c>
      <c r="P64" s="3" t="s">
        <v>272</v>
      </c>
      <c r="Q64" s="3">
        <v>968311.0</v>
      </c>
      <c r="R64" s="3"/>
      <c r="S64" s="3">
        <v>10000.0</v>
      </c>
      <c r="T64" s="3" t="s">
        <v>37</v>
      </c>
      <c r="U64" s="3">
        <v>10000.0</v>
      </c>
      <c r="V64" s="5">
        <f>(DATE(2026,2,3)-'RICE_Insured Farms_with PPI Pol'!$G64)+IF('RICE_Insured Farms_with PPI Pol'!$H64&lt;&gt;'RICE_Insured Farms_with PPI Pol'!$G64,18,0)</f>
        <v>59</v>
      </c>
      <c r="W64" s="3" t="str">
        <f t="array" ref="W64">IFS(V64&gt;120, "Harvested", V64&gt;=113, "Yellow Ripening", V64&gt;=101, "Dough Stage", V64&gt;=93, "Milking Stage", V64&gt;=86, "Flowering", V64&gt;=56, "Panicle Initiation/Booting", V64&lt;56, "Vegetative/Tillering")</f>
        <v>Panicle Initiation/Booting</v>
      </c>
    </row>
    <row r="65" ht="15.75" customHeight="1">
      <c r="A65" s="3">
        <v>64.0</v>
      </c>
      <c r="B65" s="3" t="s">
        <v>23</v>
      </c>
      <c r="C65" s="3" t="s">
        <v>68</v>
      </c>
      <c r="D65" s="3" t="s">
        <v>262</v>
      </c>
      <c r="E65" s="3" t="s">
        <v>273</v>
      </c>
      <c r="F65" s="3">
        <v>1739581.0</v>
      </c>
      <c r="G65" s="4">
        <v>46011.0</v>
      </c>
      <c r="H65" s="4">
        <v>46113.0</v>
      </c>
      <c r="I65" s="3" t="s">
        <v>274</v>
      </c>
      <c r="J65" s="3" t="s">
        <v>275</v>
      </c>
      <c r="K65" s="3" t="s">
        <v>276</v>
      </c>
      <c r="L65" s="3">
        <v>0.7</v>
      </c>
      <c r="M65" s="3">
        <v>17500.0</v>
      </c>
      <c r="N65" s="3">
        <v>3.0</v>
      </c>
      <c r="O65" s="3">
        <v>187871.0</v>
      </c>
      <c r="P65" s="3" t="s">
        <v>277</v>
      </c>
      <c r="Q65" s="3">
        <v>1050268.0</v>
      </c>
      <c r="R65" s="3"/>
      <c r="S65" s="3">
        <v>14000.0</v>
      </c>
      <c r="T65" s="3" t="s">
        <v>37</v>
      </c>
      <c r="U65" s="3">
        <v>14000.0</v>
      </c>
      <c r="V65" s="5">
        <f>(DATE(2026,2,3)-'RICE_Insured Farms_with PPI Pol'!$G65)+IF('RICE_Insured Farms_with PPI Pol'!$H65&lt;&gt;'RICE_Insured Farms_with PPI Pol'!$G65,18,0)</f>
        <v>63</v>
      </c>
      <c r="W65" s="3" t="str">
        <f t="array" ref="W65">IFS(V65&gt;120, "Harvested", V65&gt;=113, "Yellow Ripening", V65&gt;=101, "Dough Stage", V65&gt;=93, "Milking Stage", V65&gt;=86, "Flowering", V65&gt;=56, "Panicle Initiation/Booting", V65&lt;56, "Vegetative/Tillering")</f>
        <v>Panicle Initiation/Booting</v>
      </c>
    </row>
    <row r="66" ht="15.75" customHeight="1">
      <c r="A66" s="3">
        <v>65.0</v>
      </c>
      <c r="B66" s="3" t="s">
        <v>23</v>
      </c>
      <c r="C66" s="3" t="s">
        <v>68</v>
      </c>
      <c r="D66" s="3" t="s">
        <v>262</v>
      </c>
      <c r="E66" s="3" t="s">
        <v>273</v>
      </c>
      <c r="F66" s="3">
        <v>1739581.0</v>
      </c>
      <c r="G66" s="4">
        <v>46011.0</v>
      </c>
      <c r="H66" s="4">
        <v>46113.0</v>
      </c>
      <c r="I66" s="3" t="s">
        <v>274</v>
      </c>
      <c r="J66" s="3" t="s">
        <v>275</v>
      </c>
      <c r="K66" s="3" t="s">
        <v>276</v>
      </c>
      <c r="L66" s="3">
        <v>0.9</v>
      </c>
      <c r="M66" s="3">
        <v>22500.0</v>
      </c>
      <c r="N66" s="3">
        <v>3.0</v>
      </c>
      <c r="O66" s="3">
        <v>187871.0</v>
      </c>
      <c r="P66" s="3" t="s">
        <v>277</v>
      </c>
      <c r="Q66" s="3">
        <v>646635.0</v>
      </c>
      <c r="R66" s="3"/>
      <c r="S66" s="3">
        <v>18000.0</v>
      </c>
      <c r="T66" s="3" t="s">
        <v>37</v>
      </c>
      <c r="U66" s="3">
        <v>18000.0</v>
      </c>
      <c r="V66" s="5">
        <f>(DATE(2026,2,3)-'RICE_Insured Farms_with PPI Pol'!$G66)+IF('RICE_Insured Farms_with PPI Pol'!$H66&lt;&gt;'RICE_Insured Farms_with PPI Pol'!$G66,18,0)</f>
        <v>63</v>
      </c>
      <c r="W66" s="3" t="str">
        <f t="array" ref="W66">IFS(V66&gt;120, "Harvested", V66&gt;=113, "Yellow Ripening", V66&gt;=101, "Dough Stage", V66&gt;=93, "Milking Stage", V66&gt;=86, "Flowering", V66&gt;=56, "Panicle Initiation/Booting", V66&lt;56, "Vegetative/Tillering")</f>
        <v>Panicle Initiation/Booting</v>
      </c>
    </row>
    <row r="67" ht="15.75" hidden="1" customHeight="1">
      <c r="A67" s="3">
        <v>66.0</v>
      </c>
      <c r="B67" s="3" t="s">
        <v>23</v>
      </c>
      <c r="C67" s="3" t="s">
        <v>121</v>
      </c>
      <c r="D67" s="3" t="s">
        <v>278</v>
      </c>
      <c r="E67" s="3" t="s">
        <v>279</v>
      </c>
      <c r="F67" s="3">
        <v>1740740.0</v>
      </c>
      <c r="G67" s="4">
        <v>46042.0</v>
      </c>
      <c r="H67" s="4">
        <v>46137.0</v>
      </c>
      <c r="I67" s="3" t="s">
        <v>280</v>
      </c>
      <c r="J67" s="3" t="s">
        <v>281</v>
      </c>
      <c r="K67" s="3" t="s">
        <v>282</v>
      </c>
      <c r="L67" s="3">
        <v>0.8934</v>
      </c>
      <c r="M67" s="3">
        <v>22335.0</v>
      </c>
      <c r="N67" s="3">
        <v>2.0</v>
      </c>
      <c r="O67" s="3">
        <v>185730.0</v>
      </c>
      <c r="P67" s="3"/>
      <c r="Q67" s="3">
        <v>895863.0</v>
      </c>
      <c r="R67" s="3"/>
      <c r="S67" s="3">
        <v>15634.5</v>
      </c>
      <c r="T67" s="3" t="s">
        <v>31</v>
      </c>
      <c r="U67" s="3">
        <v>15634.5</v>
      </c>
      <c r="V67" s="5">
        <f>(DATE(2026,2,3)-'RICE_Insured Farms_with PPI Pol'!$G67)+IF('RICE_Insured Farms_with PPI Pol'!$H67&lt;&gt;'RICE_Insured Farms_with PPI Pol'!$G67,18,0)</f>
        <v>32</v>
      </c>
      <c r="W67" s="3" t="str">
        <f t="array" ref="W67">IFS(V67&gt;120, "Harvested", V67&gt;=113, "Yellow Ripening", V67&gt;=101, "Dough Stage", V67&gt;=93, "Milking Stage", V67&gt;=86, "Flowering", V67&gt;=56, "Panicle Initiation/Booting", V67&lt;56, "Vegetative/Tillering")</f>
        <v>Vegetative/Tillering</v>
      </c>
    </row>
    <row r="68" ht="15.75" hidden="1" customHeight="1">
      <c r="A68" s="3">
        <v>67.0</v>
      </c>
      <c r="B68" s="3" t="s">
        <v>23</v>
      </c>
      <c r="C68" s="3" t="s">
        <v>24</v>
      </c>
      <c r="D68" s="3" t="s">
        <v>283</v>
      </c>
      <c r="E68" s="3" t="s">
        <v>284</v>
      </c>
      <c r="F68" s="3">
        <v>1741165.0</v>
      </c>
      <c r="G68" s="4">
        <v>46015.0</v>
      </c>
      <c r="H68" s="4">
        <v>46110.0</v>
      </c>
      <c r="I68" s="3" t="s">
        <v>285</v>
      </c>
      <c r="J68" s="3" t="s">
        <v>286</v>
      </c>
      <c r="K68" s="3" t="s">
        <v>287</v>
      </c>
      <c r="L68" s="3">
        <v>0.4145</v>
      </c>
      <c r="M68" s="3">
        <v>10362.5</v>
      </c>
      <c r="N68" s="3">
        <v>4.0</v>
      </c>
      <c r="O68" s="3">
        <v>122316.0</v>
      </c>
      <c r="P68" s="3" t="s">
        <v>288</v>
      </c>
      <c r="Q68" s="3">
        <v>1085574.0</v>
      </c>
      <c r="R68" s="3"/>
      <c r="S68" s="3">
        <v>8290.0</v>
      </c>
      <c r="T68" s="3" t="s">
        <v>56</v>
      </c>
      <c r="U68" s="3">
        <v>8290.0</v>
      </c>
      <c r="V68" s="5">
        <f>(DATE(2026,2,3)-'RICE_Insured Farms_with PPI Pol'!$G68)+IF('RICE_Insured Farms_with PPI Pol'!$H68&lt;&gt;'RICE_Insured Farms_with PPI Pol'!$G68,18,0)</f>
        <v>59</v>
      </c>
      <c r="W68" s="3" t="str">
        <f t="array" ref="W68">IFS(V68&gt;120, "Harvested", V68&gt;=113, "Yellow Ripening", V68&gt;=101, "Dough Stage", V68&gt;=93, "Milking Stage", V68&gt;=86, "Flowering", V68&gt;=56, "Panicle Initiation/Booting", V68&lt;56, "Vegetative/Tillering")</f>
        <v>Panicle Initiation/Booting</v>
      </c>
    </row>
    <row r="69" ht="15.75" hidden="1" customHeight="1">
      <c r="A69" s="3">
        <v>68.0</v>
      </c>
      <c r="B69" s="3" t="s">
        <v>23</v>
      </c>
      <c r="C69" s="3" t="s">
        <v>68</v>
      </c>
      <c r="D69" s="3" t="s">
        <v>289</v>
      </c>
      <c r="E69" s="3" t="s">
        <v>290</v>
      </c>
      <c r="F69" s="3">
        <v>1760035.0</v>
      </c>
      <c r="G69" s="4">
        <v>46032.0</v>
      </c>
      <c r="H69" s="4">
        <v>46134.0</v>
      </c>
      <c r="I69" s="3" t="s">
        <v>291</v>
      </c>
      <c r="J69" s="3" t="s">
        <v>292</v>
      </c>
      <c r="K69" s="3" t="s">
        <v>293</v>
      </c>
      <c r="L69" s="3">
        <v>0.4046</v>
      </c>
      <c r="M69" s="3">
        <v>10115.0</v>
      </c>
      <c r="N69" s="3">
        <v>2.0</v>
      </c>
      <c r="O69" s="3">
        <v>204556.0</v>
      </c>
      <c r="P69" s="3" t="s">
        <v>294</v>
      </c>
      <c r="Q69" s="3">
        <v>784577.0</v>
      </c>
      <c r="R69" s="3"/>
      <c r="S69" s="3">
        <v>7080.5</v>
      </c>
      <c r="T69" s="3" t="s">
        <v>31</v>
      </c>
      <c r="U69" s="3">
        <v>7080.5</v>
      </c>
      <c r="V69" s="5">
        <f>(DATE(2026,2,3)-'RICE_Insured Farms_with PPI Pol'!$G69)+IF('RICE_Insured Farms_with PPI Pol'!$H69&lt;&gt;'RICE_Insured Farms_with PPI Pol'!$G69,18,0)</f>
        <v>42</v>
      </c>
      <c r="W69" s="3" t="str">
        <f t="array" ref="W69">IFS(V69&gt;120, "Harvested", V69&gt;=113, "Yellow Ripening", V69&gt;=101, "Dough Stage", V69&gt;=93, "Milking Stage", V69&gt;=86, "Flowering", V69&gt;=56, "Panicle Initiation/Booting", V69&lt;56, "Vegetative/Tillering")</f>
        <v>Vegetative/Tillering</v>
      </c>
    </row>
    <row r="70" ht="15.75" hidden="1" customHeight="1">
      <c r="A70" s="3">
        <v>69.0</v>
      </c>
      <c r="B70" s="3" t="s">
        <v>23</v>
      </c>
      <c r="C70" s="3" t="s">
        <v>68</v>
      </c>
      <c r="D70" s="3" t="s">
        <v>289</v>
      </c>
      <c r="E70" s="3" t="s">
        <v>290</v>
      </c>
      <c r="F70" s="3">
        <v>1760031.0</v>
      </c>
      <c r="G70" s="4">
        <v>46027.0</v>
      </c>
      <c r="H70" s="4">
        <v>46129.0</v>
      </c>
      <c r="I70" s="3" t="s">
        <v>295</v>
      </c>
      <c r="J70" s="3" t="s">
        <v>296</v>
      </c>
      <c r="K70" s="3" t="s">
        <v>297</v>
      </c>
      <c r="L70" s="3">
        <v>0.3988</v>
      </c>
      <c r="M70" s="3">
        <v>9970.0</v>
      </c>
      <c r="N70" s="3">
        <v>2.0</v>
      </c>
      <c r="O70" s="3">
        <v>200187.0</v>
      </c>
      <c r="P70" s="3" t="s">
        <v>298</v>
      </c>
      <c r="Q70" s="3">
        <v>1012616.0</v>
      </c>
      <c r="R70" s="3"/>
      <c r="S70" s="3">
        <v>6979.0</v>
      </c>
      <c r="T70" s="3" t="s">
        <v>31</v>
      </c>
      <c r="U70" s="3">
        <v>6979.0</v>
      </c>
      <c r="V70" s="5">
        <f>(DATE(2026,2,3)-'RICE_Insured Farms_with PPI Pol'!$G70)+IF('RICE_Insured Farms_with PPI Pol'!$H70&lt;&gt;'RICE_Insured Farms_with PPI Pol'!$G70,18,0)</f>
        <v>47</v>
      </c>
      <c r="W70" s="3" t="str">
        <f t="array" ref="W70">IFS(V70&gt;120, "Harvested", V70&gt;=113, "Yellow Ripening", V70&gt;=101, "Dough Stage", V70&gt;=93, "Milking Stage", V70&gt;=86, "Flowering", V70&gt;=56, "Panicle Initiation/Booting", V70&lt;56, "Vegetative/Tillering")</f>
        <v>Vegetative/Tillering</v>
      </c>
    </row>
    <row r="71" ht="15.75" customHeight="1">
      <c r="A71" s="3">
        <v>70.0</v>
      </c>
      <c r="B71" s="3" t="s">
        <v>23</v>
      </c>
      <c r="C71" s="3" t="s">
        <v>24</v>
      </c>
      <c r="D71" s="3" t="s">
        <v>299</v>
      </c>
      <c r="E71" s="3" t="s">
        <v>300</v>
      </c>
      <c r="F71" s="3">
        <v>1760466.0</v>
      </c>
      <c r="G71" s="4">
        <v>46024.0</v>
      </c>
      <c r="H71" s="4">
        <v>46119.0</v>
      </c>
      <c r="I71" s="3" t="s">
        <v>301</v>
      </c>
      <c r="J71" s="3" t="s">
        <v>302</v>
      </c>
      <c r="K71" s="3" t="s">
        <v>303</v>
      </c>
      <c r="L71" s="3">
        <v>1.0</v>
      </c>
      <c r="M71" s="3">
        <v>25000.0</v>
      </c>
      <c r="N71" s="3">
        <v>3.0</v>
      </c>
      <c r="O71" s="3">
        <v>230847.0</v>
      </c>
      <c r="P71" s="3" t="s">
        <v>304</v>
      </c>
      <c r="Q71" s="3">
        <v>873353.0</v>
      </c>
      <c r="R71" s="3"/>
      <c r="S71" s="3">
        <v>20000.0</v>
      </c>
      <c r="T71" s="3" t="s">
        <v>37</v>
      </c>
      <c r="U71" s="3">
        <v>20000.0</v>
      </c>
      <c r="V71" s="5">
        <f>(DATE(2026,2,3)-'RICE_Insured Farms_with PPI Pol'!$G71)+IF('RICE_Insured Farms_with PPI Pol'!$H71&lt;&gt;'RICE_Insured Farms_with PPI Pol'!$G71,18,0)</f>
        <v>50</v>
      </c>
      <c r="W71" s="3" t="str">
        <f t="array" ref="W71">IFS(V71&gt;120, "Harvested", V71&gt;=113, "Yellow Ripening", V71&gt;=101, "Dough Stage", V71&gt;=93, "Milking Stage", V71&gt;=86, "Flowering", V71&gt;=56, "Panicle Initiation/Booting", V71&lt;56, "Vegetative/Tillering")</f>
        <v>Vegetative/Tillering</v>
      </c>
    </row>
    <row r="72" ht="15.75" hidden="1" customHeight="1">
      <c r="A72" s="3">
        <v>71.0</v>
      </c>
      <c r="B72" s="3" t="s">
        <v>23</v>
      </c>
      <c r="C72" s="3" t="s">
        <v>24</v>
      </c>
      <c r="D72" s="3" t="s">
        <v>305</v>
      </c>
      <c r="E72" s="3" t="s">
        <v>306</v>
      </c>
      <c r="F72" s="3">
        <v>1192155.0</v>
      </c>
      <c r="G72" s="4">
        <v>46012.0</v>
      </c>
      <c r="H72" s="4">
        <v>46472.0</v>
      </c>
      <c r="I72" s="3" t="s">
        <v>307</v>
      </c>
      <c r="J72" s="3" t="s">
        <v>308</v>
      </c>
      <c r="K72" s="3" t="s">
        <v>309</v>
      </c>
      <c r="L72" s="3">
        <v>0.9513</v>
      </c>
      <c r="M72" s="3">
        <v>23782.5</v>
      </c>
      <c r="N72" s="3">
        <v>0.0</v>
      </c>
      <c r="O72" s="3">
        <v>229159.0</v>
      </c>
      <c r="P72" s="3" t="s">
        <v>310</v>
      </c>
      <c r="Q72" s="3">
        <v>1033691.0</v>
      </c>
      <c r="R72" s="3"/>
      <c r="S72" s="3">
        <v>14269.5</v>
      </c>
      <c r="T72" s="3" t="s">
        <v>191</v>
      </c>
      <c r="U72" s="3">
        <v>14269.5</v>
      </c>
      <c r="V72" s="5">
        <f>(DATE(2026,2,3)-'RICE_Insured Farms_with PPI Pol'!$G72)+IF('RICE_Insured Farms_with PPI Pol'!$H72&lt;&gt;'RICE_Insured Farms_with PPI Pol'!$G72,18,0)</f>
        <v>62</v>
      </c>
      <c r="W72" s="3" t="str">
        <f t="array" ref="W72">IFS(V72&gt;120, "Harvested", V72&gt;=113, "Yellow Ripening", V72&gt;=101, "Dough Stage", V72&gt;=93, "Milking Stage", V72&gt;=86, "Flowering", V72&gt;=56, "Panicle Initiation/Booting", V72&lt;56, "Vegetative/Tillering")</f>
        <v>Panicle Initiation/Booting</v>
      </c>
    </row>
    <row r="73" ht="15.75" customHeight="1">
      <c r="A73" s="3">
        <v>72.0</v>
      </c>
      <c r="B73" s="3" t="s">
        <v>23</v>
      </c>
      <c r="C73" s="3" t="s">
        <v>311</v>
      </c>
      <c r="D73" s="3" t="s">
        <v>312</v>
      </c>
      <c r="E73" s="3" t="s">
        <v>313</v>
      </c>
      <c r="F73" s="3">
        <v>1741543.0</v>
      </c>
      <c r="G73" s="4">
        <v>46022.0</v>
      </c>
      <c r="H73" s="4">
        <v>46121.0</v>
      </c>
      <c r="I73" s="3" t="s">
        <v>314</v>
      </c>
      <c r="J73" s="3" t="s">
        <v>315</v>
      </c>
      <c r="K73" s="3" t="s">
        <v>316</v>
      </c>
      <c r="L73" s="3">
        <v>2.0</v>
      </c>
      <c r="M73" s="3">
        <v>50000.0</v>
      </c>
      <c r="N73" s="3">
        <v>3.0</v>
      </c>
      <c r="O73" s="3">
        <v>5801.0</v>
      </c>
      <c r="P73" s="3"/>
      <c r="Q73" s="3">
        <v>955764.0</v>
      </c>
      <c r="R73" s="3"/>
      <c r="S73" s="3">
        <v>40000.0</v>
      </c>
      <c r="T73" s="3" t="s">
        <v>37</v>
      </c>
      <c r="U73" s="3">
        <v>40000.0</v>
      </c>
      <c r="V73" s="5">
        <f>(DATE(2026,2,3)-'RICE_Insured Farms_with PPI Pol'!$G73)+IF('RICE_Insured Farms_with PPI Pol'!$H73&lt;&gt;'RICE_Insured Farms_with PPI Pol'!$G73,18,0)</f>
        <v>52</v>
      </c>
      <c r="W73" s="3" t="str">
        <f t="array" ref="W73">IFS(V73&gt;120, "Harvested", V73&gt;=113, "Yellow Ripening", V73&gt;=101, "Dough Stage", V73&gt;=93, "Milking Stage", V73&gt;=86, "Flowering", V73&gt;=56, "Panicle Initiation/Booting", V73&lt;56, "Vegetative/Tillering")</f>
        <v>Vegetative/Tillering</v>
      </c>
    </row>
    <row r="74" ht="15.75" hidden="1" customHeight="1">
      <c r="A74" s="3">
        <v>73.0</v>
      </c>
      <c r="B74" s="3" t="s">
        <v>23</v>
      </c>
      <c r="C74" s="3" t="s">
        <v>68</v>
      </c>
      <c r="D74" s="3" t="s">
        <v>289</v>
      </c>
      <c r="E74" s="3" t="s">
        <v>290</v>
      </c>
      <c r="F74" s="3">
        <v>1760036.0</v>
      </c>
      <c r="G74" s="4">
        <v>46031.0</v>
      </c>
      <c r="H74" s="4">
        <v>46133.0</v>
      </c>
      <c r="I74" s="3" t="s">
        <v>317</v>
      </c>
      <c r="J74" s="3" t="s">
        <v>318</v>
      </c>
      <c r="K74" s="3" t="s">
        <v>319</v>
      </c>
      <c r="L74" s="3">
        <v>0.1829</v>
      </c>
      <c r="M74" s="3">
        <v>4572.5</v>
      </c>
      <c r="N74" s="3">
        <v>2.0</v>
      </c>
      <c r="O74" s="3">
        <v>119574.0</v>
      </c>
      <c r="P74" s="3" t="s">
        <v>320</v>
      </c>
      <c r="Q74" s="3">
        <v>966622.0</v>
      </c>
      <c r="R74" s="3"/>
      <c r="S74" s="3">
        <v>3200.75</v>
      </c>
      <c r="T74" s="3" t="s">
        <v>31</v>
      </c>
      <c r="U74" s="3">
        <v>3200.75</v>
      </c>
      <c r="V74" s="5">
        <f>(DATE(2026,2,3)-'RICE_Insured Farms_with PPI Pol'!$G74)+IF('RICE_Insured Farms_with PPI Pol'!$H74&lt;&gt;'RICE_Insured Farms_with PPI Pol'!$G74,18,0)</f>
        <v>43</v>
      </c>
      <c r="W74" s="3" t="str">
        <f t="array" ref="W74">IFS(V74&gt;120, "Harvested", V74&gt;=113, "Yellow Ripening", V74&gt;=101, "Dough Stage", V74&gt;=93, "Milking Stage", V74&gt;=86, "Flowering", V74&gt;=56, "Panicle Initiation/Booting", V74&lt;56, "Vegetative/Tillering")</f>
        <v>Vegetative/Tillering</v>
      </c>
    </row>
    <row r="75" ht="15.75" hidden="1" customHeight="1">
      <c r="A75" s="3">
        <v>74.0</v>
      </c>
      <c r="B75" s="3" t="s">
        <v>23</v>
      </c>
      <c r="C75" s="3" t="s">
        <v>68</v>
      </c>
      <c r="D75" s="3" t="s">
        <v>289</v>
      </c>
      <c r="E75" s="3" t="s">
        <v>290</v>
      </c>
      <c r="F75" s="3">
        <v>1760036.0</v>
      </c>
      <c r="G75" s="4">
        <v>46031.0</v>
      </c>
      <c r="H75" s="4">
        <v>46133.0</v>
      </c>
      <c r="I75" s="3" t="s">
        <v>317</v>
      </c>
      <c r="J75" s="3" t="s">
        <v>318</v>
      </c>
      <c r="K75" s="3" t="s">
        <v>319</v>
      </c>
      <c r="L75" s="3">
        <v>0.1528</v>
      </c>
      <c r="M75" s="3">
        <v>3820.0</v>
      </c>
      <c r="N75" s="3">
        <v>2.0</v>
      </c>
      <c r="O75" s="3">
        <v>119574.0</v>
      </c>
      <c r="P75" s="3" t="s">
        <v>320</v>
      </c>
      <c r="Q75" s="3">
        <v>966623.0</v>
      </c>
      <c r="R75" s="3"/>
      <c r="S75" s="3">
        <v>2674.0</v>
      </c>
      <c r="T75" s="3" t="s">
        <v>31</v>
      </c>
      <c r="U75" s="3">
        <v>2674.0</v>
      </c>
      <c r="V75" s="5">
        <f>(DATE(2026,2,3)-'RICE_Insured Farms_with PPI Pol'!$G75)+IF('RICE_Insured Farms_with PPI Pol'!$H75&lt;&gt;'RICE_Insured Farms_with PPI Pol'!$G75,18,0)</f>
        <v>43</v>
      </c>
      <c r="W75" s="3" t="str">
        <f t="array" ref="W75">IFS(V75&gt;120, "Harvested", V75&gt;=113, "Yellow Ripening", V75&gt;=101, "Dough Stage", V75&gt;=93, "Milking Stage", V75&gt;=86, "Flowering", V75&gt;=56, "Panicle Initiation/Booting", V75&lt;56, "Vegetative/Tillering")</f>
        <v>Vegetative/Tillering</v>
      </c>
    </row>
    <row r="76" ht="15.75" customHeight="1">
      <c r="A76" s="3">
        <v>75.0</v>
      </c>
      <c r="B76" s="3" t="s">
        <v>23</v>
      </c>
      <c r="C76" s="3" t="s">
        <v>68</v>
      </c>
      <c r="D76" s="3" t="s">
        <v>69</v>
      </c>
      <c r="E76" s="3" t="s">
        <v>321</v>
      </c>
      <c r="F76" s="3">
        <v>1739646.0</v>
      </c>
      <c r="G76" s="4">
        <v>46021.0</v>
      </c>
      <c r="H76" s="4">
        <v>46123.0</v>
      </c>
      <c r="I76" s="3" t="s">
        <v>322</v>
      </c>
      <c r="J76" s="3" t="s">
        <v>114</v>
      </c>
      <c r="K76" s="3" t="s">
        <v>323</v>
      </c>
      <c r="L76" s="3">
        <v>0.2912</v>
      </c>
      <c r="M76" s="3">
        <v>7280.0</v>
      </c>
      <c r="N76" s="3">
        <v>3.0</v>
      </c>
      <c r="O76" s="3">
        <v>312884.0</v>
      </c>
      <c r="P76" s="3" t="s">
        <v>324</v>
      </c>
      <c r="Q76" s="3">
        <v>1036760.0</v>
      </c>
      <c r="R76" s="3"/>
      <c r="S76" s="3">
        <v>5824.0</v>
      </c>
      <c r="T76" s="3" t="s">
        <v>37</v>
      </c>
      <c r="U76" s="3">
        <v>5824.0</v>
      </c>
      <c r="V76" s="5">
        <f>(DATE(2026,2,3)-'RICE_Insured Farms_with PPI Pol'!$G76)+IF('RICE_Insured Farms_with PPI Pol'!$H76&lt;&gt;'RICE_Insured Farms_with PPI Pol'!$G76,18,0)</f>
        <v>53</v>
      </c>
      <c r="W76" s="3" t="str">
        <f t="array" ref="W76">IFS(V76&gt;120, "Harvested", V76&gt;=113, "Yellow Ripening", V76&gt;=101, "Dough Stage", V76&gt;=93, "Milking Stage", V76&gt;=86, "Flowering", V76&gt;=56, "Panicle Initiation/Booting", V76&lt;56, "Vegetative/Tillering")</f>
        <v>Vegetative/Tillering</v>
      </c>
    </row>
    <row r="77" ht="15.75" customHeight="1">
      <c r="A77" s="3">
        <v>76.0</v>
      </c>
      <c r="B77" s="3" t="s">
        <v>23</v>
      </c>
      <c r="C77" s="3" t="s">
        <v>68</v>
      </c>
      <c r="D77" s="3" t="s">
        <v>69</v>
      </c>
      <c r="E77" s="3" t="s">
        <v>321</v>
      </c>
      <c r="F77" s="3">
        <v>1739646.0</v>
      </c>
      <c r="G77" s="4">
        <v>46021.0</v>
      </c>
      <c r="H77" s="4">
        <v>46123.0</v>
      </c>
      <c r="I77" s="3" t="s">
        <v>322</v>
      </c>
      <c r="J77" s="3" t="s">
        <v>114</v>
      </c>
      <c r="K77" s="3" t="s">
        <v>323</v>
      </c>
      <c r="L77" s="3">
        <v>0.254</v>
      </c>
      <c r="M77" s="3">
        <v>6350.0</v>
      </c>
      <c r="N77" s="3">
        <v>3.0</v>
      </c>
      <c r="O77" s="3">
        <v>312884.0</v>
      </c>
      <c r="P77" s="3" t="s">
        <v>324</v>
      </c>
      <c r="Q77" s="3">
        <v>1036761.0</v>
      </c>
      <c r="R77" s="3"/>
      <c r="S77" s="3">
        <v>5080.0</v>
      </c>
      <c r="T77" s="3" t="s">
        <v>37</v>
      </c>
      <c r="U77" s="3">
        <v>5080.0</v>
      </c>
      <c r="V77" s="5">
        <f>(DATE(2026,2,3)-'RICE_Insured Farms_with PPI Pol'!$G77)+IF('RICE_Insured Farms_with PPI Pol'!$H77&lt;&gt;'RICE_Insured Farms_with PPI Pol'!$G77,18,0)</f>
        <v>53</v>
      </c>
      <c r="W77" s="3" t="str">
        <f t="array" ref="W77">IFS(V77&gt;120, "Harvested", V77&gt;=113, "Yellow Ripening", V77&gt;=101, "Dough Stage", V77&gt;=93, "Milking Stage", V77&gt;=86, "Flowering", V77&gt;=56, "Panicle Initiation/Booting", V77&lt;56, "Vegetative/Tillering")</f>
        <v>Vegetative/Tillering</v>
      </c>
    </row>
    <row r="78" ht="15.75" customHeight="1">
      <c r="A78" s="3">
        <v>77.0</v>
      </c>
      <c r="B78" s="3" t="s">
        <v>23</v>
      </c>
      <c r="C78" s="3" t="s">
        <v>68</v>
      </c>
      <c r="D78" s="3" t="s">
        <v>69</v>
      </c>
      <c r="E78" s="3" t="s">
        <v>321</v>
      </c>
      <c r="F78" s="3">
        <v>1739646.0</v>
      </c>
      <c r="G78" s="4">
        <v>46021.0</v>
      </c>
      <c r="H78" s="4">
        <v>46123.0</v>
      </c>
      <c r="I78" s="3" t="s">
        <v>322</v>
      </c>
      <c r="J78" s="3" t="s">
        <v>114</v>
      </c>
      <c r="K78" s="3" t="s">
        <v>323</v>
      </c>
      <c r="L78" s="3">
        <v>0.551</v>
      </c>
      <c r="M78" s="3">
        <v>13775.0</v>
      </c>
      <c r="N78" s="3">
        <v>3.0</v>
      </c>
      <c r="O78" s="3">
        <v>312884.0</v>
      </c>
      <c r="P78" s="3" t="s">
        <v>324</v>
      </c>
      <c r="Q78" s="3">
        <v>1036762.0</v>
      </c>
      <c r="R78" s="3"/>
      <c r="S78" s="3">
        <v>11020.0</v>
      </c>
      <c r="T78" s="3" t="s">
        <v>37</v>
      </c>
      <c r="U78" s="3">
        <v>11020.0</v>
      </c>
      <c r="V78" s="5">
        <f>(DATE(2026,2,3)-'RICE_Insured Farms_with PPI Pol'!$G78)+IF('RICE_Insured Farms_with PPI Pol'!$H78&lt;&gt;'RICE_Insured Farms_with PPI Pol'!$G78,18,0)</f>
        <v>53</v>
      </c>
      <c r="W78" s="3" t="str">
        <f t="array" ref="W78">IFS(V78&gt;120, "Harvested", V78&gt;=113, "Yellow Ripening", V78&gt;=101, "Dough Stage", V78&gt;=93, "Milking Stage", V78&gt;=86, "Flowering", V78&gt;=56, "Panicle Initiation/Booting", V78&lt;56, "Vegetative/Tillering")</f>
        <v>Vegetative/Tillering</v>
      </c>
    </row>
    <row r="79" ht="15.75" customHeight="1">
      <c r="A79" s="3">
        <v>78.0</v>
      </c>
      <c r="B79" s="3" t="s">
        <v>23</v>
      </c>
      <c r="C79" s="3" t="s">
        <v>68</v>
      </c>
      <c r="D79" s="3" t="s">
        <v>262</v>
      </c>
      <c r="E79" s="3" t="s">
        <v>273</v>
      </c>
      <c r="F79" s="3">
        <v>1739591.0</v>
      </c>
      <c r="G79" s="4">
        <v>46021.0</v>
      </c>
      <c r="H79" s="4">
        <v>46113.0</v>
      </c>
      <c r="I79" s="3" t="s">
        <v>325</v>
      </c>
      <c r="J79" s="3" t="s">
        <v>326</v>
      </c>
      <c r="K79" s="3" t="s">
        <v>327</v>
      </c>
      <c r="L79" s="3">
        <v>1.6696</v>
      </c>
      <c r="M79" s="3">
        <v>41740.0</v>
      </c>
      <c r="N79" s="3">
        <v>3.0</v>
      </c>
      <c r="O79" s="3">
        <v>199050.0</v>
      </c>
      <c r="P79" s="3" t="s">
        <v>328</v>
      </c>
      <c r="Q79" s="3">
        <v>1029471.0</v>
      </c>
      <c r="R79" s="3"/>
      <c r="S79" s="3">
        <v>33392.0</v>
      </c>
      <c r="T79" s="3" t="s">
        <v>37</v>
      </c>
      <c r="U79" s="3">
        <v>33392.0</v>
      </c>
      <c r="V79" s="5">
        <f>(DATE(2026,2,3)-'RICE_Insured Farms_with PPI Pol'!$G79)+IF('RICE_Insured Farms_with PPI Pol'!$H79&lt;&gt;'RICE_Insured Farms_with PPI Pol'!$G79,18,0)</f>
        <v>53</v>
      </c>
      <c r="W79" s="3" t="str">
        <f t="array" ref="W79">IFS(V79&gt;120, "Harvested", V79&gt;=113, "Yellow Ripening", V79&gt;=101, "Dough Stage", V79&gt;=93, "Milking Stage", V79&gt;=86, "Flowering", V79&gt;=56, "Panicle Initiation/Booting", V79&lt;56, "Vegetative/Tillering")</f>
        <v>Vegetative/Tillering</v>
      </c>
    </row>
    <row r="80" ht="15.75" hidden="1" customHeight="1">
      <c r="A80" s="3">
        <v>79.0</v>
      </c>
      <c r="B80" s="3" t="s">
        <v>23</v>
      </c>
      <c r="C80" s="3" t="s">
        <v>311</v>
      </c>
      <c r="D80" s="3" t="s">
        <v>329</v>
      </c>
      <c r="E80" s="3" t="s">
        <v>330</v>
      </c>
      <c r="F80" s="3">
        <v>1740212.0</v>
      </c>
      <c r="G80" s="4">
        <v>46060.0</v>
      </c>
      <c r="H80" s="4">
        <v>46159.0</v>
      </c>
      <c r="I80" s="3" t="s">
        <v>331</v>
      </c>
      <c r="J80" s="3" t="s">
        <v>332</v>
      </c>
      <c r="K80" s="3" t="s">
        <v>333</v>
      </c>
      <c r="L80" s="3">
        <v>1.0443</v>
      </c>
      <c r="M80" s="3">
        <v>26107.5</v>
      </c>
      <c r="N80" s="3">
        <v>1.0</v>
      </c>
      <c r="O80" s="3">
        <v>3273.0</v>
      </c>
      <c r="P80" s="3" t="s">
        <v>334</v>
      </c>
      <c r="Q80" s="3">
        <v>1034909.0</v>
      </c>
      <c r="R80" s="3"/>
      <c r="S80" s="3">
        <v>15664.5</v>
      </c>
      <c r="T80" s="3" t="s">
        <v>62</v>
      </c>
      <c r="U80" s="3">
        <v>15664.5</v>
      </c>
      <c r="V80" s="5">
        <f>(DATE(2026,2,3)-'RICE_Insured Farms_with PPI Pol'!$G80)+IF('RICE_Insured Farms_with PPI Pol'!$H80&lt;&gt;'RICE_Insured Farms_with PPI Pol'!$G80,18,0)</f>
        <v>14</v>
      </c>
      <c r="W80" s="3" t="str">
        <f t="array" ref="W80">IFS(V80&gt;120, "Harvested", V80&gt;=113, "Yellow Ripening", V80&gt;=101, "Dough Stage", V80&gt;=93, "Milking Stage", V80&gt;=86, "Flowering", V80&gt;=56, "Panicle Initiation/Booting", V80&lt;56, "Vegetative/Tillering")</f>
        <v>Vegetative/Tillering</v>
      </c>
    </row>
    <row r="81" ht="15.75" customHeight="1">
      <c r="A81" s="3">
        <v>80.0</v>
      </c>
      <c r="B81" s="3" t="s">
        <v>23</v>
      </c>
      <c r="C81" s="3" t="s">
        <v>68</v>
      </c>
      <c r="D81" s="3" t="s">
        <v>262</v>
      </c>
      <c r="E81" s="3" t="s">
        <v>273</v>
      </c>
      <c r="F81" s="3">
        <v>1739581.0</v>
      </c>
      <c r="G81" s="4">
        <v>46011.0</v>
      </c>
      <c r="H81" s="4">
        <v>46113.0</v>
      </c>
      <c r="I81" s="3" t="s">
        <v>335</v>
      </c>
      <c r="J81" s="3" t="s">
        <v>336</v>
      </c>
      <c r="K81" s="3" t="s">
        <v>337</v>
      </c>
      <c r="L81" s="3">
        <v>1.2071</v>
      </c>
      <c r="M81" s="3">
        <v>30177.5</v>
      </c>
      <c r="N81" s="3">
        <v>3.0</v>
      </c>
      <c r="O81" s="3">
        <v>187344.0</v>
      </c>
      <c r="P81" s="3" t="s">
        <v>338</v>
      </c>
      <c r="Q81" s="3">
        <v>695952.0</v>
      </c>
      <c r="R81" s="3"/>
      <c r="S81" s="3">
        <v>24142.0</v>
      </c>
      <c r="T81" s="3" t="s">
        <v>37</v>
      </c>
      <c r="U81" s="3">
        <v>24142.0</v>
      </c>
      <c r="V81" s="5">
        <f>(DATE(2026,2,3)-'RICE_Insured Farms_with PPI Pol'!$G81)+IF('RICE_Insured Farms_with PPI Pol'!$H81&lt;&gt;'RICE_Insured Farms_with PPI Pol'!$G81,18,0)</f>
        <v>63</v>
      </c>
      <c r="W81" s="3" t="str">
        <f t="array" ref="W81">IFS(V81&gt;120, "Harvested", V81&gt;=113, "Yellow Ripening", V81&gt;=101, "Dough Stage", V81&gt;=93, "Milking Stage", V81&gt;=86, "Flowering", V81&gt;=56, "Panicle Initiation/Booting", V81&lt;56, "Vegetative/Tillering")</f>
        <v>Panicle Initiation/Booting</v>
      </c>
    </row>
    <row r="82" ht="15.75" customHeight="1">
      <c r="A82" s="3">
        <v>81.0</v>
      </c>
      <c r="B82" s="3" t="s">
        <v>23</v>
      </c>
      <c r="C82" s="3" t="s">
        <v>68</v>
      </c>
      <c r="D82" s="3" t="s">
        <v>289</v>
      </c>
      <c r="E82" s="3" t="s">
        <v>339</v>
      </c>
      <c r="F82" s="3">
        <v>1760022.0</v>
      </c>
      <c r="G82" s="4">
        <v>46023.0</v>
      </c>
      <c r="H82" s="4">
        <v>46125.0</v>
      </c>
      <c r="I82" s="3" t="s">
        <v>340</v>
      </c>
      <c r="J82" s="3" t="s">
        <v>341</v>
      </c>
      <c r="K82" s="3" t="s">
        <v>342</v>
      </c>
      <c r="L82" s="3">
        <v>0.5568</v>
      </c>
      <c r="M82" s="3">
        <v>13920.0</v>
      </c>
      <c r="N82" s="3">
        <v>3.0</v>
      </c>
      <c r="O82" s="3">
        <v>328387.0</v>
      </c>
      <c r="P82" s="3" t="s">
        <v>343</v>
      </c>
      <c r="Q82" s="3">
        <v>684065.0</v>
      </c>
      <c r="R82" s="3"/>
      <c r="S82" s="3">
        <v>11136.0</v>
      </c>
      <c r="T82" s="3" t="s">
        <v>37</v>
      </c>
      <c r="U82" s="3">
        <v>11136.0</v>
      </c>
      <c r="V82" s="5">
        <f>(DATE(2026,2,3)-'RICE_Insured Farms_with PPI Pol'!$G82)+IF('RICE_Insured Farms_with PPI Pol'!$H82&lt;&gt;'RICE_Insured Farms_with PPI Pol'!$G82,18,0)</f>
        <v>51</v>
      </c>
      <c r="W82" s="3" t="str">
        <f t="array" ref="W82">IFS(V82&gt;120, "Harvested", V82&gt;=113, "Yellow Ripening", V82&gt;=101, "Dough Stage", V82&gt;=93, "Milking Stage", V82&gt;=86, "Flowering", V82&gt;=56, "Panicle Initiation/Booting", V82&lt;56, "Vegetative/Tillering")</f>
        <v>Vegetative/Tillering</v>
      </c>
    </row>
    <row r="83" ht="15.75" hidden="1" customHeight="1">
      <c r="A83" s="3">
        <v>1489.0</v>
      </c>
      <c r="B83" s="3" t="s">
        <v>23</v>
      </c>
      <c r="C83" s="3" t="s">
        <v>24</v>
      </c>
      <c r="D83" s="3" t="s">
        <v>283</v>
      </c>
      <c r="E83" s="3" t="s">
        <v>344</v>
      </c>
      <c r="F83" s="3">
        <v>1741169.0</v>
      </c>
      <c r="G83" s="4">
        <v>46015.0</v>
      </c>
      <c r="H83" s="4">
        <v>46110.0</v>
      </c>
      <c r="I83" s="3" t="s">
        <v>345</v>
      </c>
      <c r="J83" s="3" t="s">
        <v>346</v>
      </c>
      <c r="K83" s="3" t="s">
        <v>347</v>
      </c>
      <c r="L83" s="3">
        <v>0.75</v>
      </c>
      <c r="M83" s="3">
        <v>18750.0</v>
      </c>
      <c r="N83" s="3">
        <v>4.0</v>
      </c>
      <c r="O83" s="3">
        <v>515354.0</v>
      </c>
      <c r="P83" s="3"/>
      <c r="Q83" s="3">
        <v>1298433.0</v>
      </c>
      <c r="R83" s="3"/>
      <c r="S83" s="3">
        <v>15000.0</v>
      </c>
      <c r="T83" s="3" t="s">
        <v>56</v>
      </c>
      <c r="U83" s="3">
        <v>15000.0</v>
      </c>
      <c r="V83" s="5">
        <f>(DATE(2026,2,3)-'RICE_Insured Farms_with PPI Pol'!$G83)+IF('RICE_Insured Farms_with PPI Pol'!$H83&lt;&gt;'RICE_Insured Farms_with PPI Pol'!$G83,18,0)</f>
        <v>59</v>
      </c>
      <c r="W83" s="3" t="str">
        <f t="array" ref="W83">IFS(V83&gt;120, "Harvested", V83&gt;=113, "Yellow Ripening", V83&gt;=101, "Dough Stage", V83&gt;=93, "Milking Stage", V83&gt;=86, "Flowering", V83&gt;=56, "Panicle Initiation/Booting", V83&lt;56, "Vegetative/Tillering")</f>
        <v>Panicle Initiation/Booting</v>
      </c>
    </row>
    <row r="84" ht="15.75" hidden="1" customHeight="1">
      <c r="A84" s="3">
        <v>83.0</v>
      </c>
      <c r="B84" s="3" t="s">
        <v>23</v>
      </c>
      <c r="C84" s="3" t="s">
        <v>24</v>
      </c>
      <c r="D84" s="3" t="s">
        <v>25</v>
      </c>
      <c r="E84" s="3" t="s">
        <v>348</v>
      </c>
      <c r="F84" s="3">
        <v>1760496.0</v>
      </c>
      <c r="G84" s="4">
        <v>46031.0</v>
      </c>
      <c r="H84" s="4">
        <v>46128.0</v>
      </c>
      <c r="I84" s="3" t="s">
        <v>349</v>
      </c>
      <c r="J84" s="3" t="s">
        <v>350</v>
      </c>
      <c r="K84" s="3" t="s">
        <v>351</v>
      </c>
      <c r="L84" s="3">
        <v>1.0007</v>
      </c>
      <c r="M84" s="3">
        <v>25017.5</v>
      </c>
      <c r="N84" s="3">
        <v>2.0</v>
      </c>
      <c r="O84" s="3">
        <v>172454.0</v>
      </c>
      <c r="P84" s="3"/>
      <c r="Q84" s="3">
        <v>1037221.0</v>
      </c>
      <c r="R84" s="3"/>
      <c r="S84" s="3">
        <v>17512.25</v>
      </c>
      <c r="T84" s="3" t="s">
        <v>31</v>
      </c>
      <c r="U84" s="3">
        <v>17512.25</v>
      </c>
      <c r="V84" s="5">
        <f>(DATE(2026,2,3)-'RICE_Insured Farms_with PPI Pol'!$G84)+IF('RICE_Insured Farms_with PPI Pol'!$H84&lt;&gt;'RICE_Insured Farms_with PPI Pol'!$G84,18,0)</f>
        <v>43</v>
      </c>
      <c r="W84" s="3" t="str">
        <f t="array" ref="W84">IFS(V84&gt;120, "Harvested", V84&gt;=113, "Yellow Ripening", V84&gt;=101, "Dough Stage", V84&gt;=93, "Milking Stage", V84&gt;=86, "Flowering", V84&gt;=56, "Panicle Initiation/Booting", V84&lt;56, "Vegetative/Tillering")</f>
        <v>Vegetative/Tillering</v>
      </c>
    </row>
    <row r="85" ht="15.75" customHeight="1">
      <c r="A85" s="3">
        <v>84.0</v>
      </c>
      <c r="B85" s="3" t="s">
        <v>23</v>
      </c>
      <c r="C85" s="3" t="s">
        <v>68</v>
      </c>
      <c r="D85" s="3" t="s">
        <v>289</v>
      </c>
      <c r="E85" s="3" t="s">
        <v>352</v>
      </c>
      <c r="F85" s="3">
        <v>1760047.0</v>
      </c>
      <c r="G85" s="4">
        <v>46021.0</v>
      </c>
      <c r="H85" s="4">
        <v>46123.0</v>
      </c>
      <c r="I85" s="3" t="s">
        <v>353</v>
      </c>
      <c r="J85" s="3" t="s">
        <v>354</v>
      </c>
      <c r="K85" s="3" t="s">
        <v>124</v>
      </c>
      <c r="L85" s="3">
        <v>0.5</v>
      </c>
      <c r="M85" s="3">
        <v>12500.0</v>
      </c>
      <c r="N85" s="3">
        <v>3.0</v>
      </c>
      <c r="O85" s="3">
        <v>329747.0</v>
      </c>
      <c r="P85" s="3" t="s">
        <v>355</v>
      </c>
      <c r="Q85" s="3">
        <v>964436.0</v>
      </c>
      <c r="R85" s="3"/>
      <c r="S85" s="3">
        <v>10000.0</v>
      </c>
      <c r="T85" s="3" t="s">
        <v>37</v>
      </c>
      <c r="U85" s="3">
        <v>10000.0</v>
      </c>
      <c r="V85" s="5">
        <f>(DATE(2026,2,3)-'RICE_Insured Farms_with PPI Pol'!$G85)+IF('RICE_Insured Farms_with PPI Pol'!$H85&lt;&gt;'RICE_Insured Farms_with PPI Pol'!$G85,18,0)</f>
        <v>53</v>
      </c>
      <c r="W85" s="3" t="str">
        <f t="array" ref="W85">IFS(V85&gt;120, "Harvested", V85&gt;=113, "Yellow Ripening", V85&gt;=101, "Dough Stage", V85&gt;=93, "Milking Stage", V85&gt;=86, "Flowering", V85&gt;=56, "Panicle Initiation/Booting", V85&lt;56, "Vegetative/Tillering")</f>
        <v>Vegetative/Tillering</v>
      </c>
    </row>
    <row r="86" ht="15.75" hidden="1" customHeight="1">
      <c r="A86" s="3">
        <v>6.0</v>
      </c>
      <c r="B86" s="3" t="s">
        <v>23</v>
      </c>
      <c r="C86" s="3" t="s">
        <v>24</v>
      </c>
      <c r="D86" s="3" t="s">
        <v>25</v>
      </c>
      <c r="E86" s="3" t="s">
        <v>26</v>
      </c>
      <c r="F86" s="3">
        <v>1760459.0</v>
      </c>
      <c r="G86" s="4">
        <v>46016.0</v>
      </c>
      <c r="H86" s="4">
        <v>46111.0</v>
      </c>
      <c r="I86" s="3" t="s">
        <v>46</v>
      </c>
      <c r="J86" s="3" t="s">
        <v>356</v>
      </c>
      <c r="K86" s="3" t="s">
        <v>357</v>
      </c>
      <c r="L86" s="3">
        <v>1.0</v>
      </c>
      <c r="M86" s="3">
        <v>25000.0</v>
      </c>
      <c r="N86" s="3">
        <v>4.0</v>
      </c>
      <c r="O86" s="3">
        <v>85805.0</v>
      </c>
      <c r="P86" s="3" t="s">
        <v>358</v>
      </c>
      <c r="Q86" s="3">
        <v>193526.0</v>
      </c>
      <c r="R86" s="3"/>
      <c r="S86" s="3">
        <v>20000.0</v>
      </c>
      <c r="T86" s="3" t="s">
        <v>56</v>
      </c>
      <c r="U86" s="3">
        <v>20000.0</v>
      </c>
      <c r="V86" s="5">
        <f>(DATE(2026,2,3)-'RICE_Insured Farms_with PPI Pol'!$G86)+IF('RICE_Insured Farms_with PPI Pol'!$H86&lt;&gt;'RICE_Insured Farms_with PPI Pol'!$G86,18,0)</f>
        <v>58</v>
      </c>
      <c r="W86" s="3" t="str">
        <f t="array" ref="W86">IFS(V86&gt;120, "Harvested", V86&gt;=113, "Yellow Ripening", V86&gt;=101, "Dough Stage", V86&gt;=93, "Milking Stage", V86&gt;=86, "Flowering", V86&gt;=56, "Panicle Initiation/Booting", V86&lt;56, "Vegetative/Tillering")</f>
        <v>Panicle Initiation/Booting</v>
      </c>
    </row>
    <row r="87" ht="15.75" hidden="1" customHeight="1">
      <c r="A87" s="3">
        <v>86.0</v>
      </c>
      <c r="B87" s="3" t="s">
        <v>23</v>
      </c>
      <c r="C87" s="3" t="s">
        <v>24</v>
      </c>
      <c r="D87" s="3" t="s">
        <v>305</v>
      </c>
      <c r="E87" s="3" t="s">
        <v>359</v>
      </c>
      <c r="F87" s="3">
        <v>1192169.0</v>
      </c>
      <c r="G87" s="4">
        <v>46029.0</v>
      </c>
      <c r="H87" s="4">
        <v>46149.0</v>
      </c>
      <c r="I87" s="3" t="s">
        <v>360</v>
      </c>
      <c r="J87" s="3" t="s">
        <v>361</v>
      </c>
      <c r="K87" s="3" t="s">
        <v>362</v>
      </c>
      <c r="L87" s="3">
        <v>0.542</v>
      </c>
      <c r="M87" s="3">
        <v>13550.0</v>
      </c>
      <c r="N87" s="3">
        <v>1.0</v>
      </c>
      <c r="O87" s="3">
        <v>295229.0</v>
      </c>
      <c r="P87" s="3"/>
      <c r="Q87" s="3">
        <v>1030616.0</v>
      </c>
      <c r="R87" s="3"/>
      <c r="S87" s="3">
        <v>8130.0</v>
      </c>
      <c r="T87" s="3" t="s">
        <v>62</v>
      </c>
      <c r="U87" s="3">
        <v>8130.0</v>
      </c>
      <c r="V87" s="5">
        <f>(DATE(2026,2,3)-'RICE_Insured Farms_with PPI Pol'!$G87)+IF('RICE_Insured Farms_with PPI Pol'!$H87&lt;&gt;'RICE_Insured Farms_with PPI Pol'!$G87,18,0)</f>
        <v>45</v>
      </c>
      <c r="W87" s="3" t="str">
        <f t="array" ref="W87">IFS(V87&gt;120, "Harvested", V87&gt;=113, "Yellow Ripening", V87&gt;=101, "Dough Stage", V87&gt;=93, "Milking Stage", V87&gt;=86, "Flowering", V87&gt;=56, "Panicle Initiation/Booting", V87&lt;56, "Vegetative/Tillering")</f>
        <v>Vegetative/Tillering</v>
      </c>
    </row>
    <row r="88" ht="15.75" hidden="1" customHeight="1">
      <c r="A88" s="3">
        <v>87.0</v>
      </c>
      <c r="B88" s="3" t="s">
        <v>23</v>
      </c>
      <c r="C88" s="3" t="s">
        <v>24</v>
      </c>
      <c r="D88" s="3" t="s">
        <v>305</v>
      </c>
      <c r="E88" s="3" t="s">
        <v>359</v>
      </c>
      <c r="F88" s="3">
        <v>1192169.0</v>
      </c>
      <c r="G88" s="4">
        <v>46029.0</v>
      </c>
      <c r="H88" s="4">
        <v>46149.0</v>
      </c>
      <c r="I88" s="3" t="s">
        <v>360</v>
      </c>
      <c r="J88" s="3" t="s">
        <v>361</v>
      </c>
      <c r="K88" s="3" t="s">
        <v>362</v>
      </c>
      <c r="L88" s="3">
        <v>0.542</v>
      </c>
      <c r="M88" s="3">
        <v>13550.0</v>
      </c>
      <c r="N88" s="3">
        <v>1.0</v>
      </c>
      <c r="O88" s="3">
        <v>295229.0</v>
      </c>
      <c r="P88" s="3"/>
      <c r="Q88" s="3">
        <v>1030616.0</v>
      </c>
      <c r="R88" s="3"/>
      <c r="S88" s="3">
        <v>8130.0</v>
      </c>
      <c r="T88" s="3" t="s">
        <v>62</v>
      </c>
      <c r="U88" s="3">
        <v>8130.0</v>
      </c>
      <c r="V88" s="5">
        <f>(DATE(2026,2,3)-'RICE_Insured Farms_with PPI Pol'!$G88)+IF('RICE_Insured Farms_with PPI Pol'!$H88&lt;&gt;'RICE_Insured Farms_with PPI Pol'!$G88,18,0)</f>
        <v>45</v>
      </c>
      <c r="W88" s="3" t="str">
        <f t="array" ref="W88">IFS(V88&gt;120, "Harvested", V88&gt;=113, "Yellow Ripening", V88&gt;=101, "Dough Stage", V88&gt;=93, "Milking Stage", V88&gt;=86, "Flowering", V88&gt;=56, "Panicle Initiation/Booting", V88&lt;56, "Vegetative/Tillering")</f>
        <v>Vegetative/Tillering</v>
      </c>
    </row>
    <row r="89" ht="15.75" hidden="1" customHeight="1">
      <c r="A89" s="3">
        <v>88.0</v>
      </c>
      <c r="B89" s="3" t="s">
        <v>23</v>
      </c>
      <c r="C89" s="3" t="s">
        <v>68</v>
      </c>
      <c r="D89" s="3" t="s">
        <v>289</v>
      </c>
      <c r="E89" s="3" t="s">
        <v>363</v>
      </c>
      <c r="F89" s="3">
        <v>1760046.0</v>
      </c>
      <c r="G89" s="4">
        <v>46032.0</v>
      </c>
      <c r="H89" s="4">
        <v>46134.0</v>
      </c>
      <c r="I89" s="3" t="s">
        <v>364</v>
      </c>
      <c r="J89" s="3" t="s">
        <v>365</v>
      </c>
      <c r="K89" s="3" t="s">
        <v>366</v>
      </c>
      <c r="L89" s="3">
        <v>0.5044</v>
      </c>
      <c r="M89" s="3">
        <v>12610.0</v>
      </c>
      <c r="N89" s="3">
        <v>2.0</v>
      </c>
      <c r="O89" s="3">
        <v>153613.0</v>
      </c>
      <c r="P89" s="3" t="s">
        <v>367</v>
      </c>
      <c r="Q89" s="3">
        <v>1039772.0</v>
      </c>
      <c r="R89" s="3"/>
      <c r="S89" s="3">
        <v>8827.0</v>
      </c>
      <c r="T89" s="3" t="s">
        <v>31</v>
      </c>
      <c r="U89" s="3">
        <v>8827.0</v>
      </c>
      <c r="V89" s="5">
        <f>(DATE(2026,2,3)-'RICE_Insured Farms_with PPI Pol'!$G89)+IF('RICE_Insured Farms_with PPI Pol'!$H89&lt;&gt;'RICE_Insured Farms_with PPI Pol'!$G89,18,0)</f>
        <v>42</v>
      </c>
      <c r="W89" s="3" t="str">
        <f t="array" ref="W89">IFS(V89&gt;120, "Harvested", V89&gt;=113, "Yellow Ripening", V89&gt;=101, "Dough Stage", V89&gt;=93, "Milking Stage", V89&gt;=86, "Flowering", V89&gt;=56, "Panicle Initiation/Booting", V89&lt;56, "Vegetative/Tillering")</f>
        <v>Vegetative/Tillering</v>
      </c>
    </row>
    <row r="90" ht="15.75" customHeight="1">
      <c r="A90" s="3">
        <v>89.0</v>
      </c>
      <c r="B90" s="3" t="s">
        <v>23</v>
      </c>
      <c r="C90" s="3" t="s">
        <v>68</v>
      </c>
      <c r="D90" s="3" t="s">
        <v>69</v>
      </c>
      <c r="E90" s="3" t="s">
        <v>70</v>
      </c>
      <c r="F90" s="3">
        <v>1739653.0</v>
      </c>
      <c r="G90" s="4">
        <v>46018.0</v>
      </c>
      <c r="H90" s="4">
        <v>46120.0</v>
      </c>
      <c r="I90" s="3" t="s">
        <v>368</v>
      </c>
      <c r="J90" s="3" t="s">
        <v>369</v>
      </c>
      <c r="K90" s="3" t="s">
        <v>73</v>
      </c>
      <c r="L90" s="3">
        <v>0.5026</v>
      </c>
      <c r="M90" s="3">
        <v>12565.0</v>
      </c>
      <c r="N90" s="3">
        <v>3.0</v>
      </c>
      <c r="O90" s="3">
        <v>108511.0</v>
      </c>
      <c r="P90" s="3" t="s">
        <v>370</v>
      </c>
      <c r="Q90" s="3">
        <v>1033230.0</v>
      </c>
      <c r="R90" s="3"/>
      <c r="S90" s="3">
        <v>10052.0</v>
      </c>
      <c r="T90" s="3" t="s">
        <v>37</v>
      </c>
      <c r="U90" s="3">
        <v>10052.0</v>
      </c>
      <c r="V90" s="5">
        <f>(DATE(2026,2,3)-'RICE_Insured Farms_with PPI Pol'!$G90)+IF('RICE_Insured Farms_with PPI Pol'!$H90&lt;&gt;'RICE_Insured Farms_with PPI Pol'!$G90,18,0)</f>
        <v>56</v>
      </c>
      <c r="W90" s="3" t="str">
        <f t="array" ref="W90">IFS(V90&gt;120, "Harvested", V90&gt;=113, "Yellow Ripening", V90&gt;=101, "Dough Stage", V90&gt;=93, "Milking Stage", V90&gt;=86, "Flowering", V90&gt;=56, "Panicle Initiation/Booting", V90&lt;56, "Vegetative/Tillering")</f>
        <v>Panicle Initiation/Booting</v>
      </c>
    </row>
    <row r="91" ht="15.75" customHeight="1">
      <c r="A91" s="3">
        <v>90.0</v>
      </c>
      <c r="B91" s="3" t="s">
        <v>23</v>
      </c>
      <c r="C91" s="3" t="s">
        <v>68</v>
      </c>
      <c r="D91" s="3" t="s">
        <v>69</v>
      </c>
      <c r="E91" s="3" t="s">
        <v>70</v>
      </c>
      <c r="F91" s="3">
        <v>1739652.0</v>
      </c>
      <c r="G91" s="4">
        <v>46018.0</v>
      </c>
      <c r="H91" s="4">
        <v>46120.0</v>
      </c>
      <c r="I91" s="3" t="s">
        <v>368</v>
      </c>
      <c r="J91" s="3" t="s">
        <v>371</v>
      </c>
      <c r="K91" s="3" t="s">
        <v>372</v>
      </c>
      <c r="L91" s="3">
        <v>1.0</v>
      </c>
      <c r="M91" s="3">
        <v>25000.0</v>
      </c>
      <c r="N91" s="3">
        <v>3.0</v>
      </c>
      <c r="O91" s="3">
        <v>307976.0</v>
      </c>
      <c r="P91" s="3" t="s">
        <v>373</v>
      </c>
      <c r="Q91" s="3">
        <v>1024461.0</v>
      </c>
      <c r="R91" s="3"/>
      <c r="S91" s="3">
        <v>20000.0</v>
      </c>
      <c r="T91" s="3" t="s">
        <v>37</v>
      </c>
      <c r="U91" s="3">
        <v>20000.0</v>
      </c>
      <c r="V91" s="5">
        <f>(DATE(2026,2,3)-'RICE_Insured Farms_with PPI Pol'!$G91)+IF('RICE_Insured Farms_with PPI Pol'!$H91&lt;&gt;'RICE_Insured Farms_with PPI Pol'!$G91,18,0)</f>
        <v>56</v>
      </c>
      <c r="W91" s="3" t="str">
        <f t="array" ref="W91">IFS(V91&gt;120, "Harvested", V91&gt;=113, "Yellow Ripening", V91&gt;=101, "Dough Stage", V91&gt;=93, "Milking Stage", V91&gt;=86, "Flowering", V91&gt;=56, "Panicle Initiation/Booting", V91&lt;56, "Vegetative/Tillering")</f>
        <v>Panicle Initiation/Booting</v>
      </c>
    </row>
    <row r="92" ht="15.75" customHeight="1">
      <c r="A92" s="3">
        <v>91.0</v>
      </c>
      <c r="B92" s="3" t="s">
        <v>23</v>
      </c>
      <c r="C92" s="3" t="s">
        <v>68</v>
      </c>
      <c r="D92" s="3" t="s">
        <v>69</v>
      </c>
      <c r="E92" s="3" t="s">
        <v>70</v>
      </c>
      <c r="F92" s="3">
        <v>1739652.0</v>
      </c>
      <c r="G92" s="4">
        <v>46018.0</v>
      </c>
      <c r="H92" s="4">
        <v>46120.0</v>
      </c>
      <c r="I92" s="3" t="s">
        <v>368</v>
      </c>
      <c r="J92" s="3" t="s">
        <v>371</v>
      </c>
      <c r="K92" s="3" t="s">
        <v>372</v>
      </c>
      <c r="L92" s="3">
        <v>1.1</v>
      </c>
      <c r="M92" s="3">
        <v>27500.0</v>
      </c>
      <c r="N92" s="3">
        <v>3.0</v>
      </c>
      <c r="O92" s="3">
        <v>307976.0</v>
      </c>
      <c r="P92" s="3" t="s">
        <v>373</v>
      </c>
      <c r="Q92" s="3">
        <v>1137857.0</v>
      </c>
      <c r="R92" s="3"/>
      <c r="S92" s="3">
        <v>22000.0</v>
      </c>
      <c r="T92" s="3" t="s">
        <v>37</v>
      </c>
      <c r="U92" s="3">
        <v>22000.0</v>
      </c>
      <c r="V92" s="5">
        <f>(DATE(2026,2,3)-'RICE_Insured Farms_with PPI Pol'!$G92)+IF('RICE_Insured Farms_with PPI Pol'!$H92&lt;&gt;'RICE_Insured Farms_with PPI Pol'!$G92,18,0)</f>
        <v>56</v>
      </c>
      <c r="W92" s="3" t="str">
        <f t="array" ref="W92">IFS(V92&gt;120, "Harvested", V92&gt;=113, "Yellow Ripening", V92&gt;=101, "Dough Stage", V92&gt;=93, "Milking Stage", V92&gt;=86, "Flowering", V92&gt;=56, "Panicle Initiation/Booting", V92&lt;56, "Vegetative/Tillering")</f>
        <v>Panicle Initiation/Booting</v>
      </c>
    </row>
    <row r="93" ht="15.75" customHeight="1">
      <c r="A93" s="3">
        <v>92.0</v>
      </c>
      <c r="B93" s="3" t="s">
        <v>23</v>
      </c>
      <c r="C93" s="3" t="s">
        <v>311</v>
      </c>
      <c r="D93" s="3" t="s">
        <v>374</v>
      </c>
      <c r="E93" s="3" t="s">
        <v>375</v>
      </c>
      <c r="F93" s="3">
        <v>1760903.0</v>
      </c>
      <c r="G93" s="4">
        <v>46019.0</v>
      </c>
      <c r="H93" s="4">
        <v>46114.0</v>
      </c>
      <c r="I93" s="3" t="s">
        <v>376</v>
      </c>
      <c r="J93" s="3" t="s">
        <v>377</v>
      </c>
      <c r="K93" s="3" t="s">
        <v>378</v>
      </c>
      <c r="L93" s="3">
        <v>1.1744</v>
      </c>
      <c r="M93" s="3">
        <v>29360.0</v>
      </c>
      <c r="N93" s="3">
        <v>3.0</v>
      </c>
      <c r="O93" s="3">
        <v>417018.0</v>
      </c>
      <c r="P93" s="3" t="s">
        <v>379</v>
      </c>
      <c r="Q93" s="3">
        <v>947830.0</v>
      </c>
      <c r="R93" s="3"/>
      <c r="S93" s="3">
        <v>23488.0</v>
      </c>
      <c r="T93" s="3" t="s">
        <v>37</v>
      </c>
      <c r="U93" s="3">
        <v>23488.0</v>
      </c>
      <c r="V93" s="5">
        <f>(DATE(2026,2,3)-'RICE_Insured Farms_with PPI Pol'!$G93)+IF('RICE_Insured Farms_with PPI Pol'!$H93&lt;&gt;'RICE_Insured Farms_with PPI Pol'!$G93,18,0)</f>
        <v>55</v>
      </c>
      <c r="W93" s="3" t="str">
        <f t="array" ref="W93">IFS(V93&gt;120, "Harvested", V93&gt;=113, "Yellow Ripening", V93&gt;=101, "Dough Stage", V93&gt;=93, "Milking Stage", V93&gt;=86, "Flowering", V93&gt;=56, "Panicle Initiation/Booting", V93&lt;56, "Vegetative/Tillering")</f>
        <v>Vegetative/Tillering</v>
      </c>
    </row>
    <row r="94" ht="15.75" customHeight="1">
      <c r="A94" s="3">
        <v>93.0</v>
      </c>
      <c r="B94" s="3" t="s">
        <v>23</v>
      </c>
      <c r="C94" s="3" t="s">
        <v>311</v>
      </c>
      <c r="D94" s="3" t="s">
        <v>329</v>
      </c>
      <c r="E94" s="3" t="s">
        <v>330</v>
      </c>
      <c r="F94" s="3">
        <v>1740205.0</v>
      </c>
      <c r="G94" s="4">
        <v>46030.0</v>
      </c>
      <c r="H94" s="4">
        <v>46125.0</v>
      </c>
      <c r="I94" s="3" t="s">
        <v>380</v>
      </c>
      <c r="J94" s="3" t="s">
        <v>381</v>
      </c>
      <c r="K94" s="3" t="s">
        <v>382</v>
      </c>
      <c r="L94" s="3">
        <v>1.3</v>
      </c>
      <c r="M94" s="3">
        <v>32500.0</v>
      </c>
      <c r="N94" s="3">
        <v>3.0</v>
      </c>
      <c r="O94" s="3">
        <v>206993.0</v>
      </c>
      <c r="P94" s="3" t="s">
        <v>383</v>
      </c>
      <c r="Q94" s="3">
        <v>1034934.0</v>
      </c>
      <c r="R94" s="3"/>
      <c r="S94" s="3">
        <v>26000.0</v>
      </c>
      <c r="T94" s="3" t="s">
        <v>37</v>
      </c>
      <c r="U94" s="3">
        <v>26000.0</v>
      </c>
      <c r="V94" s="5">
        <f>(DATE(2026,2,3)-'RICE_Insured Farms_with PPI Pol'!$G94)+IF('RICE_Insured Farms_with PPI Pol'!$H94&lt;&gt;'RICE_Insured Farms_with PPI Pol'!$G94,18,0)</f>
        <v>44</v>
      </c>
      <c r="W94" s="3" t="str">
        <f t="array" ref="W94">IFS(V94&gt;120, "Harvested", V94&gt;=113, "Yellow Ripening", V94&gt;=101, "Dough Stage", V94&gt;=93, "Milking Stage", V94&gt;=86, "Flowering", V94&gt;=56, "Panicle Initiation/Booting", V94&lt;56, "Vegetative/Tillering")</f>
        <v>Vegetative/Tillering</v>
      </c>
    </row>
    <row r="95" ht="15.75" hidden="1" customHeight="1">
      <c r="A95" s="3">
        <v>94.0</v>
      </c>
      <c r="B95" s="3" t="s">
        <v>23</v>
      </c>
      <c r="C95" s="3" t="s">
        <v>121</v>
      </c>
      <c r="D95" s="3" t="s">
        <v>384</v>
      </c>
      <c r="E95" s="3" t="s">
        <v>385</v>
      </c>
      <c r="F95" s="3">
        <v>1742526.0</v>
      </c>
      <c r="G95" s="4">
        <v>46035.0</v>
      </c>
      <c r="H95" s="4">
        <v>46130.0</v>
      </c>
      <c r="I95" s="3" t="s">
        <v>386</v>
      </c>
      <c r="J95" s="3" t="s">
        <v>387</v>
      </c>
      <c r="K95" s="3" t="s">
        <v>388</v>
      </c>
      <c r="L95" s="3">
        <v>0.6026</v>
      </c>
      <c r="M95" s="3">
        <v>15065.0</v>
      </c>
      <c r="N95" s="3">
        <v>2.0</v>
      </c>
      <c r="O95" s="3">
        <v>436970.0</v>
      </c>
      <c r="P95" s="3" t="s">
        <v>389</v>
      </c>
      <c r="Q95" s="3">
        <v>1065461.0</v>
      </c>
      <c r="R95" s="3"/>
      <c r="S95" s="3">
        <v>10545.5</v>
      </c>
      <c r="T95" s="3" t="s">
        <v>31</v>
      </c>
      <c r="U95" s="3">
        <v>10545.5</v>
      </c>
      <c r="V95" s="5">
        <f>(DATE(2026,2,3)-'RICE_Insured Farms_with PPI Pol'!$G95)+IF('RICE_Insured Farms_with PPI Pol'!$H95&lt;&gt;'RICE_Insured Farms_with PPI Pol'!$G95,18,0)</f>
        <v>39</v>
      </c>
      <c r="W95" s="3" t="str">
        <f t="array" ref="W95">IFS(V95&gt;120, "Harvested", V95&gt;=113, "Yellow Ripening", V95&gt;=101, "Dough Stage", V95&gt;=93, "Milking Stage", V95&gt;=86, "Flowering", V95&gt;=56, "Panicle Initiation/Booting", V95&lt;56, "Vegetative/Tillering")</f>
        <v>Vegetative/Tillering</v>
      </c>
    </row>
    <row r="96" ht="15.75" customHeight="1">
      <c r="A96" s="3">
        <v>95.0</v>
      </c>
      <c r="B96" s="3" t="s">
        <v>23</v>
      </c>
      <c r="C96" s="3" t="s">
        <v>24</v>
      </c>
      <c r="D96" s="3" t="s">
        <v>390</v>
      </c>
      <c r="E96" s="3" t="s">
        <v>391</v>
      </c>
      <c r="F96" s="3">
        <v>1760472.0</v>
      </c>
      <c r="G96" s="4">
        <v>46003.0</v>
      </c>
      <c r="H96" s="4">
        <v>46123.0</v>
      </c>
      <c r="I96" s="3" t="s">
        <v>392</v>
      </c>
      <c r="J96" s="3" t="s">
        <v>393</v>
      </c>
      <c r="K96" s="3" t="s">
        <v>394</v>
      </c>
      <c r="L96" s="3">
        <v>1.0</v>
      </c>
      <c r="M96" s="3">
        <v>25000.0</v>
      </c>
      <c r="N96" s="3">
        <v>3.0</v>
      </c>
      <c r="O96" s="3">
        <v>307927.0</v>
      </c>
      <c r="P96" s="3" t="s">
        <v>395</v>
      </c>
      <c r="Q96" s="3">
        <v>1024554.0</v>
      </c>
      <c r="R96" s="3"/>
      <c r="S96" s="3">
        <v>20000.0</v>
      </c>
      <c r="T96" s="3" t="s">
        <v>37</v>
      </c>
      <c r="U96" s="3">
        <v>20000.0</v>
      </c>
      <c r="V96" s="5">
        <f>(DATE(2026,2,3)-'RICE_Insured Farms_with PPI Pol'!$G96)+IF('RICE_Insured Farms_with PPI Pol'!$H96&lt;&gt;'RICE_Insured Farms_with PPI Pol'!$G96,18,0)</f>
        <v>71</v>
      </c>
      <c r="W96" s="3" t="str">
        <f t="array" ref="W96">IFS(V96&gt;120, "Harvested", V96&gt;=113, "Yellow Ripening", V96&gt;=101, "Dough Stage", V96&gt;=93, "Milking Stage", V96&gt;=86, "Flowering", V96&gt;=56, "Panicle Initiation/Booting", V96&lt;56, "Vegetative/Tillering")</f>
        <v>Panicle Initiation/Booting</v>
      </c>
    </row>
    <row r="97" ht="15.75" customHeight="1">
      <c r="A97" s="3">
        <v>96.0</v>
      </c>
      <c r="B97" s="3" t="s">
        <v>23</v>
      </c>
      <c r="C97" s="3" t="s">
        <v>24</v>
      </c>
      <c r="D97" s="3" t="s">
        <v>283</v>
      </c>
      <c r="E97" s="3" t="s">
        <v>284</v>
      </c>
      <c r="F97" s="3">
        <v>1741168.0</v>
      </c>
      <c r="G97" s="4">
        <v>46020.0</v>
      </c>
      <c r="H97" s="4">
        <v>46120.0</v>
      </c>
      <c r="I97" s="3" t="s">
        <v>396</v>
      </c>
      <c r="J97" s="3" t="s">
        <v>397</v>
      </c>
      <c r="K97" s="3" t="s">
        <v>398</v>
      </c>
      <c r="L97" s="3">
        <v>0.6846</v>
      </c>
      <c r="M97" s="3">
        <v>17115.0</v>
      </c>
      <c r="N97" s="3">
        <v>3.0</v>
      </c>
      <c r="O97" s="3">
        <v>68346.0</v>
      </c>
      <c r="P97" s="3"/>
      <c r="Q97" s="3">
        <v>957178.0</v>
      </c>
      <c r="R97" s="3"/>
      <c r="S97" s="3">
        <v>13692.0</v>
      </c>
      <c r="T97" s="3" t="s">
        <v>37</v>
      </c>
      <c r="U97" s="3">
        <v>13692.0</v>
      </c>
      <c r="V97" s="5">
        <f>(DATE(2026,2,3)-'RICE_Insured Farms_with PPI Pol'!$G97)+IF('RICE_Insured Farms_with PPI Pol'!$H97&lt;&gt;'RICE_Insured Farms_with PPI Pol'!$G97,18,0)</f>
        <v>54</v>
      </c>
      <c r="W97" s="3" t="str">
        <f t="array" ref="W97">IFS(V97&gt;120, "Harvested", V97&gt;=113, "Yellow Ripening", V97&gt;=101, "Dough Stage", V97&gt;=93, "Milking Stage", V97&gt;=86, "Flowering", V97&gt;=56, "Panicle Initiation/Booting", V97&lt;56, "Vegetative/Tillering")</f>
        <v>Vegetative/Tillering</v>
      </c>
    </row>
    <row r="98" ht="15.75" hidden="1" customHeight="1">
      <c r="A98" s="3">
        <v>97.0</v>
      </c>
      <c r="B98" s="3" t="s">
        <v>23</v>
      </c>
      <c r="C98" s="3" t="s">
        <v>121</v>
      </c>
      <c r="D98" s="3" t="s">
        <v>399</v>
      </c>
      <c r="E98" s="3" t="s">
        <v>400</v>
      </c>
      <c r="F98" s="3">
        <v>1760154.0</v>
      </c>
      <c r="G98" s="4">
        <v>46030.0</v>
      </c>
      <c r="H98" s="4">
        <v>46150.0</v>
      </c>
      <c r="I98" s="3" t="s">
        <v>401</v>
      </c>
      <c r="J98" s="3" t="s">
        <v>402</v>
      </c>
      <c r="K98" s="3" t="s">
        <v>403</v>
      </c>
      <c r="L98" s="3">
        <v>0.75</v>
      </c>
      <c r="M98" s="3">
        <v>18750.0</v>
      </c>
      <c r="N98" s="3">
        <v>1.0</v>
      </c>
      <c r="O98" s="3">
        <v>355284.0</v>
      </c>
      <c r="P98" s="3" t="s">
        <v>404</v>
      </c>
      <c r="Q98" s="3">
        <v>1032750.0</v>
      </c>
      <c r="R98" s="3"/>
      <c r="S98" s="3">
        <v>11250.0</v>
      </c>
      <c r="T98" s="3" t="s">
        <v>62</v>
      </c>
      <c r="U98" s="3">
        <v>11250.0</v>
      </c>
      <c r="V98" s="5">
        <f>(DATE(2026,2,3)-'RICE_Insured Farms_with PPI Pol'!$G98)+IF('RICE_Insured Farms_with PPI Pol'!$H98&lt;&gt;'RICE_Insured Farms_with PPI Pol'!$G98,18,0)</f>
        <v>44</v>
      </c>
      <c r="W98" s="3" t="str">
        <f t="array" ref="W98">IFS(V98&gt;120, "Harvested", V98&gt;=113, "Yellow Ripening", V98&gt;=101, "Dough Stage", V98&gt;=93, "Milking Stage", V98&gt;=86, "Flowering", V98&gt;=56, "Panicle Initiation/Booting", V98&lt;56, "Vegetative/Tillering")</f>
        <v>Vegetative/Tillering</v>
      </c>
    </row>
    <row r="99" ht="15.75" customHeight="1">
      <c r="A99" s="3">
        <v>98.0</v>
      </c>
      <c r="B99" s="3" t="s">
        <v>23</v>
      </c>
      <c r="C99" s="3" t="s">
        <v>68</v>
      </c>
      <c r="D99" s="3" t="s">
        <v>262</v>
      </c>
      <c r="E99" s="3" t="s">
        <v>405</v>
      </c>
      <c r="F99" s="3">
        <v>1739586.0</v>
      </c>
      <c r="G99" s="4">
        <v>46012.0</v>
      </c>
      <c r="H99" s="4">
        <v>46114.0</v>
      </c>
      <c r="I99" s="3" t="s">
        <v>406</v>
      </c>
      <c r="J99" s="3" t="s">
        <v>407</v>
      </c>
      <c r="K99" s="3" t="s">
        <v>408</v>
      </c>
      <c r="L99" s="3">
        <v>0.5</v>
      </c>
      <c r="M99" s="3">
        <v>12500.0</v>
      </c>
      <c r="N99" s="3">
        <v>3.0</v>
      </c>
      <c r="O99" s="3">
        <v>331405.0</v>
      </c>
      <c r="P99" s="3" t="s">
        <v>409</v>
      </c>
      <c r="Q99" s="3">
        <v>1029521.0</v>
      </c>
      <c r="R99" s="3"/>
      <c r="S99" s="3">
        <v>10000.0</v>
      </c>
      <c r="T99" s="3" t="s">
        <v>37</v>
      </c>
      <c r="U99" s="3">
        <v>10000.0</v>
      </c>
      <c r="V99" s="5">
        <f>(DATE(2026,2,3)-'RICE_Insured Farms_with PPI Pol'!$G99)+IF('RICE_Insured Farms_with PPI Pol'!$H99&lt;&gt;'RICE_Insured Farms_with PPI Pol'!$G99,18,0)</f>
        <v>62</v>
      </c>
      <c r="W99" s="3" t="str">
        <f t="array" ref="W99">IFS(V99&gt;120, "Harvested", V99&gt;=113, "Yellow Ripening", V99&gt;=101, "Dough Stage", V99&gt;=93, "Milking Stage", V99&gt;=86, "Flowering", V99&gt;=56, "Panicle Initiation/Booting", V99&lt;56, "Vegetative/Tillering")</f>
        <v>Panicle Initiation/Booting</v>
      </c>
    </row>
    <row r="100" ht="15.75" hidden="1" customHeight="1">
      <c r="A100" s="3">
        <v>99.0</v>
      </c>
      <c r="B100" s="3" t="s">
        <v>23</v>
      </c>
      <c r="C100" s="3" t="s">
        <v>68</v>
      </c>
      <c r="D100" s="3" t="s">
        <v>410</v>
      </c>
      <c r="E100" s="3" t="s">
        <v>411</v>
      </c>
      <c r="F100" s="3">
        <v>1176170.0</v>
      </c>
      <c r="G100" s="4">
        <v>46036.0</v>
      </c>
      <c r="H100" s="4">
        <v>46138.0</v>
      </c>
      <c r="I100" s="3" t="s">
        <v>412</v>
      </c>
      <c r="J100" s="3" t="s">
        <v>413</v>
      </c>
      <c r="K100" s="3" t="s">
        <v>414</v>
      </c>
      <c r="L100" s="3">
        <v>0.5351</v>
      </c>
      <c r="M100" s="3">
        <v>13377.5</v>
      </c>
      <c r="N100" s="3">
        <v>2.0</v>
      </c>
      <c r="O100" s="3">
        <v>420711.0</v>
      </c>
      <c r="P100" s="3" t="s">
        <v>415</v>
      </c>
      <c r="Q100" s="3">
        <v>970508.0</v>
      </c>
      <c r="R100" s="3"/>
      <c r="S100" s="3">
        <v>9364.25</v>
      </c>
      <c r="T100" s="3" t="s">
        <v>31</v>
      </c>
      <c r="U100" s="3">
        <v>9364.25</v>
      </c>
      <c r="V100" s="5">
        <f>(DATE(2026,2,3)-'RICE_Insured Farms_with PPI Pol'!$G100)+IF('RICE_Insured Farms_with PPI Pol'!$H100&lt;&gt;'RICE_Insured Farms_with PPI Pol'!$G100,18,0)</f>
        <v>38</v>
      </c>
      <c r="W100" s="3" t="str">
        <f t="array" ref="W100">IFS(V100&gt;120, "Harvested", V100&gt;=113, "Yellow Ripening", V100&gt;=101, "Dough Stage", V100&gt;=93, "Milking Stage", V100&gt;=86, "Flowering", V100&gt;=56, "Panicle Initiation/Booting", V100&lt;56, "Vegetative/Tillering")</f>
        <v>Vegetative/Tillering</v>
      </c>
    </row>
    <row r="101" ht="15.75" hidden="1" customHeight="1">
      <c r="A101" s="3">
        <v>100.0</v>
      </c>
      <c r="B101" s="3" t="s">
        <v>23</v>
      </c>
      <c r="C101" s="3" t="s">
        <v>68</v>
      </c>
      <c r="D101" s="3" t="s">
        <v>69</v>
      </c>
      <c r="E101" s="3" t="s">
        <v>416</v>
      </c>
      <c r="F101" s="3">
        <v>1739651.0</v>
      </c>
      <c r="G101" s="4">
        <v>46029.0</v>
      </c>
      <c r="H101" s="4">
        <v>46131.0</v>
      </c>
      <c r="I101" s="3" t="s">
        <v>417</v>
      </c>
      <c r="J101" s="3" t="s">
        <v>418</v>
      </c>
      <c r="K101" s="3" t="s">
        <v>419</v>
      </c>
      <c r="L101" s="3">
        <v>0.75</v>
      </c>
      <c r="M101" s="3">
        <v>18750.0</v>
      </c>
      <c r="N101" s="3">
        <v>2.0</v>
      </c>
      <c r="O101" s="3">
        <v>152061.0</v>
      </c>
      <c r="P101" s="3"/>
      <c r="Q101" s="3">
        <v>1025323.0</v>
      </c>
      <c r="R101" s="3"/>
      <c r="S101" s="3">
        <v>13125.0</v>
      </c>
      <c r="T101" s="3" t="s">
        <v>31</v>
      </c>
      <c r="U101" s="3">
        <v>13125.0</v>
      </c>
      <c r="V101" s="5">
        <f>(DATE(2026,2,3)-'RICE_Insured Farms_with PPI Pol'!$G101)+IF('RICE_Insured Farms_with PPI Pol'!$H101&lt;&gt;'RICE_Insured Farms_with PPI Pol'!$G101,18,0)</f>
        <v>45</v>
      </c>
      <c r="W101" s="3" t="str">
        <f t="array" ref="W101">IFS(V101&gt;120, "Harvested", V101&gt;=113, "Yellow Ripening", V101&gt;=101, "Dough Stage", V101&gt;=93, "Milking Stage", V101&gt;=86, "Flowering", V101&gt;=56, "Panicle Initiation/Booting", V101&lt;56, "Vegetative/Tillering")</f>
        <v>Vegetative/Tillering</v>
      </c>
    </row>
    <row r="102" ht="15.75" hidden="1" customHeight="1">
      <c r="A102" s="3">
        <v>101.0</v>
      </c>
      <c r="B102" s="3" t="s">
        <v>23</v>
      </c>
      <c r="C102" s="3" t="s">
        <v>68</v>
      </c>
      <c r="D102" s="3" t="s">
        <v>420</v>
      </c>
      <c r="E102" s="3" t="s">
        <v>421</v>
      </c>
      <c r="F102" s="3">
        <v>1197002.0</v>
      </c>
      <c r="G102" s="4">
        <v>46052.0</v>
      </c>
      <c r="H102" s="4">
        <v>46154.0</v>
      </c>
      <c r="I102" s="3" t="s">
        <v>422</v>
      </c>
      <c r="J102" s="3" t="s">
        <v>423</v>
      </c>
      <c r="K102" s="3" t="s">
        <v>424</v>
      </c>
      <c r="L102" s="3">
        <v>0.3002</v>
      </c>
      <c r="M102" s="3">
        <v>7505.0</v>
      </c>
      <c r="N102" s="3">
        <v>1.0</v>
      </c>
      <c r="O102" s="3">
        <v>306649.0</v>
      </c>
      <c r="P102" s="3" t="s">
        <v>425</v>
      </c>
      <c r="Q102" s="3">
        <v>1091173.0</v>
      </c>
      <c r="R102" s="3"/>
      <c r="S102" s="3">
        <v>4503.0</v>
      </c>
      <c r="T102" s="3" t="s">
        <v>62</v>
      </c>
      <c r="U102" s="3">
        <v>4503.0</v>
      </c>
      <c r="V102" s="5">
        <f>(DATE(2026,2,3)-'RICE_Insured Farms_with PPI Pol'!$G102)+IF('RICE_Insured Farms_with PPI Pol'!$H102&lt;&gt;'RICE_Insured Farms_with PPI Pol'!$G102,18,0)</f>
        <v>22</v>
      </c>
      <c r="W102" s="3" t="str">
        <f t="array" ref="W102">IFS(V102&gt;120, "Harvested", V102&gt;=113, "Yellow Ripening", V102&gt;=101, "Dough Stage", V102&gt;=93, "Milking Stage", V102&gt;=86, "Flowering", V102&gt;=56, "Panicle Initiation/Booting", V102&lt;56, "Vegetative/Tillering")</f>
        <v>Vegetative/Tillering</v>
      </c>
    </row>
    <row r="103" ht="15.75" hidden="1" customHeight="1">
      <c r="A103" s="3">
        <v>102.0</v>
      </c>
      <c r="B103" s="3" t="s">
        <v>23</v>
      </c>
      <c r="C103" s="3" t="s">
        <v>68</v>
      </c>
      <c r="D103" s="3" t="s">
        <v>420</v>
      </c>
      <c r="E103" s="3" t="s">
        <v>421</v>
      </c>
      <c r="F103" s="3">
        <v>1196998.0</v>
      </c>
      <c r="G103" s="4">
        <v>46048.0</v>
      </c>
      <c r="H103" s="4">
        <v>46150.0</v>
      </c>
      <c r="I103" s="3" t="s">
        <v>422</v>
      </c>
      <c r="J103" s="3" t="s">
        <v>426</v>
      </c>
      <c r="K103" s="3" t="s">
        <v>424</v>
      </c>
      <c r="L103" s="3">
        <v>0.8</v>
      </c>
      <c r="M103" s="3">
        <v>20000.0</v>
      </c>
      <c r="N103" s="3">
        <v>1.0</v>
      </c>
      <c r="O103" s="3">
        <v>297157.0</v>
      </c>
      <c r="P103" s="3" t="s">
        <v>427</v>
      </c>
      <c r="Q103" s="3">
        <v>1089228.0</v>
      </c>
      <c r="R103" s="3"/>
      <c r="S103" s="3">
        <v>12000.0</v>
      </c>
      <c r="T103" s="3" t="s">
        <v>62</v>
      </c>
      <c r="U103" s="3">
        <v>12000.0</v>
      </c>
      <c r="V103" s="5">
        <f>(DATE(2026,2,3)-'RICE_Insured Farms_with PPI Pol'!$G103)+IF('RICE_Insured Farms_with PPI Pol'!$H103&lt;&gt;'RICE_Insured Farms_with PPI Pol'!$G103,18,0)</f>
        <v>26</v>
      </c>
      <c r="W103" s="3" t="str">
        <f t="array" ref="W103">IFS(V103&gt;120, "Harvested", V103&gt;=113, "Yellow Ripening", V103&gt;=101, "Dough Stage", V103&gt;=93, "Milking Stage", V103&gt;=86, "Flowering", V103&gt;=56, "Panicle Initiation/Booting", V103&lt;56, "Vegetative/Tillering")</f>
        <v>Vegetative/Tillering</v>
      </c>
    </row>
    <row r="104" ht="15.75" hidden="1" customHeight="1">
      <c r="A104" s="3">
        <v>103.0</v>
      </c>
      <c r="B104" s="3" t="s">
        <v>23</v>
      </c>
      <c r="C104" s="3" t="s">
        <v>68</v>
      </c>
      <c r="D104" s="3" t="s">
        <v>289</v>
      </c>
      <c r="E104" s="3" t="s">
        <v>363</v>
      </c>
      <c r="F104" s="3">
        <v>1760048.0</v>
      </c>
      <c r="G104" s="4">
        <v>46031.0</v>
      </c>
      <c r="H104" s="4">
        <v>46133.0</v>
      </c>
      <c r="I104" s="3" t="s">
        <v>428</v>
      </c>
      <c r="J104" s="3" t="s">
        <v>230</v>
      </c>
      <c r="K104" s="3" t="s">
        <v>429</v>
      </c>
      <c r="L104" s="3">
        <v>0.5356</v>
      </c>
      <c r="M104" s="3">
        <v>13390.0</v>
      </c>
      <c r="N104" s="3">
        <v>2.0</v>
      </c>
      <c r="O104" s="3">
        <v>128397.0</v>
      </c>
      <c r="P104" s="3" t="s">
        <v>430</v>
      </c>
      <c r="Q104" s="3">
        <v>1040052.0</v>
      </c>
      <c r="R104" s="3"/>
      <c r="S104" s="3">
        <v>9373.0</v>
      </c>
      <c r="T104" s="3" t="s">
        <v>31</v>
      </c>
      <c r="U104" s="3">
        <v>9373.0</v>
      </c>
      <c r="V104" s="5">
        <f>(DATE(2026,2,3)-'RICE_Insured Farms_with PPI Pol'!$G104)+IF('RICE_Insured Farms_with PPI Pol'!$H104&lt;&gt;'RICE_Insured Farms_with PPI Pol'!$G104,18,0)</f>
        <v>43</v>
      </c>
      <c r="W104" s="3" t="str">
        <f t="array" ref="W104">IFS(V104&gt;120, "Harvested", V104&gt;=113, "Yellow Ripening", V104&gt;=101, "Dough Stage", V104&gt;=93, "Milking Stage", V104&gt;=86, "Flowering", V104&gt;=56, "Panicle Initiation/Booting", V104&lt;56, "Vegetative/Tillering")</f>
        <v>Vegetative/Tillering</v>
      </c>
    </row>
    <row r="105" ht="15.75" hidden="1" customHeight="1">
      <c r="A105" s="3">
        <v>104.0</v>
      </c>
      <c r="B105" s="3" t="s">
        <v>23</v>
      </c>
      <c r="C105" s="3" t="s">
        <v>68</v>
      </c>
      <c r="D105" s="3" t="s">
        <v>289</v>
      </c>
      <c r="E105" s="3" t="s">
        <v>431</v>
      </c>
      <c r="F105" s="3">
        <v>1760038.0</v>
      </c>
      <c r="G105" s="4">
        <v>46034.0</v>
      </c>
      <c r="H105" s="4">
        <v>46136.0</v>
      </c>
      <c r="I105" s="3" t="s">
        <v>432</v>
      </c>
      <c r="J105" s="3" t="s">
        <v>433</v>
      </c>
      <c r="K105" s="3" t="s">
        <v>434</v>
      </c>
      <c r="L105" s="3">
        <v>2.5806</v>
      </c>
      <c r="M105" s="3">
        <v>64515.0</v>
      </c>
      <c r="N105" s="3">
        <v>2.0</v>
      </c>
      <c r="O105" s="3">
        <v>31161.0</v>
      </c>
      <c r="P105" s="3" t="s">
        <v>435</v>
      </c>
      <c r="Q105" s="3">
        <v>949789.0</v>
      </c>
      <c r="R105" s="3"/>
      <c r="S105" s="3">
        <v>45160.5</v>
      </c>
      <c r="T105" s="3" t="s">
        <v>31</v>
      </c>
      <c r="U105" s="3">
        <v>45160.5</v>
      </c>
      <c r="V105" s="5">
        <f>(DATE(2026,2,3)-'RICE_Insured Farms_with PPI Pol'!$G105)+IF('RICE_Insured Farms_with PPI Pol'!$H105&lt;&gt;'RICE_Insured Farms_with PPI Pol'!$G105,18,0)</f>
        <v>40</v>
      </c>
      <c r="W105" s="3" t="str">
        <f t="array" ref="W105">IFS(V105&gt;120, "Harvested", V105&gt;=113, "Yellow Ripening", V105&gt;=101, "Dough Stage", V105&gt;=93, "Milking Stage", V105&gt;=86, "Flowering", V105&gt;=56, "Panicle Initiation/Booting", V105&lt;56, "Vegetative/Tillering")</f>
        <v>Vegetative/Tillering</v>
      </c>
    </row>
    <row r="106" ht="15.75" customHeight="1">
      <c r="A106" s="3">
        <v>105.0</v>
      </c>
      <c r="B106" s="3" t="s">
        <v>23</v>
      </c>
      <c r="C106" s="3" t="s">
        <v>68</v>
      </c>
      <c r="D106" s="3" t="s">
        <v>262</v>
      </c>
      <c r="E106" s="3" t="s">
        <v>273</v>
      </c>
      <c r="F106" s="3">
        <v>1739585.0</v>
      </c>
      <c r="G106" s="4">
        <v>46020.0</v>
      </c>
      <c r="H106" s="4">
        <v>46122.0</v>
      </c>
      <c r="I106" s="3" t="s">
        <v>436</v>
      </c>
      <c r="J106" s="3" t="s">
        <v>437</v>
      </c>
      <c r="K106" s="3" t="s">
        <v>438</v>
      </c>
      <c r="L106" s="3">
        <v>0.5219</v>
      </c>
      <c r="M106" s="3">
        <v>13047.5</v>
      </c>
      <c r="N106" s="3">
        <v>3.0</v>
      </c>
      <c r="O106" s="3">
        <v>334228.0</v>
      </c>
      <c r="P106" s="3" t="s">
        <v>439</v>
      </c>
      <c r="Q106" s="3">
        <v>1039570.0</v>
      </c>
      <c r="R106" s="3"/>
      <c r="S106" s="3">
        <v>10438.0</v>
      </c>
      <c r="T106" s="3" t="s">
        <v>37</v>
      </c>
      <c r="U106" s="3">
        <v>10438.0</v>
      </c>
      <c r="V106" s="5">
        <f>(DATE(2026,2,3)-'RICE_Insured Farms_with PPI Pol'!$G106)+IF('RICE_Insured Farms_with PPI Pol'!$H106&lt;&gt;'RICE_Insured Farms_with PPI Pol'!$G106,18,0)</f>
        <v>54</v>
      </c>
      <c r="W106" s="3" t="str">
        <f t="array" ref="W106">IFS(V106&gt;120, "Harvested", V106&gt;=113, "Yellow Ripening", V106&gt;=101, "Dough Stage", V106&gt;=93, "Milking Stage", V106&gt;=86, "Flowering", V106&gt;=56, "Panicle Initiation/Booting", V106&lt;56, "Vegetative/Tillering")</f>
        <v>Vegetative/Tillering</v>
      </c>
    </row>
    <row r="107" ht="15.75" hidden="1" customHeight="1">
      <c r="A107" s="3">
        <v>9.0</v>
      </c>
      <c r="B107" s="3" t="s">
        <v>23</v>
      </c>
      <c r="C107" s="3" t="s">
        <v>24</v>
      </c>
      <c r="D107" s="3" t="s">
        <v>25</v>
      </c>
      <c r="E107" s="3" t="s">
        <v>144</v>
      </c>
      <c r="F107" s="3">
        <v>1760463.0</v>
      </c>
      <c r="G107" s="4">
        <v>46016.0</v>
      </c>
      <c r="H107" s="4">
        <v>46111.0</v>
      </c>
      <c r="I107" s="3" t="s">
        <v>440</v>
      </c>
      <c r="J107" s="3" t="s">
        <v>441</v>
      </c>
      <c r="K107" s="3" t="s">
        <v>442</v>
      </c>
      <c r="L107" s="3">
        <v>0.9345</v>
      </c>
      <c r="M107" s="3">
        <v>23362.5</v>
      </c>
      <c r="N107" s="3">
        <v>4.0</v>
      </c>
      <c r="O107" s="3">
        <v>1803.0</v>
      </c>
      <c r="P107" s="3" t="s">
        <v>443</v>
      </c>
      <c r="Q107" s="3">
        <v>696356.0</v>
      </c>
      <c r="R107" s="3"/>
      <c r="S107" s="3">
        <v>18690.0</v>
      </c>
      <c r="T107" s="3" t="s">
        <v>56</v>
      </c>
      <c r="U107" s="3">
        <v>18690.0</v>
      </c>
      <c r="V107" s="5">
        <f>(DATE(2026,2,3)-'RICE_Insured Farms_with PPI Pol'!$G107)+IF('RICE_Insured Farms_with PPI Pol'!$H107&lt;&gt;'RICE_Insured Farms_with PPI Pol'!$G107,18,0)</f>
        <v>58</v>
      </c>
      <c r="W107" s="3" t="str">
        <f t="array" ref="W107">IFS(V107&gt;120, "Harvested", V107&gt;=113, "Yellow Ripening", V107&gt;=101, "Dough Stage", V107&gt;=93, "Milking Stage", V107&gt;=86, "Flowering", V107&gt;=56, "Panicle Initiation/Booting", V107&lt;56, "Vegetative/Tillering")</f>
        <v>Panicle Initiation/Booting</v>
      </c>
    </row>
    <row r="108" ht="15.75" hidden="1" customHeight="1">
      <c r="A108" s="3">
        <v>107.0</v>
      </c>
      <c r="B108" s="3" t="s">
        <v>23</v>
      </c>
      <c r="C108" s="3" t="s">
        <v>311</v>
      </c>
      <c r="D108" s="3" t="s">
        <v>444</v>
      </c>
      <c r="E108" s="3" t="s">
        <v>321</v>
      </c>
      <c r="F108" s="3">
        <v>1198883.0</v>
      </c>
      <c r="G108" s="4">
        <v>46037.0</v>
      </c>
      <c r="H108" s="4">
        <v>46132.0</v>
      </c>
      <c r="I108" s="3" t="s">
        <v>445</v>
      </c>
      <c r="J108" s="3" t="s">
        <v>446</v>
      </c>
      <c r="K108" s="3" t="s">
        <v>447</v>
      </c>
      <c r="L108" s="3">
        <v>0.5</v>
      </c>
      <c r="M108" s="3">
        <v>12500.0</v>
      </c>
      <c r="N108" s="3">
        <v>2.0</v>
      </c>
      <c r="O108" s="3">
        <v>303710.0</v>
      </c>
      <c r="P108" s="3" t="s">
        <v>448</v>
      </c>
      <c r="Q108" s="3">
        <v>898526.0</v>
      </c>
      <c r="R108" s="3"/>
      <c r="S108" s="3">
        <v>8750.0</v>
      </c>
      <c r="T108" s="3" t="s">
        <v>31</v>
      </c>
      <c r="U108" s="3">
        <v>8750.0</v>
      </c>
      <c r="V108" s="5">
        <f>(DATE(2026,2,3)-'RICE_Insured Farms_with PPI Pol'!$G108)+IF('RICE_Insured Farms_with PPI Pol'!$H108&lt;&gt;'RICE_Insured Farms_with PPI Pol'!$G108,18,0)</f>
        <v>37</v>
      </c>
      <c r="W108" s="3" t="str">
        <f t="array" ref="W108">IFS(V108&gt;120, "Harvested", V108&gt;=113, "Yellow Ripening", V108&gt;=101, "Dough Stage", V108&gt;=93, "Milking Stage", V108&gt;=86, "Flowering", V108&gt;=56, "Panicle Initiation/Booting", V108&lt;56, "Vegetative/Tillering")</f>
        <v>Vegetative/Tillering</v>
      </c>
    </row>
    <row r="109" ht="15.75" hidden="1" customHeight="1">
      <c r="A109" s="3">
        <v>108.0</v>
      </c>
      <c r="B109" s="3" t="s">
        <v>23</v>
      </c>
      <c r="C109" s="3" t="s">
        <v>68</v>
      </c>
      <c r="D109" s="3" t="s">
        <v>289</v>
      </c>
      <c r="E109" s="3" t="s">
        <v>363</v>
      </c>
      <c r="F109" s="3">
        <v>1760059.0</v>
      </c>
      <c r="G109" s="4">
        <v>46035.0</v>
      </c>
      <c r="H109" s="4">
        <v>46137.0</v>
      </c>
      <c r="I109" s="3" t="s">
        <v>449</v>
      </c>
      <c r="J109" s="3" t="s">
        <v>206</v>
      </c>
      <c r="K109" s="3" t="s">
        <v>450</v>
      </c>
      <c r="L109" s="3">
        <v>0.9753</v>
      </c>
      <c r="M109" s="3">
        <v>24382.5</v>
      </c>
      <c r="N109" s="3">
        <v>2.0</v>
      </c>
      <c r="O109" s="3">
        <v>200789.0</v>
      </c>
      <c r="P109" s="3" t="s">
        <v>451</v>
      </c>
      <c r="Q109" s="3">
        <v>1040030.0</v>
      </c>
      <c r="R109" s="3"/>
      <c r="S109" s="3">
        <v>17067.75</v>
      </c>
      <c r="T109" s="3" t="s">
        <v>31</v>
      </c>
      <c r="U109" s="3">
        <v>17067.75</v>
      </c>
      <c r="V109" s="5">
        <f>(DATE(2026,2,3)-'RICE_Insured Farms_with PPI Pol'!$G109)+IF('RICE_Insured Farms_with PPI Pol'!$H109&lt;&gt;'RICE_Insured Farms_with PPI Pol'!$G109,18,0)</f>
        <v>39</v>
      </c>
      <c r="W109" s="3" t="str">
        <f t="array" ref="W109">IFS(V109&gt;120, "Harvested", V109&gt;=113, "Yellow Ripening", V109&gt;=101, "Dough Stage", V109&gt;=93, "Milking Stage", V109&gt;=86, "Flowering", V109&gt;=56, "Panicle Initiation/Booting", V109&lt;56, "Vegetative/Tillering")</f>
        <v>Vegetative/Tillering</v>
      </c>
    </row>
    <row r="110" ht="15.75" customHeight="1">
      <c r="A110" s="3">
        <v>109.0</v>
      </c>
      <c r="B110" s="3" t="s">
        <v>23</v>
      </c>
      <c r="C110" s="3" t="s">
        <v>121</v>
      </c>
      <c r="D110" s="3" t="s">
        <v>384</v>
      </c>
      <c r="E110" s="3" t="s">
        <v>452</v>
      </c>
      <c r="F110" s="3">
        <v>1742522.0</v>
      </c>
      <c r="G110" s="4">
        <v>46030.0</v>
      </c>
      <c r="H110" s="4">
        <v>46125.0</v>
      </c>
      <c r="I110" s="3" t="s">
        <v>453</v>
      </c>
      <c r="J110" s="3" t="s">
        <v>454</v>
      </c>
      <c r="K110" s="3" t="s">
        <v>455</v>
      </c>
      <c r="L110" s="3">
        <v>2.0</v>
      </c>
      <c r="M110" s="3">
        <v>50000.0</v>
      </c>
      <c r="N110" s="3">
        <v>3.0</v>
      </c>
      <c r="O110" s="3">
        <v>5817.0</v>
      </c>
      <c r="P110" s="3" t="s">
        <v>456</v>
      </c>
      <c r="Q110" s="3">
        <v>1066361.0</v>
      </c>
      <c r="R110" s="3"/>
      <c r="S110" s="3">
        <v>40000.0</v>
      </c>
      <c r="T110" s="3" t="s">
        <v>37</v>
      </c>
      <c r="U110" s="3">
        <v>40000.0</v>
      </c>
      <c r="V110" s="5">
        <f>(DATE(2026,2,3)-'RICE_Insured Farms_with PPI Pol'!$G110)+IF('RICE_Insured Farms_with PPI Pol'!$H110&lt;&gt;'RICE_Insured Farms_with PPI Pol'!$G110,18,0)</f>
        <v>44</v>
      </c>
      <c r="W110" s="3" t="str">
        <f t="array" ref="W110">IFS(V110&gt;120, "Harvested", V110&gt;=113, "Yellow Ripening", V110&gt;=101, "Dough Stage", V110&gt;=93, "Milking Stage", V110&gt;=86, "Flowering", V110&gt;=56, "Panicle Initiation/Booting", V110&lt;56, "Vegetative/Tillering")</f>
        <v>Vegetative/Tillering</v>
      </c>
    </row>
    <row r="111" ht="15.75" hidden="1" customHeight="1">
      <c r="A111" s="3">
        <v>110.0</v>
      </c>
      <c r="B111" s="3" t="s">
        <v>23</v>
      </c>
      <c r="C111" s="3" t="s">
        <v>121</v>
      </c>
      <c r="D111" s="3" t="s">
        <v>384</v>
      </c>
      <c r="E111" s="3" t="s">
        <v>385</v>
      </c>
      <c r="F111" s="3">
        <v>1742526.0</v>
      </c>
      <c r="G111" s="4">
        <v>46035.0</v>
      </c>
      <c r="H111" s="4">
        <v>46130.0</v>
      </c>
      <c r="I111" s="3" t="s">
        <v>125</v>
      </c>
      <c r="J111" s="3" t="s">
        <v>457</v>
      </c>
      <c r="K111" s="3" t="s">
        <v>458</v>
      </c>
      <c r="L111" s="3">
        <v>1.0</v>
      </c>
      <c r="M111" s="3">
        <v>25000.0</v>
      </c>
      <c r="N111" s="3">
        <v>2.0</v>
      </c>
      <c r="O111" s="3">
        <v>406943.0</v>
      </c>
      <c r="P111" s="3" t="s">
        <v>459</v>
      </c>
      <c r="Q111" s="3">
        <v>1074004.0</v>
      </c>
      <c r="R111" s="3"/>
      <c r="S111" s="3">
        <v>17500.0</v>
      </c>
      <c r="T111" s="3" t="s">
        <v>31</v>
      </c>
      <c r="U111" s="3">
        <v>17500.0</v>
      </c>
      <c r="V111" s="5">
        <f>(DATE(2026,2,3)-'RICE_Insured Farms_with PPI Pol'!$G111)+IF('RICE_Insured Farms_with PPI Pol'!$H111&lt;&gt;'RICE_Insured Farms_with PPI Pol'!$G111,18,0)</f>
        <v>39</v>
      </c>
      <c r="W111" s="3" t="str">
        <f t="array" ref="W111">IFS(V111&gt;120, "Harvested", V111&gt;=113, "Yellow Ripening", V111&gt;=101, "Dough Stage", V111&gt;=93, "Milking Stage", V111&gt;=86, "Flowering", V111&gt;=56, "Panicle Initiation/Booting", V111&lt;56, "Vegetative/Tillering")</f>
        <v>Vegetative/Tillering</v>
      </c>
    </row>
    <row r="112" ht="15.75" hidden="1" customHeight="1">
      <c r="A112" s="3">
        <v>111.0</v>
      </c>
      <c r="B112" s="3" t="s">
        <v>23</v>
      </c>
      <c r="C112" s="3" t="s">
        <v>121</v>
      </c>
      <c r="D112" s="3" t="s">
        <v>278</v>
      </c>
      <c r="E112" s="3" t="s">
        <v>279</v>
      </c>
      <c r="F112" s="3">
        <v>1740740.0</v>
      </c>
      <c r="G112" s="4">
        <v>46037.0</v>
      </c>
      <c r="H112" s="4">
        <v>46132.0</v>
      </c>
      <c r="I112" s="3" t="s">
        <v>460</v>
      </c>
      <c r="J112" s="3" t="s">
        <v>461</v>
      </c>
      <c r="K112" s="3" t="s">
        <v>462</v>
      </c>
      <c r="L112" s="3">
        <v>1.5061</v>
      </c>
      <c r="M112" s="3">
        <v>37652.5</v>
      </c>
      <c r="N112" s="3">
        <v>2.0</v>
      </c>
      <c r="O112" s="3">
        <v>115892.0</v>
      </c>
      <c r="P112" s="3"/>
      <c r="Q112" s="3">
        <v>895870.0</v>
      </c>
      <c r="R112" s="3"/>
      <c r="S112" s="3">
        <v>26356.75</v>
      </c>
      <c r="T112" s="3" t="s">
        <v>31</v>
      </c>
      <c r="U112" s="3">
        <v>26356.75</v>
      </c>
      <c r="V112" s="5">
        <f>(DATE(2026,2,3)-'RICE_Insured Farms_with PPI Pol'!$G112)+IF('RICE_Insured Farms_with PPI Pol'!$H112&lt;&gt;'RICE_Insured Farms_with PPI Pol'!$G112,18,0)</f>
        <v>37</v>
      </c>
      <c r="W112" s="3" t="str">
        <f t="array" ref="W112">IFS(V112&gt;120, "Harvested", V112&gt;=113, "Yellow Ripening", V112&gt;=101, "Dough Stage", V112&gt;=93, "Milking Stage", V112&gt;=86, "Flowering", V112&gt;=56, "Panicle Initiation/Booting", V112&lt;56, "Vegetative/Tillering")</f>
        <v>Vegetative/Tillering</v>
      </c>
    </row>
    <row r="113" ht="15.75" customHeight="1">
      <c r="A113" s="3">
        <v>112.0</v>
      </c>
      <c r="B113" s="3" t="s">
        <v>23</v>
      </c>
      <c r="C113" s="3" t="s">
        <v>121</v>
      </c>
      <c r="D113" s="3" t="s">
        <v>278</v>
      </c>
      <c r="E113" s="3" t="s">
        <v>279</v>
      </c>
      <c r="F113" s="3">
        <v>1740740.0</v>
      </c>
      <c r="G113" s="4">
        <v>46030.0</v>
      </c>
      <c r="H113" s="4">
        <v>46125.0</v>
      </c>
      <c r="I113" s="3" t="s">
        <v>463</v>
      </c>
      <c r="J113" s="3" t="s">
        <v>464</v>
      </c>
      <c r="K113" s="3" t="s">
        <v>465</v>
      </c>
      <c r="L113" s="3">
        <v>2.0035</v>
      </c>
      <c r="M113" s="3">
        <v>50087.5</v>
      </c>
      <c r="N113" s="3">
        <v>3.0</v>
      </c>
      <c r="O113" s="3">
        <v>89536.0</v>
      </c>
      <c r="P113" s="3"/>
      <c r="Q113" s="3">
        <v>902355.0</v>
      </c>
      <c r="R113" s="3"/>
      <c r="S113" s="3">
        <v>40070.0</v>
      </c>
      <c r="T113" s="3" t="s">
        <v>37</v>
      </c>
      <c r="U113" s="3">
        <v>40070.0</v>
      </c>
      <c r="V113" s="5">
        <f>(DATE(2026,2,3)-'RICE_Insured Farms_with PPI Pol'!$G113)+IF('RICE_Insured Farms_with PPI Pol'!$H113&lt;&gt;'RICE_Insured Farms_with PPI Pol'!$G113,18,0)</f>
        <v>44</v>
      </c>
      <c r="W113" s="3" t="str">
        <f t="array" ref="W113">IFS(V113&gt;120, "Harvested", V113&gt;=113, "Yellow Ripening", V113&gt;=101, "Dough Stage", V113&gt;=93, "Milking Stage", V113&gt;=86, "Flowering", V113&gt;=56, "Panicle Initiation/Booting", V113&lt;56, "Vegetative/Tillering")</f>
        <v>Vegetative/Tillering</v>
      </c>
    </row>
    <row r="114" ht="15.75" hidden="1" customHeight="1">
      <c r="A114" s="3">
        <v>113.0</v>
      </c>
      <c r="B114" s="3" t="s">
        <v>23</v>
      </c>
      <c r="C114" s="3" t="s">
        <v>121</v>
      </c>
      <c r="D114" s="3" t="s">
        <v>278</v>
      </c>
      <c r="E114" s="3" t="s">
        <v>279</v>
      </c>
      <c r="F114" s="3">
        <v>1740740.0</v>
      </c>
      <c r="G114" s="4">
        <v>46037.0</v>
      </c>
      <c r="H114" s="4">
        <v>46132.0</v>
      </c>
      <c r="I114" s="3" t="s">
        <v>466</v>
      </c>
      <c r="J114" s="3" t="s">
        <v>467</v>
      </c>
      <c r="K114" s="3" t="s">
        <v>462</v>
      </c>
      <c r="L114" s="3">
        <v>0.7667</v>
      </c>
      <c r="M114" s="3">
        <v>19167.5</v>
      </c>
      <c r="N114" s="3">
        <v>2.0</v>
      </c>
      <c r="O114" s="3">
        <v>115875.0</v>
      </c>
      <c r="P114" s="3" t="s">
        <v>468</v>
      </c>
      <c r="Q114" s="3">
        <v>660257.0</v>
      </c>
      <c r="R114" s="3"/>
      <c r="S114" s="3">
        <v>13417.25</v>
      </c>
      <c r="T114" s="3" t="s">
        <v>31</v>
      </c>
      <c r="U114" s="3">
        <v>13417.25</v>
      </c>
      <c r="V114" s="5">
        <f>(DATE(2026,2,3)-'RICE_Insured Farms_with PPI Pol'!$G114)+IF('RICE_Insured Farms_with PPI Pol'!$H114&lt;&gt;'RICE_Insured Farms_with PPI Pol'!$G114,18,0)</f>
        <v>37</v>
      </c>
      <c r="W114" s="3" t="str">
        <f t="array" ref="W114">IFS(V114&gt;120, "Harvested", V114&gt;=113, "Yellow Ripening", V114&gt;=101, "Dough Stage", V114&gt;=93, "Milking Stage", V114&gt;=86, "Flowering", V114&gt;=56, "Panicle Initiation/Booting", V114&lt;56, "Vegetative/Tillering")</f>
        <v>Vegetative/Tillering</v>
      </c>
    </row>
    <row r="115" ht="15.75" customHeight="1">
      <c r="A115" s="3">
        <v>114.0</v>
      </c>
      <c r="B115" s="3" t="s">
        <v>23</v>
      </c>
      <c r="C115" s="3" t="s">
        <v>121</v>
      </c>
      <c r="D115" s="3" t="s">
        <v>278</v>
      </c>
      <c r="E115" s="3" t="s">
        <v>279</v>
      </c>
      <c r="F115" s="3">
        <v>1740740.0</v>
      </c>
      <c r="G115" s="4">
        <v>46030.0</v>
      </c>
      <c r="H115" s="4">
        <v>46125.0</v>
      </c>
      <c r="I115" s="3" t="s">
        <v>469</v>
      </c>
      <c r="J115" s="3" t="s">
        <v>470</v>
      </c>
      <c r="K115" s="3" t="s">
        <v>471</v>
      </c>
      <c r="L115" s="3">
        <v>2.0866</v>
      </c>
      <c r="M115" s="3">
        <v>52165.0</v>
      </c>
      <c r="N115" s="3">
        <v>3.0</v>
      </c>
      <c r="O115" s="3">
        <v>299513.0</v>
      </c>
      <c r="P115" s="3" t="s">
        <v>472</v>
      </c>
      <c r="Q115" s="3">
        <v>895857.0</v>
      </c>
      <c r="R115" s="3"/>
      <c r="S115" s="3">
        <v>41732.0</v>
      </c>
      <c r="T115" s="3" t="s">
        <v>37</v>
      </c>
      <c r="U115" s="3">
        <v>41732.0</v>
      </c>
      <c r="V115" s="5">
        <f>(DATE(2026,2,3)-'RICE_Insured Farms_with PPI Pol'!$G115)+IF('RICE_Insured Farms_with PPI Pol'!$H115&lt;&gt;'RICE_Insured Farms_with PPI Pol'!$G115,18,0)</f>
        <v>44</v>
      </c>
      <c r="W115" s="3" t="str">
        <f t="array" ref="W115">IFS(V115&gt;120, "Harvested", V115&gt;=113, "Yellow Ripening", V115&gt;=101, "Dough Stage", V115&gt;=93, "Milking Stage", V115&gt;=86, "Flowering", V115&gt;=56, "Panicle Initiation/Booting", V115&lt;56, "Vegetative/Tillering")</f>
        <v>Vegetative/Tillering</v>
      </c>
    </row>
    <row r="116" ht="15.75" hidden="1" customHeight="1">
      <c r="A116" s="3">
        <v>16.0</v>
      </c>
      <c r="B116" s="3" t="s">
        <v>23</v>
      </c>
      <c r="C116" s="3" t="s">
        <v>24</v>
      </c>
      <c r="D116" s="3" t="s">
        <v>25</v>
      </c>
      <c r="E116" s="3" t="s">
        <v>32</v>
      </c>
      <c r="F116" s="3">
        <v>1760479.0</v>
      </c>
      <c r="G116" s="4">
        <v>46007.0</v>
      </c>
      <c r="H116" s="4">
        <v>46109.0</v>
      </c>
      <c r="I116" s="3" t="s">
        <v>473</v>
      </c>
      <c r="J116" s="3" t="s">
        <v>474</v>
      </c>
      <c r="K116" s="3" t="s">
        <v>475</v>
      </c>
      <c r="L116" s="3">
        <v>1.76</v>
      </c>
      <c r="M116" s="3">
        <v>44000.0</v>
      </c>
      <c r="N116" s="3">
        <v>4.0</v>
      </c>
      <c r="O116" s="3">
        <v>226842.0</v>
      </c>
      <c r="P116" s="3"/>
      <c r="Q116" s="3">
        <v>602937.0</v>
      </c>
      <c r="R116" s="3"/>
      <c r="S116" s="3">
        <v>35200.0</v>
      </c>
      <c r="T116" s="3" t="s">
        <v>56</v>
      </c>
      <c r="U116" s="3">
        <v>35200.0</v>
      </c>
      <c r="V116" s="5">
        <f>(DATE(2026,2,3)-'RICE_Insured Farms_with PPI Pol'!$G116)+IF('RICE_Insured Farms_with PPI Pol'!$H116&lt;&gt;'RICE_Insured Farms_with PPI Pol'!$G116,18,0)</f>
        <v>67</v>
      </c>
      <c r="W116" s="3" t="str">
        <f t="array" ref="W116">IFS(V116&gt;120, "Harvested", V116&gt;=113, "Yellow Ripening", V116&gt;=101, "Dough Stage", V116&gt;=93, "Milking Stage", V116&gt;=86, "Flowering", V116&gt;=56, "Panicle Initiation/Booting", V116&lt;56, "Vegetative/Tillering")</f>
        <v>Panicle Initiation/Booting</v>
      </c>
    </row>
    <row r="117" ht="15.75" hidden="1" customHeight="1">
      <c r="A117" s="3">
        <v>26.0</v>
      </c>
      <c r="B117" s="3" t="s">
        <v>23</v>
      </c>
      <c r="C117" s="3" t="s">
        <v>24</v>
      </c>
      <c r="D117" s="3" t="s">
        <v>25</v>
      </c>
      <c r="E117" s="3" t="s">
        <v>476</v>
      </c>
      <c r="F117" s="3">
        <v>1760476.0</v>
      </c>
      <c r="G117" s="4">
        <v>46011.0</v>
      </c>
      <c r="H117" s="4">
        <v>46102.0</v>
      </c>
      <c r="I117" s="3" t="s">
        <v>257</v>
      </c>
      <c r="J117" s="3" t="s">
        <v>477</v>
      </c>
      <c r="K117" s="3" t="s">
        <v>478</v>
      </c>
      <c r="L117" s="3">
        <v>0.7502</v>
      </c>
      <c r="M117" s="3">
        <v>18755.0</v>
      </c>
      <c r="N117" s="3">
        <v>4.0</v>
      </c>
      <c r="O117" s="3">
        <v>324686.0</v>
      </c>
      <c r="P117" s="3"/>
      <c r="Q117" s="3">
        <v>604277.0</v>
      </c>
      <c r="R117" s="3"/>
      <c r="S117" s="3">
        <v>15004.0</v>
      </c>
      <c r="T117" s="3" t="s">
        <v>56</v>
      </c>
      <c r="U117" s="3">
        <v>15004.0</v>
      </c>
      <c r="V117" s="5">
        <f>(DATE(2026,2,3)-'RICE_Insured Farms_with PPI Pol'!$G117)+IF('RICE_Insured Farms_with PPI Pol'!$H117&lt;&gt;'RICE_Insured Farms_with PPI Pol'!$G117,18,0)</f>
        <v>63</v>
      </c>
      <c r="W117" s="3" t="str">
        <f t="array" ref="W117">IFS(V117&gt;120, "Harvested", V117&gt;=113, "Yellow Ripening", V117&gt;=101, "Dough Stage", V117&gt;=93, "Milking Stage", V117&gt;=86, "Flowering", V117&gt;=56, "Panicle Initiation/Booting", V117&lt;56, "Vegetative/Tillering")</f>
        <v>Panicle Initiation/Booting</v>
      </c>
    </row>
    <row r="118" ht="15.75" hidden="1" customHeight="1">
      <c r="A118" s="3">
        <v>117.0</v>
      </c>
      <c r="B118" s="3" t="s">
        <v>23</v>
      </c>
      <c r="C118" s="3" t="s">
        <v>121</v>
      </c>
      <c r="D118" s="3" t="s">
        <v>384</v>
      </c>
      <c r="E118" s="3" t="s">
        <v>385</v>
      </c>
      <c r="F118" s="3">
        <v>1742526.0</v>
      </c>
      <c r="G118" s="4">
        <v>46032.0</v>
      </c>
      <c r="H118" s="4">
        <v>46127.0</v>
      </c>
      <c r="I118" s="3" t="s">
        <v>479</v>
      </c>
      <c r="J118" s="3" t="s">
        <v>480</v>
      </c>
      <c r="K118" s="3" t="s">
        <v>481</v>
      </c>
      <c r="L118" s="3">
        <v>1.5</v>
      </c>
      <c r="M118" s="3">
        <v>37500.0</v>
      </c>
      <c r="N118" s="3">
        <v>2.0</v>
      </c>
      <c r="O118" s="3">
        <v>437817.0</v>
      </c>
      <c r="P118" s="3" t="s">
        <v>482</v>
      </c>
      <c r="Q118" s="3">
        <v>1065457.0</v>
      </c>
      <c r="R118" s="3"/>
      <c r="S118" s="3">
        <v>26250.0</v>
      </c>
      <c r="T118" s="3" t="s">
        <v>31</v>
      </c>
      <c r="U118" s="3">
        <v>26250.0</v>
      </c>
      <c r="V118" s="5">
        <f>(DATE(2026,2,3)-'RICE_Insured Farms_with PPI Pol'!$G118)+IF('RICE_Insured Farms_with PPI Pol'!$H118&lt;&gt;'RICE_Insured Farms_with PPI Pol'!$G118,18,0)</f>
        <v>42</v>
      </c>
      <c r="W118" s="3" t="str">
        <f t="array" ref="W118">IFS(V118&gt;120, "Harvested", V118&gt;=113, "Yellow Ripening", V118&gt;=101, "Dough Stage", V118&gt;=93, "Milking Stage", V118&gt;=86, "Flowering", V118&gt;=56, "Panicle Initiation/Booting", V118&lt;56, "Vegetative/Tillering")</f>
        <v>Vegetative/Tillering</v>
      </c>
    </row>
    <row r="119" ht="15.75" customHeight="1">
      <c r="A119" s="3">
        <v>118.0</v>
      </c>
      <c r="B119" s="3" t="s">
        <v>23</v>
      </c>
      <c r="C119" s="3" t="s">
        <v>121</v>
      </c>
      <c r="D119" s="3" t="s">
        <v>483</v>
      </c>
      <c r="E119" s="3" t="s">
        <v>321</v>
      </c>
      <c r="F119" s="3">
        <v>1198766.0</v>
      </c>
      <c r="G119" s="4">
        <v>46029.0</v>
      </c>
      <c r="H119" s="4">
        <v>46124.0</v>
      </c>
      <c r="I119" s="3" t="s">
        <v>484</v>
      </c>
      <c r="J119" s="3" t="s">
        <v>485</v>
      </c>
      <c r="K119" s="3" t="s">
        <v>486</v>
      </c>
      <c r="L119" s="3">
        <v>2.4115</v>
      </c>
      <c r="M119" s="3">
        <v>60287.5</v>
      </c>
      <c r="N119" s="3">
        <v>3.0</v>
      </c>
      <c r="O119" s="3">
        <v>134727.0</v>
      </c>
      <c r="P119" s="3" t="s">
        <v>487</v>
      </c>
      <c r="Q119" s="3">
        <v>1082080.0</v>
      </c>
      <c r="R119" s="3"/>
      <c r="S119" s="3">
        <v>48230.0</v>
      </c>
      <c r="T119" s="3" t="s">
        <v>37</v>
      </c>
      <c r="U119" s="3">
        <v>48230.0</v>
      </c>
      <c r="V119" s="5">
        <f>(DATE(2026,2,3)-'RICE_Insured Farms_with PPI Pol'!$G119)+IF('RICE_Insured Farms_with PPI Pol'!$H119&lt;&gt;'RICE_Insured Farms_with PPI Pol'!$G119,18,0)</f>
        <v>45</v>
      </c>
      <c r="W119" s="3" t="str">
        <f t="array" ref="W119">IFS(V119&gt;120, "Harvested", V119&gt;=113, "Yellow Ripening", V119&gt;=101, "Dough Stage", V119&gt;=93, "Milking Stage", V119&gt;=86, "Flowering", V119&gt;=56, "Panicle Initiation/Booting", V119&lt;56, "Vegetative/Tillering")</f>
        <v>Vegetative/Tillering</v>
      </c>
    </row>
    <row r="120" ht="15.75" hidden="1" customHeight="1">
      <c r="A120" s="3">
        <v>119.0</v>
      </c>
      <c r="B120" s="3" t="s">
        <v>23</v>
      </c>
      <c r="C120" s="3" t="s">
        <v>68</v>
      </c>
      <c r="D120" s="3" t="s">
        <v>262</v>
      </c>
      <c r="E120" s="3" t="s">
        <v>273</v>
      </c>
      <c r="F120" s="3">
        <v>1739595.0</v>
      </c>
      <c r="G120" s="4">
        <v>46035.0</v>
      </c>
      <c r="H120" s="4">
        <v>46137.0</v>
      </c>
      <c r="I120" s="3" t="s">
        <v>488</v>
      </c>
      <c r="J120" s="3" t="s">
        <v>489</v>
      </c>
      <c r="K120" s="3" t="s">
        <v>490</v>
      </c>
      <c r="L120" s="3">
        <v>0.4906</v>
      </c>
      <c r="M120" s="3">
        <v>12265.0</v>
      </c>
      <c r="N120" s="3">
        <v>2.0</v>
      </c>
      <c r="O120" s="3">
        <v>336854.0</v>
      </c>
      <c r="P120" s="3"/>
      <c r="Q120" s="3">
        <v>769354.0</v>
      </c>
      <c r="R120" s="3"/>
      <c r="S120" s="3">
        <v>8585.5</v>
      </c>
      <c r="T120" s="3" t="s">
        <v>31</v>
      </c>
      <c r="U120" s="3">
        <v>8585.5</v>
      </c>
      <c r="V120" s="5">
        <f>(DATE(2026,2,3)-'RICE_Insured Farms_with PPI Pol'!$G120)+IF('RICE_Insured Farms_with PPI Pol'!$H120&lt;&gt;'RICE_Insured Farms_with PPI Pol'!$G120,18,0)</f>
        <v>39</v>
      </c>
      <c r="W120" s="3" t="str">
        <f t="array" ref="W120">IFS(V120&gt;120, "Harvested", V120&gt;=113, "Yellow Ripening", V120&gt;=101, "Dough Stage", V120&gt;=93, "Milking Stage", V120&gt;=86, "Flowering", V120&gt;=56, "Panicle Initiation/Booting", V120&lt;56, "Vegetative/Tillering")</f>
        <v>Vegetative/Tillering</v>
      </c>
    </row>
    <row r="121" ht="15.75" customHeight="1">
      <c r="A121" s="3">
        <v>120.0</v>
      </c>
      <c r="B121" s="3" t="s">
        <v>23</v>
      </c>
      <c r="C121" s="3" t="s">
        <v>24</v>
      </c>
      <c r="D121" s="3" t="s">
        <v>283</v>
      </c>
      <c r="E121" s="3" t="s">
        <v>284</v>
      </c>
      <c r="F121" s="3">
        <v>1741166.0</v>
      </c>
      <c r="G121" s="4">
        <v>46019.0</v>
      </c>
      <c r="H121" s="4">
        <v>46119.0</v>
      </c>
      <c r="I121" s="3" t="s">
        <v>394</v>
      </c>
      <c r="J121" s="3" t="s">
        <v>491</v>
      </c>
      <c r="K121" s="3" t="s">
        <v>492</v>
      </c>
      <c r="L121" s="3">
        <v>0.6381</v>
      </c>
      <c r="M121" s="3">
        <v>15952.5</v>
      </c>
      <c r="N121" s="3">
        <v>3.0</v>
      </c>
      <c r="O121" s="3">
        <v>199472.0</v>
      </c>
      <c r="P121" s="3" t="s">
        <v>493</v>
      </c>
      <c r="Q121" s="3">
        <v>1080350.0</v>
      </c>
      <c r="R121" s="3"/>
      <c r="S121" s="3">
        <v>12762.0</v>
      </c>
      <c r="T121" s="3" t="s">
        <v>37</v>
      </c>
      <c r="U121" s="3">
        <v>12762.0</v>
      </c>
      <c r="V121" s="5">
        <f>(DATE(2026,2,3)-'RICE_Insured Farms_with PPI Pol'!$G121)+IF('RICE_Insured Farms_with PPI Pol'!$H121&lt;&gt;'RICE_Insured Farms_with PPI Pol'!$G121,18,0)</f>
        <v>55</v>
      </c>
      <c r="W121" s="3" t="str">
        <f t="array" ref="W121">IFS(V121&gt;120, "Harvested", V121&gt;=113, "Yellow Ripening", V121&gt;=101, "Dough Stage", V121&gt;=93, "Milking Stage", V121&gt;=86, "Flowering", V121&gt;=56, "Panicle Initiation/Booting", V121&lt;56, "Vegetative/Tillering")</f>
        <v>Vegetative/Tillering</v>
      </c>
    </row>
    <row r="122" ht="15.75" hidden="1" customHeight="1">
      <c r="A122" s="3">
        <v>121.0</v>
      </c>
      <c r="B122" s="3" t="s">
        <v>23</v>
      </c>
      <c r="C122" s="3" t="s">
        <v>68</v>
      </c>
      <c r="D122" s="3" t="s">
        <v>262</v>
      </c>
      <c r="E122" s="3" t="s">
        <v>273</v>
      </c>
      <c r="F122" s="3">
        <v>1739586.0</v>
      </c>
      <c r="G122" s="4">
        <v>46036.0</v>
      </c>
      <c r="H122" s="4">
        <v>46128.0</v>
      </c>
      <c r="I122" s="3" t="s">
        <v>161</v>
      </c>
      <c r="J122" s="3" t="s">
        <v>249</v>
      </c>
      <c r="K122" s="3" t="s">
        <v>494</v>
      </c>
      <c r="L122" s="3">
        <v>0.6866</v>
      </c>
      <c r="M122" s="3">
        <v>17165.0</v>
      </c>
      <c r="N122" s="3">
        <v>2.0</v>
      </c>
      <c r="O122" s="3">
        <v>108706.0</v>
      </c>
      <c r="P122" s="3" t="s">
        <v>495</v>
      </c>
      <c r="Q122" s="3">
        <v>1039567.0</v>
      </c>
      <c r="R122" s="3"/>
      <c r="S122" s="3">
        <v>12015.5</v>
      </c>
      <c r="T122" s="3" t="s">
        <v>31</v>
      </c>
      <c r="U122" s="3">
        <v>12015.5</v>
      </c>
      <c r="V122" s="5">
        <f>(DATE(2026,2,3)-'RICE_Insured Farms_with PPI Pol'!$G122)+IF('RICE_Insured Farms_with PPI Pol'!$H122&lt;&gt;'RICE_Insured Farms_with PPI Pol'!$G122,18,0)</f>
        <v>38</v>
      </c>
      <c r="W122" s="3" t="str">
        <f t="array" ref="W122">IFS(V122&gt;120, "Harvested", V122&gt;=113, "Yellow Ripening", V122&gt;=101, "Dough Stage", V122&gt;=93, "Milking Stage", V122&gt;=86, "Flowering", V122&gt;=56, "Panicle Initiation/Booting", V122&lt;56, "Vegetative/Tillering")</f>
        <v>Vegetative/Tillering</v>
      </c>
    </row>
    <row r="123" ht="15.75" customHeight="1">
      <c r="A123" s="3">
        <v>122.0</v>
      </c>
      <c r="B123" s="3" t="s">
        <v>23</v>
      </c>
      <c r="C123" s="3" t="s">
        <v>68</v>
      </c>
      <c r="D123" s="3" t="s">
        <v>289</v>
      </c>
      <c r="E123" s="3" t="s">
        <v>290</v>
      </c>
      <c r="F123" s="3">
        <v>1760020.0</v>
      </c>
      <c r="G123" s="4">
        <v>46011.0</v>
      </c>
      <c r="H123" s="4">
        <v>46113.0</v>
      </c>
      <c r="I123" s="3" t="s">
        <v>496</v>
      </c>
      <c r="J123" s="3" t="s">
        <v>249</v>
      </c>
      <c r="K123" s="3" t="s">
        <v>497</v>
      </c>
      <c r="L123" s="3">
        <v>0.706</v>
      </c>
      <c r="M123" s="3">
        <v>17650.0</v>
      </c>
      <c r="N123" s="3">
        <v>3.0</v>
      </c>
      <c r="O123" s="3">
        <v>298687.0</v>
      </c>
      <c r="P123" s="3" t="s">
        <v>498</v>
      </c>
      <c r="Q123" s="3">
        <v>973565.0</v>
      </c>
      <c r="R123" s="3"/>
      <c r="S123" s="3">
        <v>14120.0</v>
      </c>
      <c r="T123" s="3" t="s">
        <v>37</v>
      </c>
      <c r="U123" s="3">
        <v>14120.0</v>
      </c>
      <c r="V123" s="5">
        <f>(DATE(2026,2,3)-'RICE_Insured Farms_with PPI Pol'!$G123)+IF('RICE_Insured Farms_with PPI Pol'!$H123&lt;&gt;'RICE_Insured Farms_with PPI Pol'!$G123,18,0)</f>
        <v>63</v>
      </c>
      <c r="W123" s="3" t="str">
        <f t="array" ref="W123">IFS(V123&gt;120, "Harvested", V123&gt;=113, "Yellow Ripening", V123&gt;=101, "Dough Stage", V123&gt;=93, "Milking Stage", V123&gt;=86, "Flowering", V123&gt;=56, "Panicle Initiation/Booting", V123&lt;56, "Vegetative/Tillering")</f>
        <v>Panicle Initiation/Booting</v>
      </c>
    </row>
    <row r="124" ht="15.75" hidden="1" customHeight="1">
      <c r="A124" s="3">
        <v>35.0</v>
      </c>
      <c r="B124" s="3" t="s">
        <v>23</v>
      </c>
      <c r="C124" s="3" t="s">
        <v>24</v>
      </c>
      <c r="D124" s="3" t="s">
        <v>25</v>
      </c>
      <c r="E124" s="3" t="s">
        <v>32</v>
      </c>
      <c r="F124" s="3">
        <v>1760479.0</v>
      </c>
      <c r="G124" s="4">
        <v>46007.0</v>
      </c>
      <c r="H124" s="4">
        <v>46109.0</v>
      </c>
      <c r="I124" s="3" t="s">
        <v>499</v>
      </c>
      <c r="J124" s="3" t="s">
        <v>500</v>
      </c>
      <c r="K124" s="3" t="s">
        <v>501</v>
      </c>
      <c r="L124" s="3">
        <v>0.8</v>
      </c>
      <c r="M124" s="3">
        <v>20000.0</v>
      </c>
      <c r="N124" s="3">
        <v>4.0</v>
      </c>
      <c r="O124" s="3">
        <v>16093.0</v>
      </c>
      <c r="P124" s="3" t="s">
        <v>502</v>
      </c>
      <c r="Q124" s="3">
        <v>603981.0</v>
      </c>
      <c r="R124" s="3"/>
      <c r="S124" s="3">
        <v>16000.0</v>
      </c>
      <c r="T124" s="3" t="s">
        <v>56</v>
      </c>
      <c r="U124" s="3">
        <v>16000.0</v>
      </c>
      <c r="V124" s="5">
        <f>(DATE(2026,2,3)-'RICE_Insured Farms_with PPI Pol'!$G124)+IF('RICE_Insured Farms_with PPI Pol'!$H124&lt;&gt;'RICE_Insured Farms_with PPI Pol'!$G124,18,0)</f>
        <v>67</v>
      </c>
      <c r="W124" s="3" t="str">
        <f t="array" ref="W124">IFS(V124&gt;120, "Harvested", V124&gt;=113, "Yellow Ripening", V124&gt;=101, "Dough Stage", V124&gt;=93, "Milking Stage", V124&gt;=86, "Flowering", V124&gt;=56, "Panicle Initiation/Booting", V124&lt;56, "Vegetative/Tillering")</f>
        <v>Panicle Initiation/Booting</v>
      </c>
    </row>
    <row r="125" ht="15.75" hidden="1" customHeight="1">
      <c r="A125" s="3">
        <v>36.0</v>
      </c>
      <c r="B125" s="3" t="s">
        <v>23</v>
      </c>
      <c r="C125" s="3" t="s">
        <v>24</v>
      </c>
      <c r="D125" s="3" t="s">
        <v>25</v>
      </c>
      <c r="E125" s="3" t="s">
        <v>57</v>
      </c>
      <c r="F125" s="3">
        <v>1760483.0</v>
      </c>
      <c r="G125" s="4">
        <v>46011.0</v>
      </c>
      <c r="H125" s="4">
        <v>46106.0</v>
      </c>
      <c r="I125" s="3" t="s">
        <v>503</v>
      </c>
      <c r="J125" s="3" t="s">
        <v>504</v>
      </c>
      <c r="K125" s="3" t="s">
        <v>505</v>
      </c>
      <c r="L125" s="3">
        <v>0.8</v>
      </c>
      <c r="M125" s="3">
        <v>20000.0</v>
      </c>
      <c r="N125" s="3">
        <v>4.0</v>
      </c>
      <c r="O125" s="3">
        <v>362061.0</v>
      </c>
      <c r="P125" s="3" t="s">
        <v>506</v>
      </c>
      <c r="Q125" s="3">
        <v>708053.0</v>
      </c>
      <c r="R125" s="3"/>
      <c r="S125" s="3">
        <v>16000.0</v>
      </c>
      <c r="T125" s="3" t="s">
        <v>56</v>
      </c>
      <c r="U125" s="3">
        <v>16000.0</v>
      </c>
      <c r="V125" s="5">
        <f>(DATE(2026,2,3)-'RICE_Insured Farms_with PPI Pol'!$G125)+IF('RICE_Insured Farms_with PPI Pol'!$H125&lt;&gt;'RICE_Insured Farms_with PPI Pol'!$G125,18,0)</f>
        <v>63</v>
      </c>
      <c r="W125" s="3" t="str">
        <f t="array" ref="W125">IFS(V125&gt;120, "Harvested", V125&gt;=113, "Yellow Ripening", V125&gt;=101, "Dough Stage", V125&gt;=93, "Milking Stage", V125&gt;=86, "Flowering", V125&gt;=56, "Panicle Initiation/Booting", V125&lt;56, "Vegetative/Tillering")</f>
        <v>Panicle Initiation/Booting</v>
      </c>
    </row>
    <row r="126" ht="15.75" hidden="1" customHeight="1">
      <c r="A126" s="3">
        <v>125.0</v>
      </c>
      <c r="B126" s="3" t="s">
        <v>23</v>
      </c>
      <c r="C126" s="3" t="s">
        <v>68</v>
      </c>
      <c r="D126" s="3" t="s">
        <v>289</v>
      </c>
      <c r="E126" s="3" t="s">
        <v>507</v>
      </c>
      <c r="F126" s="3">
        <v>1760039.0</v>
      </c>
      <c r="G126" s="4">
        <v>46030.0</v>
      </c>
      <c r="H126" s="4">
        <v>46132.0</v>
      </c>
      <c r="I126" s="3" t="s">
        <v>508</v>
      </c>
      <c r="J126" s="3" t="s">
        <v>509</v>
      </c>
      <c r="K126" s="3" t="s">
        <v>510</v>
      </c>
      <c r="L126" s="3">
        <v>0.6767</v>
      </c>
      <c r="M126" s="3">
        <v>16917.5</v>
      </c>
      <c r="N126" s="3">
        <v>2.0</v>
      </c>
      <c r="O126" s="3">
        <v>31472.0</v>
      </c>
      <c r="P126" s="3" t="s">
        <v>511</v>
      </c>
      <c r="Q126" s="3">
        <v>692257.0</v>
      </c>
      <c r="R126" s="3"/>
      <c r="S126" s="3">
        <v>11842.25</v>
      </c>
      <c r="T126" s="3" t="s">
        <v>31</v>
      </c>
      <c r="U126" s="3">
        <v>11842.25</v>
      </c>
      <c r="V126" s="5">
        <f>(DATE(2026,2,3)-'RICE_Insured Farms_with PPI Pol'!$G126)+IF('RICE_Insured Farms_with PPI Pol'!$H126&lt;&gt;'RICE_Insured Farms_with PPI Pol'!$G126,18,0)</f>
        <v>44</v>
      </c>
      <c r="W126" s="3" t="str">
        <f t="array" ref="W126">IFS(V126&gt;120, "Harvested", V126&gt;=113, "Yellow Ripening", V126&gt;=101, "Dough Stage", V126&gt;=93, "Milking Stage", V126&gt;=86, "Flowering", V126&gt;=56, "Panicle Initiation/Booting", V126&lt;56, "Vegetative/Tillering")</f>
        <v>Vegetative/Tillering</v>
      </c>
    </row>
    <row r="127" ht="15.75" hidden="1" customHeight="1">
      <c r="A127" s="3">
        <v>41.0</v>
      </c>
      <c r="B127" s="3" t="s">
        <v>23</v>
      </c>
      <c r="C127" s="3" t="s">
        <v>24</v>
      </c>
      <c r="D127" s="3" t="s">
        <v>25</v>
      </c>
      <c r="E127" s="3" t="s">
        <v>32</v>
      </c>
      <c r="F127" s="3">
        <v>1760482.0</v>
      </c>
      <c r="G127" s="4">
        <v>46011.0</v>
      </c>
      <c r="H127" s="4">
        <v>46106.0</v>
      </c>
      <c r="I127" s="3" t="s">
        <v>77</v>
      </c>
      <c r="J127" s="3" t="s">
        <v>512</v>
      </c>
      <c r="K127" s="3" t="s">
        <v>513</v>
      </c>
      <c r="L127" s="3">
        <v>0.828</v>
      </c>
      <c r="M127" s="3">
        <v>20700.0</v>
      </c>
      <c r="N127" s="3">
        <v>4.0</v>
      </c>
      <c r="O127" s="3">
        <v>16086.0</v>
      </c>
      <c r="P127" s="3" t="s">
        <v>514</v>
      </c>
      <c r="Q127" s="3">
        <v>603991.0</v>
      </c>
      <c r="R127" s="3"/>
      <c r="S127" s="3">
        <v>16560.0</v>
      </c>
      <c r="T127" s="3" t="s">
        <v>56</v>
      </c>
      <c r="U127" s="3">
        <v>16560.0</v>
      </c>
      <c r="V127" s="5">
        <f>(DATE(2026,2,3)-'RICE_Insured Farms_with PPI Pol'!$G127)+IF('RICE_Insured Farms_with PPI Pol'!$H127&lt;&gt;'RICE_Insured Farms_with PPI Pol'!$G127,18,0)</f>
        <v>63</v>
      </c>
      <c r="W127" s="3" t="str">
        <f t="array" ref="W127">IFS(V127&gt;120, "Harvested", V127&gt;=113, "Yellow Ripening", V127&gt;=101, "Dough Stage", V127&gt;=93, "Milking Stage", V127&gt;=86, "Flowering", V127&gt;=56, "Panicle Initiation/Booting", V127&lt;56, "Vegetative/Tillering")</f>
        <v>Panicle Initiation/Booting</v>
      </c>
    </row>
    <row r="128" ht="15.75" hidden="1" customHeight="1">
      <c r="A128" s="3">
        <v>47.0</v>
      </c>
      <c r="B128" s="3" t="s">
        <v>23</v>
      </c>
      <c r="C128" s="3" t="s">
        <v>24</v>
      </c>
      <c r="D128" s="3" t="s">
        <v>25</v>
      </c>
      <c r="E128" s="3" t="s">
        <v>32</v>
      </c>
      <c r="F128" s="3">
        <v>1760482.0</v>
      </c>
      <c r="G128" s="4">
        <v>46011.0</v>
      </c>
      <c r="H128" s="4">
        <v>46106.0</v>
      </c>
      <c r="I128" s="3" t="s">
        <v>515</v>
      </c>
      <c r="J128" s="3" t="s">
        <v>516</v>
      </c>
      <c r="K128" s="3" t="s">
        <v>517</v>
      </c>
      <c r="L128" s="3">
        <v>1.8465</v>
      </c>
      <c r="M128" s="3">
        <v>46162.5</v>
      </c>
      <c r="N128" s="3">
        <v>4.0</v>
      </c>
      <c r="O128" s="3">
        <v>192451.0</v>
      </c>
      <c r="P128" s="3"/>
      <c r="Q128" s="3">
        <v>556963.0</v>
      </c>
      <c r="R128" s="3"/>
      <c r="S128" s="3">
        <v>36930.0</v>
      </c>
      <c r="T128" s="3" t="s">
        <v>56</v>
      </c>
      <c r="U128" s="3">
        <v>36930.0</v>
      </c>
      <c r="V128" s="5">
        <f>(DATE(2026,2,3)-'RICE_Insured Farms_with PPI Pol'!$G128)+IF('RICE_Insured Farms_with PPI Pol'!$H128&lt;&gt;'RICE_Insured Farms_with PPI Pol'!$G128,18,0)</f>
        <v>63</v>
      </c>
      <c r="W128" s="3" t="str">
        <f t="array" ref="W128">IFS(V128&gt;120, "Harvested", V128&gt;=113, "Yellow Ripening", V128&gt;=101, "Dough Stage", V128&gt;=93, "Milking Stage", V128&gt;=86, "Flowering", V128&gt;=56, "Panicle Initiation/Booting", V128&lt;56, "Vegetative/Tillering")</f>
        <v>Panicle Initiation/Booting</v>
      </c>
    </row>
    <row r="129" ht="15.75" customHeight="1">
      <c r="A129" s="3">
        <v>128.0</v>
      </c>
      <c r="B129" s="3" t="s">
        <v>23</v>
      </c>
      <c r="C129" s="3" t="s">
        <v>68</v>
      </c>
      <c r="D129" s="3" t="s">
        <v>69</v>
      </c>
      <c r="E129" s="3" t="s">
        <v>70</v>
      </c>
      <c r="F129" s="3">
        <v>1739639.0</v>
      </c>
      <c r="G129" s="4">
        <v>46013.0</v>
      </c>
      <c r="H129" s="4">
        <v>46115.0</v>
      </c>
      <c r="I129" s="3" t="s">
        <v>169</v>
      </c>
      <c r="J129" s="3" t="s">
        <v>170</v>
      </c>
      <c r="K129" s="3" t="s">
        <v>171</v>
      </c>
      <c r="L129" s="3">
        <v>0.4073</v>
      </c>
      <c r="M129" s="3">
        <v>10182.5</v>
      </c>
      <c r="N129" s="3">
        <v>3.0</v>
      </c>
      <c r="O129" s="3">
        <v>294640.0</v>
      </c>
      <c r="P129" s="3" t="s">
        <v>172</v>
      </c>
      <c r="Q129" s="3">
        <v>1022340.0</v>
      </c>
      <c r="R129" s="3"/>
      <c r="S129" s="3">
        <v>8146.0</v>
      </c>
      <c r="T129" s="3" t="s">
        <v>37</v>
      </c>
      <c r="U129" s="3">
        <v>8146.0</v>
      </c>
      <c r="V129" s="5">
        <f>(DATE(2026,2,3)-'RICE_Insured Farms_with PPI Pol'!$G129)+IF('RICE_Insured Farms_with PPI Pol'!$H129&lt;&gt;'RICE_Insured Farms_with PPI Pol'!$G129,18,0)</f>
        <v>61</v>
      </c>
      <c r="W129" s="3" t="str">
        <f t="array" ref="W129">IFS(V129&gt;120, "Harvested", V129&gt;=113, "Yellow Ripening", V129&gt;=101, "Dough Stage", V129&gt;=93, "Milking Stage", V129&gt;=86, "Flowering", V129&gt;=56, "Panicle Initiation/Booting", V129&lt;56, "Vegetative/Tillering")</f>
        <v>Panicle Initiation/Booting</v>
      </c>
    </row>
    <row r="130" ht="15.75" hidden="1" customHeight="1">
      <c r="A130" s="3">
        <v>57.0</v>
      </c>
      <c r="B130" s="3" t="s">
        <v>23</v>
      </c>
      <c r="C130" s="3" t="s">
        <v>24</v>
      </c>
      <c r="D130" s="3" t="s">
        <v>25</v>
      </c>
      <c r="E130" s="3" t="s">
        <v>32</v>
      </c>
      <c r="F130" s="3">
        <v>1760482.0</v>
      </c>
      <c r="G130" s="4">
        <v>46011.0</v>
      </c>
      <c r="H130" s="4">
        <v>46106.0</v>
      </c>
      <c r="I130" s="3" t="s">
        <v>518</v>
      </c>
      <c r="J130" s="3" t="s">
        <v>519</v>
      </c>
      <c r="K130" s="3" t="s">
        <v>520</v>
      </c>
      <c r="L130" s="3">
        <v>1.12</v>
      </c>
      <c r="M130" s="3">
        <v>28000.0</v>
      </c>
      <c r="N130" s="3">
        <v>4.0</v>
      </c>
      <c r="O130" s="3">
        <v>294848.0</v>
      </c>
      <c r="P130" s="3" t="s">
        <v>521</v>
      </c>
      <c r="Q130" s="3">
        <v>604291.0</v>
      </c>
      <c r="R130" s="3"/>
      <c r="S130" s="3">
        <v>22400.0</v>
      </c>
      <c r="T130" s="3" t="s">
        <v>56</v>
      </c>
      <c r="U130" s="3">
        <v>22400.0</v>
      </c>
      <c r="V130" s="5">
        <f>(DATE(2026,2,3)-'RICE_Insured Farms_with PPI Pol'!$G130)+IF('RICE_Insured Farms_with PPI Pol'!$H130&lt;&gt;'RICE_Insured Farms_with PPI Pol'!$G130,18,0)</f>
        <v>63</v>
      </c>
      <c r="W130" s="3" t="str">
        <f t="array" ref="W130">IFS(V130&gt;120, "Harvested", V130&gt;=113, "Yellow Ripening", V130&gt;=101, "Dough Stage", V130&gt;=93, "Milking Stage", V130&gt;=86, "Flowering", V130&gt;=56, "Panicle Initiation/Booting", V130&lt;56, "Vegetative/Tillering")</f>
        <v>Panicle Initiation/Booting</v>
      </c>
    </row>
    <row r="131" ht="15.75" customHeight="1">
      <c r="A131" s="3">
        <v>130.0</v>
      </c>
      <c r="B131" s="3" t="s">
        <v>23</v>
      </c>
      <c r="C131" s="3" t="s">
        <v>24</v>
      </c>
      <c r="D131" s="3" t="s">
        <v>283</v>
      </c>
      <c r="E131" s="3" t="s">
        <v>522</v>
      </c>
      <c r="F131" s="3">
        <v>1741162.0</v>
      </c>
      <c r="G131" s="4">
        <v>46018.0</v>
      </c>
      <c r="H131" s="4">
        <v>46113.0</v>
      </c>
      <c r="I131" s="3" t="s">
        <v>523</v>
      </c>
      <c r="J131" s="3" t="s">
        <v>524</v>
      </c>
      <c r="K131" s="3" t="s">
        <v>525</v>
      </c>
      <c r="L131" s="3">
        <v>1.0</v>
      </c>
      <c r="M131" s="3">
        <v>25000.0</v>
      </c>
      <c r="N131" s="3">
        <v>3.0</v>
      </c>
      <c r="O131" s="3">
        <v>293104.0</v>
      </c>
      <c r="P131" s="3"/>
      <c r="Q131" s="3">
        <v>1111350.0</v>
      </c>
      <c r="R131" s="3"/>
      <c r="S131" s="3">
        <v>20000.0</v>
      </c>
      <c r="T131" s="3" t="s">
        <v>37</v>
      </c>
      <c r="U131" s="3">
        <v>20000.0</v>
      </c>
      <c r="V131" s="5">
        <f>(DATE(2026,2,3)-'RICE_Insured Farms_with PPI Pol'!$G131)+IF('RICE_Insured Farms_with PPI Pol'!$H131&lt;&gt;'RICE_Insured Farms_with PPI Pol'!$G131,18,0)</f>
        <v>56</v>
      </c>
      <c r="W131" s="3" t="str">
        <f t="array" ref="W131">IFS(V131&gt;120, "Harvested", V131&gt;=113, "Yellow Ripening", V131&gt;=101, "Dough Stage", V131&gt;=93, "Milking Stage", V131&gt;=86, "Flowering", V131&gt;=56, "Panicle Initiation/Booting", V131&lt;56, "Vegetative/Tillering")</f>
        <v>Panicle Initiation/Booting</v>
      </c>
    </row>
    <row r="132" ht="15.75" customHeight="1">
      <c r="A132" s="3">
        <v>131.0</v>
      </c>
      <c r="B132" s="3" t="s">
        <v>23</v>
      </c>
      <c r="C132" s="3" t="s">
        <v>68</v>
      </c>
      <c r="D132" s="3" t="s">
        <v>262</v>
      </c>
      <c r="E132" s="3" t="s">
        <v>273</v>
      </c>
      <c r="F132" s="3">
        <v>1739592.0</v>
      </c>
      <c r="G132" s="4">
        <v>46024.0</v>
      </c>
      <c r="H132" s="4">
        <v>46126.0</v>
      </c>
      <c r="I132" s="3" t="s">
        <v>526</v>
      </c>
      <c r="J132" s="3" t="s">
        <v>527</v>
      </c>
      <c r="K132" s="3" t="s">
        <v>528</v>
      </c>
      <c r="L132" s="3">
        <v>1.3155</v>
      </c>
      <c r="M132" s="3">
        <v>32887.5</v>
      </c>
      <c r="N132" s="3">
        <v>3.0</v>
      </c>
      <c r="O132" s="3">
        <v>20746.0</v>
      </c>
      <c r="P132" s="3" t="s">
        <v>529</v>
      </c>
      <c r="Q132" s="3">
        <v>1041377.0</v>
      </c>
      <c r="R132" s="3"/>
      <c r="S132" s="3">
        <v>26310.0</v>
      </c>
      <c r="T132" s="3" t="s">
        <v>37</v>
      </c>
      <c r="U132" s="3">
        <v>26310.0</v>
      </c>
      <c r="V132" s="5">
        <f>(DATE(2026,2,3)-'RICE_Insured Farms_with PPI Pol'!$G132)+IF('RICE_Insured Farms_with PPI Pol'!$H132&lt;&gt;'RICE_Insured Farms_with PPI Pol'!$G132,18,0)</f>
        <v>50</v>
      </c>
      <c r="W132" s="3" t="str">
        <f t="array" ref="W132">IFS(V132&gt;120, "Harvested", V132&gt;=113, "Yellow Ripening", V132&gt;=101, "Dough Stage", V132&gt;=93, "Milking Stage", V132&gt;=86, "Flowering", V132&gt;=56, "Panicle Initiation/Booting", V132&lt;56, "Vegetative/Tillering")</f>
        <v>Vegetative/Tillering</v>
      </c>
    </row>
    <row r="133" ht="15.75" hidden="1" customHeight="1">
      <c r="A133" s="3">
        <v>132.0</v>
      </c>
      <c r="B133" s="3" t="s">
        <v>23</v>
      </c>
      <c r="C133" s="3" t="s">
        <v>68</v>
      </c>
      <c r="D133" s="3" t="s">
        <v>69</v>
      </c>
      <c r="E133" s="3" t="s">
        <v>131</v>
      </c>
      <c r="F133" s="3">
        <v>1739644.0</v>
      </c>
      <c r="G133" s="4">
        <v>46028.0</v>
      </c>
      <c r="H133" s="4">
        <v>46130.0</v>
      </c>
      <c r="I133" s="3" t="s">
        <v>323</v>
      </c>
      <c r="J133" s="3" t="s">
        <v>530</v>
      </c>
      <c r="K133" s="3" t="s">
        <v>163</v>
      </c>
      <c r="L133" s="3">
        <v>1.0742</v>
      </c>
      <c r="M133" s="3">
        <v>26855.0</v>
      </c>
      <c r="N133" s="3">
        <v>2.0</v>
      </c>
      <c r="O133" s="3">
        <v>187745.0</v>
      </c>
      <c r="P133" s="3" t="s">
        <v>531</v>
      </c>
      <c r="Q133" s="3">
        <v>965038.0</v>
      </c>
      <c r="R133" s="3"/>
      <c r="S133" s="3">
        <v>18798.5</v>
      </c>
      <c r="T133" s="3" t="s">
        <v>31</v>
      </c>
      <c r="U133" s="3">
        <v>18798.5</v>
      </c>
      <c r="V133" s="5">
        <f>(DATE(2026,2,3)-'RICE_Insured Farms_with PPI Pol'!$G133)+IF('RICE_Insured Farms_with PPI Pol'!$H133&lt;&gt;'RICE_Insured Farms_with PPI Pol'!$G133,18,0)</f>
        <v>46</v>
      </c>
      <c r="W133" s="3" t="str">
        <f t="array" ref="W133">IFS(V133&gt;120, "Harvested", V133&gt;=113, "Yellow Ripening", V133&gt;=101, "Dough Stage", V133&gt;=93, "Milking Stage", V133&gt;=86, "Flowering", V133&gt;=56, "Panicle Initiation/Booting", V133&lt;56, "Vegetative/Tillering")</f>
        <v>Vegetative/Tillering</v>
      </c>
    </row>
    <row r="134" ht="15.75" customHeight="1">
      <c r="A134" s="3">
        <v>133.0</v>
      </c>
      <c r="B134" s="3" t="s">
        <v>23</v>
      </c>
      <c r="C134" s="3" t="s">
        <v>68</v>
      </c>
      <c r="D134" s="3" t="s">
        <v>69</v>
      </c>
      <c r="E134" s="3" t="s">
        <v>131</v>
      </c>
      <c r="F134" s="3">
        <v>1739643.0</v>
      </c>
      <c r="G134" s="4">
        <v>46018.0</v>
      </c>
      <c r="H134" s="4">
        <v>46120.0</v>
      </c>
      <c r="I134" s="3" t="s">
        <v>532</v>
      </c>
      <c r="J134" s="3" t="s">
        <v>533</v>
      </c>
      <c r="K134" s="3" t="s">
        <v>419</v>
      </c>
      <c r="L134" s="3">
        <v>0.7565</v>
      </c>
      <c r="M134" s="3">
        <v>18912.5</v>
      </c>
      <c r="N134" s="3">
        <v>3.0</v>
      </c>
      <c r="O134" s="3">
        <v>135673.0</v>
      </c>
      <c r="P134" s="3" t="s">
        <v>534</v>
      </c>
      <c r="Q134" s="3">
        <v>1024464.0</v>
      </c>
      <c r="R134" s="3"/>
      <c r="S134" s="3">
        <v>15130.0</v>
      </c>
      <c r="T134" s="3" t="s">
        <v>37</v>
      </c>
      <c r="U134" s="3">
        <v>15130.0</v>
      </c>
      <c r="V134" s="5">
        <f>(DATE(2026,2,3)-'RICE_Insured Farms_with PPI Pol'!$G134)+IF('RICE_Insured Farms_with PPI Pol'!$H134&lt;&gt;'RICE_Insured Farms_with PPI Pol'!$G134,18,0)</f>
        <v>56</v>
      </c>
      <c r="W134" s="3" t="str">
        <f t="array" ref="W134">IFS(V134&gt;120, "Harvested", V134&gt;=113, "Yellow Ripening", V134&gt;=101, "Dough Stage", V134&gt;=93, "Milking Stage", V134&gt;=86, "Flowering", V134&gt;=56, "Panicle Initiation/Booting", V134&lt;56, "Vegetative/Tillering")</f>
        <v>Panicle Initiation/Booting</v>
      </c>
    </row>
    <row r="135" ht="15.75" hidden="1" customHeight="1">
      <c r="A135" s="3">
        <v>134.0</v>
      </c>
      <c r="B135" s="3" t="s">
        <v>23</v>
      </c>
      <c r="C135" s="3" t="s">
        <v>68</v>
      </c>
      <c r="D135" s="3" t="s">
        <v>69</v>
      </c>
      <c r="E135" s="3" t="s">
        <v>131</v>
      </c>
      <c r="F135" s="3">
        <v>1739649.0</v>
      </c>
      <c r="G135" s="4">
        <v>46027.0</v>
      </c>
      <c r="H135" s="4">
        <v>46129.0</v>
      </c>
      <c r="I135" s="3" t="s">
        <v>532</v>
      </c>
      <c r="J135" s="3" t="s">
        <v>535</v>
      </c>
      <c r="K135" s="3" t="s">
        <v>536</v>
      </c>
      <c r="L135" s="3">
        <v>1.0033</v>
      </c>
      <c r="M135" s="3">
        <v>25082.5</v>
      </c>
      <c r="N135" s="3">
        <v>2.0</v>
      </c>
      <c r="O135" s="3">
        <v>187868.0</v>
      </c>
      <c r="P135" s="3" t="s">
        <v>537</v>
      </c>
      <c r="Q135" s="3">
        <v>1025330.0</v>
      </c>
      <c r="R135" s="3"/>
      <c r="S135" s="3">
        <v>17557.75</v>
      </c>
      <c r="T135" s="3" t="s">
        <v>31</v>
      </c>
      <c r="U135" s="3">
        <v>17557.75</v>
      </c>
      <c r="V135" s="5">
        <f>(DATE(2026,2,3)-'RICE_Insured Farms_with PPI Pol'!$G135)+IF('RICE_Insured Farms_with PPI Pol'!$H135&lt;&gt;'RICE_Insured Farms_with PPI Pol'!$G135,18,0)</f>
        <v>47</v>
      </c>
      <c r="W135" s="3" t="str">
        <f t="array" ref="W135">IFS(V135&gt;120, "Harvested", V135&gt;=113, "Yellow Ripening", V135&gt;=101, "Dough Stage", V135&gt;=93, "Milking Stage", V135&gt;=86, "Flowering", V135&gt;=56, "Panicle Initiation/Booting", V135&lt;56, "Vegetative/Tillering")</f>
        <v>Vegetative/Tillering</v>
      </c>
    </row>
    <row r="136" ht="15.75" hidden="1" customHeight="1">
      <c r="A136" s="3">
        <v>135.0</v>
      </c>
      <c r="B136" s="3" t="s">
        <v>23</v>
      </c>
      <c r="C136" s="3" t="s">
        <v>24</v>
      </c>
      <c r="D136" s="3" t="s">
        <v>538</v>
      </c>
      <c r="E136" s="3" t="s">
        <v>375</v>
      </c>
      <c r="F136" s="3">
        <v>1190678.0</v>
      </c>
      <c r="G136" s="4">
        <v>46028.0</v>
      </c>
      <c r="H136" s="4">
        <v>46131.0</v>
      </c>
      <c r="I136" s="3" t="s">
        <v>539</v>
      </c>
      <c r="J136" s="3" t="s">
        <v>540</v>
      </c>
      <c r="K136" s="3" t="s">
        <v>541</v>
      </c>
      <c r="L136" s="3">
        <v>0.3734</v>
      </c>
      <c r="M136" s="3">
        <v>9335.0</v>
      </c>
      <c r="N136" s="3">
        <v>2.0</v>
      </c>
      <c r="O136" s="3">
        <v>368300.0</v>
      </c>
      <c r="P136" s="3" t="s">
        <v>542</v>
      </c>
      <c r="Q136" s="3">
        <v>1097268.0</v>
      </c>
      <c r="R136" s="3"/>
      <c r="S136" s="3">
        <v>6534.5</v>
      </c>
      <c r="T136" s="3" t="s">
        <v>31</v>
      </c>
      <c r="U136" s="3">
        <v>6534.5</v>
      </c>
      <c r="V136" s="5">
        <f>(DATE(2026,2,3)-'RICE_Insured Farms_with PPI Pol'!$G136)+IF('RICE_Insured Farms_with PPI Pol'!$H136&lt;&gt;'RICE_Insured Farms_with PPI Pol'!$G136,18,0)</f>
        <v>46</v>
      </c>
      <c r="W136" s="3" t="str">
        <f t="array" ref="W136">IFS(V136&gt;120, "Harvested", V136&gt;=113, "Yellow Ripening", V136&gt;=101, "Dough Stage", V136&gt;=93, "Milking Stage", V136&gt;=86, "Flowering", V136&gt;=56, "Panicle Initiation/Booting", V136&lt;56, "Vegetative/Tillering")</f>
        <v>Vegetative/Tillering</v>
      </c>
    </row>
    <row r="137" ht="15.75" hidden="1" customHeight="1">
      <c r="A137" s="3">
        <v>136.0</v>
      </c>
      <c r="B137" s="3" t="s">
        <v>23</v>
      </c>
      <c r="C137" s="3" t="s">
        <v>68</v>
      </c>
      <c r="D137" s="3" t="s">
        <v>289</v>
      </c>
      <c r="E137" s="3" t="s">
        <v>431</v>
      </c>
      <c r="F137" s="3">
        <v>1760039.0</v>
      </c>
      <c r="G137" s="4">
        <v>46027.0</v>
      </c>
      <c r="H137" s="4">
        <v>46129.0</v>
      </c>
      <c r="I137" s="3" t="s">
        <v>543</v>
      </c>
      <c r="J137" s="3" t="s">
        <v>544</v>
      </c>
      <c r="K137" s="3" t="s">
        <v>545</v>
      </c>
      <c r="L137" s="3">
        <v>0.9327</v>
      </c>
      <c r="M137" s="3">
        <v>23317.5</v>
      </c>
      <c r="N137" s="3">
        <v>2.0</v>
      </c>
      <c r="O137" s="3">
        <v>128035.0</v>
      </c>
      <c r="P137" s="3" t="s">
        <v>546</v>
      </c>
      <c r="Q137" s="3">
        <v>1028402.0</v>
      </c>
      <c r="R137" s="3"/>
      <c r="S137" s="3">
        <v>16322.25</v>
      </c>
      <c r="T137" s="3" t="s">
        <v>31</v>
      </c>
      <c r="U137" s="3">
        <v>16322.25</v>
      </c>
      <c r="V137" s="5">
        <f>(DATE(2026,2,3)-'RICE_Insured Farms_with PPI Pol'!$G137)+IF('RICE_Insured Farms_with PPI Pol'!$H137&lt;&gt;'RICE_Insured Farms_with PPI Pol'!$G137,18,0)</f>
        <v>47</v>
      </c>
      <c r="W137" s="3" t="str">
        <f t="array" ref="W137">IFS(V137&gt;120, "Harvested", V137&gt;=113, "Yellow Ripening", V137&gt;=101, "Dough Stage", V137&gt;=93, "Milking Stage", V137&gt;=86, "Flowering", V137&gt;=56, "Panicle Initiation/Booting", V137&lt;56, "Vegetative/Tillering")</f>
        <v>Vegetative/Tillering</v>
      </c>
    </row>
    <row r="138" ht="15.75" customHeight="1">
      <c r="A138" s="3">
        <v>137.0</v>
      </c>
      <c r="B138" s="3" t="s">
        <v>23</v>
      </c>
      <c r="C138" s="3" t="s">
        <v>68</v>
      </c>
      <c r="D138" s="3" t="s">
        <v>289</v>
      </c>
      <c r="E138" s="3" t="s">
        <v>290</v>
      </c>
      <c r="F138" s="3">
        <v>1760020.0</v>
      </c>
      <c r="G138" s="4">
        <v>46017.0</v>
      </c>
      <c r="H138" s="4">
        <v>46119.0</v>
      </c>
      <c r="I138" s="3" t="s">
        <v>342</v>
      </c>
      <c r="J138" s="3" t="s">
        <v>547</v>
      </c>
      <c r="K138" s="3" t="s">
        <v>548</v>
      </c>
      <c r="L138" s="3">
        <v>0.5045</v>
      </c>
      <c r="M138" s="3">
        <v>12612.5</v>
      </c>
      <c r="N138" s="3">
        <v>3.0</v>
      </c>
      <c r="O138" s="3">
        <v>228263.0</v>
      </c>
      <c r="P138" s="3"/>
      <c r="Q138" s="3">
        <v>1080487.0</v>
      </c>
      <c r="R138" s="3"/>
      <c r="S138" s="3">
        <v>10090.0</v>
      </c>
      <c r="T138" s="3" t="s">
        <v>37</v>
      </c>
      <c r="U138" s="3">
        <v>10090.0</v>
      </c>
      <c r="V138" s="5">
        <f>(DATE(2026,2,3)-'RICE_Insured Farms_with PPI Pol'!$G138)+IF('RICE_Insured Farms_with PPI Pol'!$H138&lt;&gt;'RICE_Insured Farms_with PPI Pol'!$G138,18,0)</f>
        <v>57</v>
      </c>
      <c r="W138" s="3" t="str">
        <f t="array" ref="W138">IFS(V138&gt;120, "Harvested", V138&gt;=113, "Yellow Ripening", V138&gt;=101, "Dough Stage", V138&gt;=93, "Milking Stage", V138&gt;=86, "Flowering", V138&gt;=56, "Panicle Initiation/Booting", V138&lt;56, "Vegetative/Tillering")</f>
        <v>Panicle Initiation/Booting</v>
      </c>
    </row>
    <row r="139" ht="15.75" customHeight="1">
      <c r="A139" s="3">
        <v>138.0</v>
      </c>
      <c r="B139" s="3" t="s">
        <v>23</v>
      </c>
      <c r="C139" s="3" t="s">
        <v>68</v>
      </c>
      <c r="D139" s="3" t="s">
        <v>289</v>
      </c>
      <c r="E139" s="3" t="s">
        <v>352</v>
      </c>
      <c r="F139" s="3">
        <v>1760044.0</v>
      </c>
      <c r="G139" s="4">
        <v>46018.0</v>
      </c>
      <c r="H139" s="4">
        <v>46120.0</v>
      </c>
      <c r="I139" s="3" t="s">
        <v>549</v>
      </c>
      <c r="J139" s="3" t="s">
        <v>550</v>
      </c>
      <c r="K139" s="3" t="s">
        <v>551</v>
      </c>
      <c r="L139" s="3">
        <v>0.3024</v>
      </c>
      <c r="M139" s="3">
        <v>7560.0</v>
      </c>
      <c r="N139" s="3">
        <v>3.0</v>
      </c>
      <c r="O139" s="3">
        <v>299160.0</v>
      </c>
      <c r="P139" s="3"/>
      <c r="Q139" s="3">
        <v>964811.0</v>
      </c>
      <c r="R139" s="3"/>
      <c r="S139" s="3">
        <v>6048.0</v>
      </c>
      <c r="T139" s="3" t="s">
        <v>37</v>
      </c>
      <c r="U139" s="3">
        <v>6048.0</v>
      </c>
      <c r="V139" s="5">
        <f>(DATE(2026,2,3)-'RICE_Insured Farms_with PPI Pol'!$G139)+IF('RICE_Insured Farms_with PPI Pol'!$H139&lt;&gt;'RICE_Insured Farms_with PPI Pol'!$G139,18,0)</f>
        <v>56</v>
      </c>
      <c r="W139" s="3" t="str">
        <f t="array" ref="W139">IFS(V139&gt;120, "Harvested", V139&gt;=113, "Yellow Ripening", V139&gt;=101, "Dough Stage", V139&gt;=93, "Milking Stage", V139&gt;=86, "Flowering", V139&gt;=56, "Panicle Initiation/Booting", V139&lt;56, "Vegetative/Tillering")</f>
        <v>Panicle Initiation/Booting</v>
      </c>
    </row>
    <row r="140" ht="15.75" hidden="1" customHeight="1">
      <c r="A140" s="3">
        <v>139.0</v>
      </c>
      <c r="B140" s="3" t="s">
        <v>23</v>
      </c>
      <c r="C140" s="3" t="s">
        <v>68</v>
      </c>
      <c r="D140" s="3" t="s">
        <v>289</v>
      </c>
      <c r="E140" s="3" t="s">
        <v>507</v>
      </c>
      <c r="F140" s="3">
        <v>1760046.0</v>
      </c>
      <c r="G140" s="4">
        <v>46037.0</v>
      </c>
      <c r="H140" s="4">
        <v>46139.0</v>
      </c>
      <c r="I140" s="3" t="s">
        <v>552</v>
      </c>
      <c r="J140" s="3" t="s">
        <v>553</v>
      </c>
      <c r="K140" s="3" t="s">
        <v>554</v>
      </c>
      <c r="L140" s="3">
        <v>0.5</v>
      </c>
      <c r="M140" s="3">
        <v>12500.0</v>
      </c>
      <c r="N140" s="3">
        <v>2.0</v>
      </c>
      <c r="O140" s="3">
        <v>451726.0</v>
      </c>
      <c r="P140" s="3" t="s">
        <v>555</v>
      </c>
      <c r="Q140" s="3">
        <v>1044580.0</v>
      </c>
      <c r="R140" s="3"/>
      <c r="S140" s="3">
        <v>8750.0</v>
      </c>
      <c r="T140" s="3" t="s">
        <v>31</v>
      </c>
      <c r="U140" s="3">
        <v>8750.0</v>
      </c>
      <c r="V140" s="5">
        <f>(DATE(2026,2,3)-'RICE_Insured Farms_with PPI Pol'!$G140)+IF('RICE_Insured Farms_with PPI Pol'!$H140&lt;&gt;'RICE_Insured Farms_with PPI Pol'!$G140,18,0)</f>
        <v>37</v>
      </c>
      <c r="W140" s="3" t="str">
        <f t="array" ref="W140">IFS(V140&gt;120, "Harvested", V140&gt;=113, "Yellow Ripening", V140&gt;=101, "Dough Stage", V140&gt;=93, "Milking Stage", V140&gt;=86, "Flowering", V140&gt;=56, "Panicle Initiation/Booting", V140&lt;56, "Vegetative/Tillering")</f>
        <v>Vegetative/Tillering</v>
      </c>
    </row>
    <row r="141" ht="15.75" hidden="1" customHeight="1">
      <c r="A141" s="3">
        <v>140.0</v>
      </c>
      <c r="B141" s="3" t="s">
        <v>23</v>
      </c>
      <c r="C141" s="3" t="s">
        <v>24</v>
      </c>
      <c r="D141" s="3" t="s">
        <v>25</v>
      </c>
      <c r="E141" s="3" t="s">
        <v>556</v>
      </c>
      <c r="F141" s="3">
        <v>1761036.0</v>
      </c>
      <c r="G141" s="4">
        <v>46051.0</v>
      </c>
      <c r="H141" s="4">
        <v>46143.0</v>
      </c>
      <c r="I141" s="3" t="s">
        <v>557</v>
      </c>
      <c r="J141" s="3" t="s">
        <v>558</v>
      </c>
      <c r="K141" s="3" t="s">
        <v>559</v>
      </c>
      <c r="L141" s="3">
        <v>2.0</v>
      </c>
      <c r="M141" s="3">
        <v>50000.0</v>
      </c>
      <c r="N141" s="3">
        <v>2.0</v>
      </c>
      <c r="O141" s="3">
        <v>326574.0</v>
      </c>
      <c r="P141" s="3" t="s">
        <v>560</v>
      </c>
      <c r="Q141" s="3">
        <v>1059952.0</v>
      </c>
      <c r="R141" s="3"/>
      <c r="S141" s="3">
        <v>35000.0</v>
      </c>
      <c r="T141" s="3" t="s">
        <v>31</v>
      </c>
      <c r="U141" s="3">
        <v>35000.0</v>
      </c>
      <c r="V141" s="5">
        <f>(DATE(2026,2,3)-'RICE_Insured Farms_with PPI Pol'!$G141)+IF('RICE_Insured Farms_with PPI Pol'!$H141&lt;&gt;'RICE_Insured Farms_with PPI Pol'!$G141,18,0)</f>
        <v>23</v>
      </c>
      <c r="W141" s="3" t="str">
        <f t="array" ref="W141">IFS(V141&gt;120, "Harvested", V141&gt;=113, "Yellow Ripening", V141&gt;=101, "Dough Stage", V141&gt;=93, "Milking Stage", V141&gt;=86, "Flowering", V141&gt;=56, "Panicle Initiation/Booting", V141&lt;56, "Vegetative/Tillering")</f>
        <v>Vegetative/Tillering</v>
      </c>
    </row>
    <row r="142" ht="15.75" hidden="1" customHeight="1">
      <c r="A142" s="3">
        <v>141.0</v>
      </c>
      <c r="B142" s="3" t="s">
        <v>23</v>
      </c>
      <c r="C142" s="3" t="s">
        <v>68</v>
      </c>
      <c r="D142" s="3" t="s">
        <v>289</v>
      </c>
      <c r="E142" s="3" t="s">
        <v>431</v>
      </c>
      <c r="F142" s="3">
        <v>1760038.0</v>
      </c>
      <c r="G142" s="4">
        <v>46035.0</v>
      </c>
      <c r="H142" s="4">
        <v>46137.0</v>
      </c>
      <c r="I142" s="3" t="s">
        <v>561</v>
      </c>
      <c r="J142" s="3" t="s">
        <v>562</v>
      </c>
      <c r="K142" s="3" t="s">
        <v>563</v>
      </c>
      <c r="L142" s="3">
        <v>1.25</v>
      </c>
      <c r="M142" s="3">
        <v>31250.0</v>
      </c>
      <c r="N142" s="3">
        <v>2.0</v>
      </c>
      <c r="O142" s="3">
        <v>199476.0</v>
      </c>
      <c r="P142" s="3"/>
      <c r="Q142" s="3">
        <v>985967.0</v>
      </c>
      <c r="R142" s="3"/>
      <c r="S142" s="3">
        <v>21875.0</v>
      </c>
      <c r="T142" s="3" t="s">
        <v>31</v>
      </c>
      <c r="U142" s="3">
        <v>21875.0</v>
      </c>
      <c r="V142" s="5">
        <f>(DATE(2026,2,3)-'RICE_Insured Farms_with PPI Pol'!$G142)+IF('RICE_Insured Farms_with PPI Pol'!$H142&lt;&gt;'RICE_Insured Farms_with PPI Pol'!$G142,18,0)</f>
        <v>39</v>
      </c>
      <c r="W142" s="3" t="str">
        <f t="array" ref="W142">IFS(V142&gt;120, "Harvested", V142&gt;=113, "Yellow Ripening", V142&gt;=101, "Dough Stage", V142&gt;=93, "Milking Stage", V142&gt;=86, "Flowering", V142&gt;=56, "Panicle Initiation/Booting", V142&lt;56, "Vegetative/Tillering")</f>
        <v>Vegetative/Tillering</v>
      </c>
    </row>
    <row r="143" ht="15.75" hidden="1" customHeight="1">
      <c r="A143" s="3">
        <v>142.0</v>
      </c>
      <c r="B143" s="3" t="s">
        <v>23</v>
      </c>
      <c r="C143" s="3" t="s">
        <v>68</v>
      </c>
      <c r="D143" s="3" t="s">
        <v>289</v>
      </c>
      <c r="E143" s="3" t="s">
        <v>431</v>
      </c>
      <c r="F143" s="3">
        <v>1760019.0</v>
      </c>
      <c r="G143" s="4">
        <v>46025.0</v>
      </c>
      <c r="H143" s="4">
        <v>46127.0</v>
      </c>
      <c r="I143" s="3" t="s">
        <v>564</v>
      </c>
      <c r="J143" s="3" t="s">
        <v>565</v>
      </c>
      <c r="K143" s="3" t="s">
        <v>566</v>
      </c>
      <c r="L143" s="3">
        <v>0.75</v>
      </c>
      <c r="M143" s="3">
        <v>18750.0</v>
      </c>
      <c r="N143" s="3">
        <v>2.0</v>
      </c>
      <c r="O143" s="3">
        <v>199455.0</v>
      </c>
      <c r="P143" s="3"/>
      <c r="Q143" s="3">
        <v>973673.0</v>
      </c>
      <c r="R143" s="3"/>
      <c r="S143" s="3">
        <v>13125.0</v>
      </c>
      <c r="T143" s="3" t="s">
        <v>31</v>
      </c>
      <c r="U143" s="3">
        <v>13125.0</v>
      </c>
      <c r="V143" s="5">
        <f>(DATE(2026,2,3)-'RICE_Insured Farms_with PPI Pol'!$G143)+IF('RICE_Insured Farms_with PPI Pol'!$H143&lt;&gt;'RICE_Insured Farms_with PPI Pol'!$G143,18,0)</f>
        <v>49</v>
      </c>
      <c r="W143" s="3" t="str">
        <f t="array" ref="W143">IFS(V143&gt;120, "Harvested", V143&gt;=113, "Yellow Ripening", V143&gt;=101, "Dough Stage", V143&gt;=93, "Milking Stage", V143&gt;=86, "Flowering", V143&gt;=56, "Panicle Initiation/Booting", V143&lt;56, "Vegetative/Tillering")</f>
        <v>Vegetative/Tillering</v>
      </c>
    </row>
    <row r="144" ht="15.75" hidden="1" customHeight="1">
      <c r="A144" s="3">
        <v>143.0</v>
      </c>
      <c r="B144" s="3" t="s">
        <v>23</v>
      </c>
      <c r="C144" s="3" t="s">
        <v>68</v>
      </c>
      <c r="D144" s="3" t="s">
        <v>289</v>
      </c>
      <c r="E144" s="3" t="s">
        <v>431</v>
      </c>
      <c r="F144" s="3">
        <v>1760038.0</v>
      </c>
      <c r="G144" s="4">
        <v>46033.0</v>
      </c>
      <c r="H144" s="4">
        <v>46135.0</v>
      </c>
      <c r="I144" s="3" t="s">
        <v>564</v>
      </c>
      <c r="J144" s="3" t="s">
        <v>567</v>
      </c>
      <c r="K144" s="3" t="s">
        <v>566</v>
      </c>
      <c r="L144" s="3">
        <v>0.3514</v>
      </c>
      <c r="M144" s="3">
        <v>8785.0</v>
      </c>
      <c r="N144" s="3">
        <v>2.0</v>
      </c>
      <c r="O144" s="3">
        <v>356030.0</v>
      </c>
      <c r="P144" s="3" t="s">
        <v>568</v>
      </c>
      <c r="Q144" s="3">
        <v>973670.0</v>
      </c>
      <c r="R144" s="3"/>
      <c r="S144" s="3">
        <v>6149.5</v>
      </c>
      <c r="T144" s="3" t="s">
        <v>31</v>
      </c>
      <c r="U144" s="3">
        <v>6149.5</v>
      </c>
      <c r="V144" s="5">
        <f>(DATE(2026,2,3)-'RICE_Insured Farms_with PPI Pol'!$G144)+IF('RICE_Insured Farms_with PPI Pol'!$H144&lt;&gt;'RICE_Insured Farms_with PPI Pol'!$G144,18,0)</f>
        <v>41</v>
      </c>
      <c r="W144" s="3" t="str">
        <f t="array" ref="W144">IFS(V144&gt;120, "Harvested", V144&gt;=113, "Yellow Ripening", V144&gt;=101, "Dough Stage", V144&gt;=93, "Milking Stage", V144&gt;=86, "Flowering", V144&gt;=56, "Panicle Initiation/Booting", V144&lt;56, "Vegetative/Tillering")</f>
        <v>Vegetative/Tillering</v>
      </c>
    </row>
    <row r="145" ht="15.75" hidden="1" customHeight="1">
      <c r="A145" s="3">
        <v>144.0</v>
      </c>
      <c r="B145" s="3" t="s">
        <v>23</v>
      </c>
      <c r="C145" s="3" t="s">
        <v>68</v>
      </c>
      <c r="D145" s="3" t="s">
        <v>289</v>
      </c>
      <c r="E145" s="3" t="s">
        <v>431</v>
      </c>
      <c r="F145" s="3">
        <v>1760038.0</v>
      </c>
      <c r="G145" s="4">
        <v>46031.0</v>
      </c>
      <c r="H145" s="4">
        <v>46133.0</v>
      </c>
      <c r="I145" s="3" t="s">
        <v>564</v>
      </c>
      <c r="J145" s="3" t="s">
        <v>361</v>
      </c>
      <c r="K145" s="3" t="s">
        <v>569</v>
      </c>
      <c r="L145" s="3">
        <v>1.0</v>
      </c>
      <c r="M145" s="3">
        <v>25000.0</v>
      </c>
      <c r="N145" s="3">
        <v>2.0</v>
      </c>
      <c r="O145" s="3">
        <v>199423.0</v>
      </c>
      <c r="P145" s="3" t="s">
        <v>570</v>
      </c>
      <c r="Q145" s="3">
        <v>625375.0</v>
      </c>
      <c r="R145" s="3"/>
      <c r="S145" s="3">
        <v>17500.0</v>
      </c>
      <c r="T145" s="3" t="s">
        <v>31</v>
      </c>
      <c r="U145" s="3">
        <v>17500.0</v>
      </c>
      <c r="V145" s="5">
        <f>(DATE(2026,2,3)-'RICE_Insured Farms_with PPI Pol'!$G145)+IF('RICE_Insured Farms_with PPI Pol'!$H145&lt;&gt;'RICE_Insured Farms_with PPI Pol'!$G145,18,0)</f>
        <v>43</v>
      </c>
      <c r="W145" s="3" t="str">
        <f t="array" ref="W145">IFS(V145&gt;120, "Harvested", V145&gt;=113, "Yellow Ripening", V145&gt;=101, "Dough Stage", V145&gt;=93, "Milking Stage", V145&gt;=86, "Flowering", V145&gt;=56, "Panicle Initiation/Booting", V145&lt;56, "Vegetative/Tillering")</f>
        <v>Vegetative/Tillering</v>
      </c>
    </row>
    <row r="146" ht="15.75" hidden="1" customHeight="1">
      <c r="A146" s="3">
        <v>145.0</v>
      </c>
      <c r="B146" s="3" t="s">
        <v>23</v>
      </c>
      <c r="C146" s="3" t="s">
        <v>68</v>
      </c>
      <c r="D146" s="3" t="s">
        <v>289</v>
      </c>
      <c r="E146" s="3" t="s">
        <v>571</v>
      </c>
      <c r="F146" s="3">
        <v>1760010.0</v>
      </c>
      <c r="G146" s="4">
        <v>46029.0</v>
      </c>
      <c r="H146" s="4">
        <v>46131.0</v>
      </c>
      <c r="I146" s="3" t="s">
        <v>572</v>
      </c>
      <c r="J146" s="3" t="s">
        <v>573</v>
      </c>
      <c r="K146" s="3" t="s">
        <v>574</v>
      </c>
      <c r="L146" s="3">
        <v>0.25</v>
      </c>
      <c r="M146" s="3">
        <v>6250.0</v>
      </c>
      <c r="N146" s="3">
        <v>2.0</v>
      </c>
      <c r="O146" s="3">
        <v>122224.0</v>
      </c>
      <c r="P146" s="3" t="s">
        <v>575</v>
      </c>
      <c r="Q146" s="3">
        <v>785517.0</v>
      </c>
      <c r="R146" s="3"/>
      <c r="S146" s="3">
        <v>4375.0</v>
      </c>
      <c r="T146" s="3" t="s">
        <v>31</v>
      </c>
      <c r="U146" s="3">
        <v>4375.0</v>
      </c>
      <c r="V146" s="5">
        <f>(DATE(2026,2,3)-'RICE_Insured Farms_with PPI Pol'!$G146)+IF('RICE_Insured Farms_with PPI Pol'!$H146&lt;&gt;'RICE_Insured Farms_with PPI Pol'!$G146,18,0)</f>
        <v>45</v>
      </c>
      <c r="W146" s="3" t="str">
        <f t="array" ref="W146">IFS(V146&gt;120, "Harvested", V146&gt;=113, "Yellow Ripening", V146&gt;=101, "Dough Stage", V146&gt;=93, "Milking Stage", V146&gt;=86, "Flowering", V146&gt;=56, "Panicle Initiation/Booting", V146&lt;56, "Vegetative/Tillering")</f>
        <v>Vegetative/Tillering</v>
      </c>
    </row>
    <row r="147" ht="15.75" hidden="1" customHeight="1">
      <c r="A147" s="3">
        <v>146.0</v>
      </c>
      <c r="B147" s="3" t="s">
        <v>23</v>
      </c>
      <c r="C147" s="3" t="s">
        <v>68</v>
      </c>
      <c r="D147" s="3" t="s">
        <v>289</v>
      </c>
      <c r="E147" s="3" t="s">
        <v>339</v>
      </c>
      <c r="F147" s="3">
        <v>1760021.0</v>
      </c>
      <c r="G147" s="4">
        <v>46023.0</v>
      </c>
      <c r="H147" s="4">
        <v>46133.0</v>
      </c>
      <c r="I147" s="3" t="s">
        <v>576</v>
      </c>
      <c r="J147" s="3" t="s">
        <v>577</v>
      </c>
      <c r="K147" s="3" t="s">
        <v>578</v>
      </c>
      <c r="L147" s="3">
        <v>1.0</v>
      </c>
      <c r="M147" s="3">
        <v>25000.0</v>
      </c>
      <c r="N147" s="3">
        <v>2.0</v>
      </c>
      <c r="O147" s="3">
        <v>84474.0</v>
      </c>
      <c r="P147" s="3" t="s">
        <v>579</v>
      </c>
      <c r="Q147" s="3">
        <v>949894.0</v>
      </c>
      <c r="R147" s="3"/>
      <c r="S147" s="3">
        <v>17500.0</v>
      </c>
      <c r="T147" s="3" t="s">
        <v>31</v>
      </c>
      <c r="U147" s="3">
        <v>17500.0</v>
      </c>
      <c r="V147" s="5">
        <f>(DATE(2026,2,3)-'RICE_Insured Farms_with PPI Pol'!$G147)+IF('RICE_Insured Farms_with PPI Pol'!$H147&lt;&gt;'RICE_Insured Farms_with PPI Pol'!$G147,18,0)</f>
        <v>51</v>
      </c>
      <c r="W147" s="3" t="str">
        <f t="array" ref="W147">IFS(V147&gt;120, "Harvested", V147&gt;=113, "Yellow Ripening", V147&gt;=101, "Dough Stage", V147&gt;=93, "Milking Stage", V147&gt;=86, "Flowering", V147&gt;=56, "Panicle Initiation/Booting", V147&lt;56, "Vegetative/Tillering")</f>
        <v>Vegetative/Tillering</v>
      </c>
    </row>
    <row r="148" ht="15.75" hidden="1" customHeight="1">
      <c r="A148" s="3">
        <v>147.0</v>
      </c>
      <c r="B148" s="3" t="s">
        <v>23</v>
      </c>
      <c r="C148" s="3" t="s">
        <v>24</v>
      </c>
      <c r="D148" s="3" t="s">
        <v>25</v>
      </c>
      <c r="E148" s="3" t="s">
        <v>580</v>
      </c>
      <c r="F148" s="3">
        <v>1761013.0</v>
      </c>
      <c r="G148" s="4">
        <v>46042.0</v>
      </c>
      <c r="H148" s="4">
        <v>46137.0</v>
      </c>
      <c r="I148" s="3" t="s">
        <v>581</v>
      </c>
      <c r="J148" s="3" t="s">
        <v>582</v>
      </c>
      <c r="K148" s="3" t="s">
        <v>583</v>
      </c>
      <c r="L148" s="3">
        <v>0.5</v>
      </c>
      <c r="M148" s="3">
        <v>12500.0</v>
      </c>
      <c r="N148" s="3">
        <v>2.0</v>
      </c>
      <c r="O148" s="3">
        <v>310544.0</v>
      </c>
      <c r="P148" s="3" t="s">
        <v>584</v>
      </c>
      <c r="Q148" s="3">
        <v>1043738.0</v>
      </c>
      <c r="R148" s="3"/>
      <c r="S148" s="3">
        <v>8750.0</v>
      </c>
      <c r="T148" s="3" t="s">
        <v>31</v>
      </c>
      <c r="U148" s="3">
        <v>8750.0</v>
      </c>
      <c r="V148" s="5">
        <f>(DATE(2026,2,3)-'RICE_Insured Farms_with PPI Pol'!$G148)+IF('RICE_Insured Farms_with PPI Pol'!$H148&lt;&gt;'RICE_Insured Farms_with PPI Pol'!$G148,18,0)</f>
        <v>32</v>
      </c>
      <c r="W148" s="3" t="str">
        <f t="array" ref="W148">IFS(V148&gt;120, "Harvested", V148&gt;=113, "Yellow Ripening", V148&gt;=101, "Dough Stage", V148&gt;=93, "Milking Stage", V148&gt;=86, "Flowering", V148&gt;=56, "Panicle Initiation/Booting", V148&lt;56, "Vegetative/Tillering")</f>
        <v>Vegetative/Tillering</v>
      </c>
    </row>
    <row r="149" ht="15.75" hidden="1" customHeight="1">
      <c r="A149" s="3">
        <v>148.0</v>
      </c>
      <c r="B149" s="3" t="s">
        <v>23</v>
      </c>
      <c r="C149" s="3" t="s">
        <v>68</v>
      </c>
      <c r="D149" s="3" t="s">
        <v>289</v>
      </c>
      <c r="E149" s="3" t="s">
        <v>507</v>
      </c>
      <c r="F149" s="3">
        <v>1760034.0</v>
      </c>
      <c r="G149" s="4">
        <v>46037.0</v>
      </c>
      <c r="H149" s="4">
        <v>46139.0</v>
      </c>
      <c r="I149" s="3" t="s">
        <v>585</v>
      </c>
      <c r="J149" s="3" t="s">
        <v>586</v>
      </c>
      <c r="K149" s="3" t="s">
        <v>587</v>
      </c>
      <c r="L149" s="3">
        <v>0.2539</v>
      </c>
      <c r="M149" s="3">
        <v>6347.5</v>
      </c>
      <c r="N149" s="3">
        <v>2.0</v>
      </c>
      <c r="O149" s="3">
        <v>419551.0</v>
      </c>
      <c r="P149" s="3" t="s">
        <v>588</v>
      </c>
      <c r="Q149" s="3">
        <v>896415.0</v>
      </c>
      <c r="R149" s="3"/>
      <c r="S149" s="3">
        <v>4443.25</v>
      </c>
      <c r="T149" s="3" t="s">
        <v>31</v>
      </c>
      <c r="U149" s="3">
        <v>4443.25</v>
      </c>
      <c r="V149" s="5">
        <f>(DATE(2026,2,3)-'RICE_Insured Farms_with PPI Pol'!$G149)+IF('RICE_Insured Farms_with PPI Pol'!$H149&lt;&gt;'RICE_Insured Farms_with PPI Pol'!$G149,18,0)</f>
        <v>37</v>
      </c>
      <c r="W149" s="3" t="str">
        <f t="array" ref="W149">IFS(V149&gt;120, "Harvested", V149&gt;=113, "Yellow Ripening", V149&gt;=101, "Dough Stage", V149&gt;=93, "Milking Stage", V149&gt;=86, "Flowering", V149&gt;=56, "Panicle Initiation/Booting", V149&lt;56, "Vegetative/Tillering")</f>
        <v>Vegetative/Tillering</v>
      </c>
    </row>
    <row r="150" ht="15.75" customHeight="1">
      <c r="A150" s="3">
        <v>149.0</v>
      </c>
      <c r="B150" s="3" t="s">
        <v>23</v>
      </c>
      <c r="C150" s="3" t="s">
        <v>24</v>
      </c>
      <c r="D150" s="3" t="s">
        <v>299</v>
      </c>
      <c r="E150" s="3" t="s">
        <v>300</v>
      </c>
      <c r="F150" s="3">
        <v>1760457.0</v>
      </c>
      <c r="G150" s="4">
        <v>46019.0</v>
      </c>
      <c r="H150" s="4">
        <v>46114.0</v>
      </c>
      <c r="I150" s="3" t="s">
        <v>589</v>
      </c>
      <c r="J150" s="3" t="s">
        <v>381</v>
      </c>
      <c r="K150" s="3" t="s">
        <v>590</v>
      </c>
      <c r="L150" s="3">
        <v>1.0</v>
      </c>
      <c r="M150" s="3">
        <v>25000.0</v>
      </c>
      <c r="N150" s="3">
        <v>3.0</v>
      </c>
      <c r="O150" s="3">
        <v>84954.0</v>
      </c>
      <c r="P150" s="3" t="s">
        <v>591</v>
      </c>
      <c r="Q150" s="3">
        <v>873186.0</v>
      </c>
      <c r="R150" s="3"/>
      <c r="S150" s="3">
        <v>20000.0</v>
      </c>
      <c r="T150" s="3" t="s">
        <v>37</v>
      </c>
      <c r="U150" s="3">
        <v>20000.0</v>
      </c>
      <c r="V150" s="5">
        <f>(DATE(2026,2,3)-'RICE_Insured Farms_with PPI Pol'!$G150)+IF('RICE_Insured Farms_with PPI Pol'!$H150&lt;&gt;'RICE_Insured Farms_with PPI Pol'!$G150,18,0)</f>
        <v>55</v>
      </c>
      <c r="W150" s="3" t="str">
        <f t="array" ref="W150">IFS(V150&gt;120, "Harvested", V150&gt;=113, "Yellow Ripening", V150&gt;=101, "Dough Stage", V150&gt;=93, "Milking Stage", V150&gt;=86, "Flowering", V150&gt;=56, "Panicle Initiation/Booting", V150&lt;56, "Vegetative/Tillering")</f>
        <v>Vegetative/Tillering</v>
      </c>
    </row>
    <row r="151" ht="15.75" hidden="1" customHeight="1">
      <c r="A151" s="3">
        <v>82.0</v>
      </c>
      <c r="B151" s="3" t="s">
        <v>23</v>
      </c>
      <c r="C151" s="3" t="s">
        <v>24</v>
      </c>
      <c r="D151" s="3" t="s">
        <v>25</v>
      </c>
      <c r="E151" s="3" t="s">
        <v>348</v>
      </c>
      <c r="F151" s="3">
        <v>1760496.0</v>
      </c>
      <c r="G151" s="4">
        <v>46013.0</v>
      </c>
      <c r="H151" s="4">
        <v>46108.0</v>
      </c>
      <c r="I151" s="3" t="s">
        <v>349</v>
      </c>
      <c r="J151" s="3" t="s">
        <v>592</v>
      </c>
      <c r="K151" s="3" t="s">
        <v>351</v>
      </c>
      <c r="L151" s="3">
        <v>0.8532</v>
      </c>
      <c r="M151" s="3">
        <v>21330.0</v>
      </c>
      <c r="N151" s="3">
        <v>4.0</v>
      </c>
      <c r="O151" s="3">
        <v>296062.0</v>
      </c>
      <c r="P151" s="3" t="s">
        <v>593</v>
      </c>
      <c r="Q151" s="3">
        <v>875837.0</v>
      </c>
      <c r="R151" s="3"/>
      <c r="S151" s="3">
        <v>17064.0</v>
      </c>
      <c r="T151" s="3" t="s">
        <v>56</v>
      </c>
      <c r="U151" s="3">
        <v>17064.0</v>
      </c>
      <c r="V151" s="5">
        <f>(DATE(2026,2,3)-'RICE_Insured Farms_with PPI Pol'!$G151)+IF('RICE_Insured Farms_with PPI Pol'!$H151&lt;&gt;'RICE_Insured Farms_with PPI Pol'!$G151,18,0)</f>
        <v>61</v>
      </c>
      <c r="W151" s="3" t="str">
        <f t="array" ref="W151">IFS(V151&gt;120, "Harvested", V151&gt;=113, "Yellow Ripening", V151&gt;=101, "Dough Stage", V151&gt;=93, "Milking Stage", V151&gt;=86, "Flowering", V151&gt;=56, "Panicle Initiation/Booting", V151&lt;56, "Vegetative/Tillering")</f>
        <v>Panicle Initiation/Booting</v>
      </c>
    </row>
    <row r="152" ht="15.75" customHeight="1">
      <c r="A152" s="3">
        <v>151.0</v>
      </c>
      <c r="B152" s="3" t="s">
        <v>23</v>
      </c>
      <c r="C152" s="3" t="s">
        <v>24</v>
      </c>
      <c r="D152" s="3" t="s">
        <v>25</v>
      </c>
      <c r="E152" s="3" t="s">
        <v>594</v>
      </c>
      <c r="F152" s="3">
        <v>1761024.0</v>
      </c>
      <c r="G152" s="4">
        <v>46017.0</v>
      </c>
      <c r="H152" s="4">
        <v>46120.0</v>
      </c>
      <c r="I152" s="3" t="s">
        <v>595</v>
      </c>
      <c r="J152" s="3" t="s">
        <v>596</v>
      </c>
      <c r="K152" s="3" t="s">
        <v>597</v>
      </c>
      <c r="L152" s="3">
        <v>1.0</v>
      </c>
      <c r="M152" s="3">
        <v>25000.0</v>
      </c>
      <c r="N152" s="3">
        <v>3.0</v>
      </c>
      <c r="O152" s="3">
        <v>289960.0</v>
      </c>
      <c r="P152" s="3" t="s">
        <v>598</v>
      </c>
      <c r="Q152" s="3">
        <v>958854.0</v>
      </c>
      <c r="R152" s="3"/>
      <c r="S152" s="3">
        <v>20000.0</v>
      </c>
      <c r="T152" s="3" t="s">
        <v>37</v>
      </c>
      <c r="U152" s="3">
        <v>20000.0</v>
      </c>
      <c r="V152" s="5">
        <f>(DATE(2026,2,3)-'RICE_Insured Farms_with PPI Pol'!$G152)+IF('RICE_Insured Farms_with PPI Pol'!$H152&lt;&gt;'RICE_Insured Farms_with PPI Pol'!$G152,18,0)</f>
        <v>57</v>
      </c>
      <c r="W152" s="3" t="str">
        <f t="array" ref="W152">IFS(V152&gt;120, "Harvested", V152&gt;=113, "Yellow Ripening", V152&gt;=101, "Dough Stage", V152&gt;=93, "Milking Stage", V152&gt;=86, "Flowering", V152&gt;=56, "Panicle Initiation/Booting", V152&lt;56, "Vegetative/Tillering")</f>
        <v>Panicle Initiation/Booting</v>
      </c>
    </row>
    <row r="153" ht="15.75" customHeight="1">
      <c r="A153" s="3">
        <v>152.0</v>
      </c>
      <c r="B153" s="3" t="s">
        <v>23</v>
      </c>
      <c r="C153" s="3" t="s">
        <v>24</v>
      </c>
      <c r="D153" s="3" t="s">
        <v>25</v>
      </c>
      <c r="E153" s="3" t="s">
        <v>594</v>
      </c>
      <c r="F153" s="3">
        <v>1761024.0</v>
      </c>
      <c r="G153" s="4">
        <v>46017.0</v>
      </c>
      <c r="H153" s="4">
        <v>46120.0</v>
      </c>
      <c r="I153" s="3" t="s">
        <v>595</v>
      </c>
      <c r="J153" s="3" t="s">
        <v>599</v>
      </c>
      <c r="K153" s="3" t="s">
        <v>600</v>
      </c>
      <c r="L153" s="3">
        <v>1.0</v>
      </c>
      <c r="M153" s="3">
        <v>25000.0</v>
      </c>
      <c r="N153" s="3">
        <v>3.0</v>
      </c>
      <c r="O153" s="3">
        <v>332312.0</v>
      </c>
      <c r="P153" s="3" t="s">
        <v>601</v>
      </c>
      <c r="Q153" s="3">
        <v>766840.0</v>
      </c>
      <c r="R153" s="3"/>
      <c r="S153" s="3">
        <v>20000.0</v>
      </c>
      <c r="T153" s="3" t="s">
        <v>37</v>
      </c>
      <c r="U153" s="3">
        <v>20000.0</v>
      </c>
      <c r="V153" s="5">
        <f>(DATE(2026,2,3)-'RICE_Insured Farms_with PPI Pol'!$G153)+IF('RICE_Insured Farms_with PPI Pol'!$H153&lt;&gt;'RICE_Insured Farms_with PPI Pol'!$G153,18,0)</f>
        <v>57</v>
      </c>
      <c r="W153" s="3" t="str">
        <f t="array" ref="W153">IFS(V153&gt;120, "Harvested", V153&gt;=113, "Yellow Ripening", V153&gt;=101, "Dough Stage", V153&gt;=93, "Milking Stage", V153&gt;=86, "Flowering", V153&gt;=56, "Panicle Initiation/Booting", V153&lt;56, "Vegetative/Tillering")</f>
        <v>Panicle Initiation/Booting</v>
      </c>
    </row>
    <row r="154" ht="15.75" hidden="1" customHeight="1">
      <c r="A154" s="3">
        <v>153.0</v>
      </c>
      <c r="B154" s="3" t="s">
        <v>23</v>
      </c>
      <c r="C154" s="3" t="s">
        <v>24</v>
      </c>
      <c r="D154" s="3" t="s">
        <v>25</v>
      </c>
      <c r="E154" s="3" t="s">
        <v>602</v>
      </c>
      <c r="F154" s="3">
        <v>1761015.0</v>
      </c>
      <c r="G154" s="4">
        <v>46038.0</v>
      </c>
      <c r="H154" s="4">
        <v>46147.0</v>
      </c>
      <c r="I154" s="3" t="s">
        <v>603</v>
      </c>
      <c r="J154" s="3" t="s">
        <v>217</v>
      </c>
      <c r="K154" s="3" t="s">
        <v>604</v>
      </c>
      <c r="L154" s="3">
        <v>2.0</v>
      </c>
      <c r="M154" s="3">
        <v>50000.0</v>
      </c>
      <c r="N154" s="3">
        <v>1.0</v>
      </c>
      <c r="O154" s="3">
        <v>236845.0</v>
      </c>
      <c r="P154" s="3" t="s">
        <v>605</v>
      </c>
      <c r="Q154" s="3">
        <v>1047353.0</v>
      </c>
      <c r="R154" s="3"/>
      <c r="S154" s="3">
        <v>30000.0</v>
      </c>
      <c r="T154" s="3" t="s">
        <v>62</v>
      </c>
      <c r="U154" s="3">
        <v>30000.0</v>
      </c>
      <c r="V154" s="5">
        <f>(DATE(2026,2,3)-'RICE_Insured Farms_with PPI Pol'!$G154)+IF('RICE_Insured Farms_with PPI Pol'!$H154&lt;&gt;'RICE_Insured Farms_with PPI Pol'!$G154,18,0)</f>
        <v>36</v>
      </c>
      <c r="W154" s="3" t="str">
        <f t="array" ref="W154">IFS(V154&gt;120, "Harvested", V154&gt;=113, "Yellow Ripening", V154&gt;=101, "Dough Stage", V154&gt;=93, "Milking Stage", V154&gt;=86, "Flowering", V154&gt;=56, "Panicle Initiation/Booting", V154&lt;56, "Vegetative/Tillering")</f>
        <v>Vegetative/Tillering</v>
      </c>
    </row>
    <row r="155" ht="15.75" hidden="1" customHeight="1">
      <c r="A155" s="3">
        <v>154.0</v>
      </c>
      <c r="B155" s="3" t="s">
        <v>23</v>
      </c>
      <c r="C155" s="3" t="s">
        <v>68</v>
      </c>
      <c r="D155" s="3" t="s">
        <v>262</v>
      </c>
      <c r="E155" s="3" t="s">
        <v>273</v>
      </c>
      <c r="F155" s="3">
        <v>1739592.0</v>
      </c>
      <c r="G155" s="4">
        <v>46026.0</v>
      </c>
      <c r="H155" s="4">
        <v>46128.0</v>
      </c>
      <c r="I155" s="3" t="s">
        <v>606</v>
      </c>
      <c r="J155" s="3" t="s">
        <v>607</v>
      </c>
      <c r="K155" s="3" t="s">
        <v>608</v>
      </c>
      <c r="L155" s="3">
        <v>0.6018</v>
      </c>
      <c r="M155" s="3">
        <v>15045.0</v>
      </c>
      <c r="N155" s="3">
        <v>2.0</v>
      </c>
      <c r="O155" s="3">
        <v>436673.0</v>
      </c>
      <c r="P155" s="3" t="s">
        <v>609</v>
      </c>
      <c r="Q155" s="3">
        <v>1119255.0</v>
      </c>
      <c r="R155" s="3"/>
      <c r="S155" s="3">
        <v>10531.5</v>
      </c>
      <c r="T155" s="3" t="s">
        <v>31</v>
      </c>
      <c r="U155" s="3">
        <v>10531.5</v>
      </c>
      <c r="V155" s="5">
        <f>(DATE(2026,2,3)-'RICE_Insured Farms_with PPI Pol'!$G155)+IF('RICE_Insured Farms_with PPI Pol'!$H155&lt;&gt;'RICE_Insured Farms_with PPI Pol'!$G155,18,0)</f>
        <v>48</v>
      </c>
      <c r="W155" s="3" t="str">
        <f t="array" ref="W155">IFS(V155&gt;120, "Harvested", V155&gt;=113, "Yellow Ripening", V155&gt;=101, "Dough Stage", V155&gt;=93, "Milking Stage", V155&gt;=86, "Flowering", V155&gt;=56, "Panicle Initiation/Booting", V155&lt;56, "Vegetative/Tillering")</f>
        <v>Vegetative/Tillering</v>
      </c>
    </row>
    <row r="156" ht="15.75" customHeight="1">
      <c r="A156" s="3">
        <v>155.0</v>
      </c>
      <c r="B156" s="3" t="s">
        <v>23</v>
      </c>
      <c r="C156" s="3" t="s">
        <v>68</v>
      </c>
      <c r="D156" s="3" t="s">
        <v>69</v>
      </c>
      <c r="E156" s="3" t="s">
        <v>131</v>
      </c>
      <c r="F156" s="3">
        <v>1739641.0</v>
      </c>
      <c r="G156" s="4">
        <v>46019.0</v>
      </c>
      <c r="H156" s="4">
        <v>46121.0</v>
      </c>
      <c r="I156" s="3" t="s">
        <v>610</v>
      </c>
      <c r="J156" s="3" t="s">
        <v>125</v>
      </c>
      <c r="K156" s="3" t="s">
        <v>611</v>
      </c>
      <c r="L156" s="3">
        <v>0.502</v>
      </c>
      <c r="M156" s="3">
        <v>12550.0</v>
      </c>
      <c r="N156" s="3">
        <v>3.0</v>
      </c>
      <c r="O156" s="3">
        <v>187873.0</v>
      </c>
      <c r="P156" s="3" t="s">
        <v>612</v>
      </c>
      <c r="Q156" s="3">
        <v>1025349.0</v>
      </c>
      <c r="R156" s="3"/>
      <c r="S156" s="3">
        <v>10040.0</v>
      </c>
      <c r="T156" s="3" t="s">
        <v>37</v>
      </c>
      <c r="U156" s="3">
        <v>10040.0</v>
      </c>
      <c r="V156" s="5">
        <f>(DATE(2026,2,3)-'RICE_Insured Farms_with PPI Pol'!$G156)+IF('RICE_Insured Farms_with PPI Pol'!$H156&lt;&gt;'RICE_Insured Farms_with PPI Pol'!$G156,18,0)</f>
        <v>55</v>
      </c>
      <c r="W156" s="3" t="str">
        <f t="array" ref="W156">IFS(V156&gt;120, "Harvested", V156&gt;=113, "Yellow Ripening", V156&gt;=101, "Dough Stage", V156&gt;=93, "Milking Stage", V156&gt;=86, "Flowering", V156&gt;=56, "Panicle Initiation/Booting", V156&lt;56, "Vegetative/Tillering")</f>
        <v>Vegetative/Tillering</v>
      </c>
    </row>
    <row r="157" ht="15.75" customHeight="1">
      <c r="A157" s="3">
        <v>156.0</v>
      </c>
      <c r="B157" s="3" t="s">
        <v>23</v>
      </c>
      <c r="C157" s="3" t="s">
        <v>68</v>
      </c>
      <c r="D157" s="3" t="s">
        <v>69</v>
      </c>
      <c r="E157" s="3" t="s">
        <v>70</v>
      </c>
      <c r="F157" s="3">
        <v>1739638.0</v>
      </c>
      <c r="G157" s="4">
        <v>46014.0</v>
      </c>
      <c r="H157" s="4">
        <v>46116.0</v>
      </c>
      <c r="I157" s="3" t="s">
        <v>613</v>
      </c>
      <c r="J157" s="3" t="s">
        <v>614</v>
      </c>
      <c r="K157" s="3" t="s">
        <v>615</v>
      </c>
      <c r="L157" s="3">
        <v>0.5</v>
      </c>
      <c r="M157" s="3">
        <v>12500.0</v>
      </c>
      <c r="N157" s="3">
        <v>3.0</v>
      </c>
      <c r="O157" s="3">
        <v>169338.0</v>
      </c>
      <c r="P157" s="3" t="s">
        <v>616</v>
      </c>
      <c r="Q157" s="3">
        <v>962966.0</v>
      </c>
      <c r="R157" s="3"/>
      <c r="S157" s="3">
        <v>10000.0</v>
      </c>
      <c r="T157" s="3" t="s">
        <v>37</v>
      </c>
      <c r="U157" s="3">
        <v>10000.0</v>
      </c>
      <c r="V157" s="5">
        <f>(DATE(2026,2,3)-'RICE_Insured Farms_with PPI Pol'!$G157)+IF('RICE_Insured Farms_with PPI Pol'!$H157&lt;&gt;'RICE_Insured Farms_with PPI Pol'!$G157,18,0)</f>
        <v>60</v>
      </c>
      <c r="W157" s="3" t="str">
        <f t="array" ref="W157">IFS(V157&gt;120, "Harvested", V157&gt;=113, "Yellow Ripening", V157&gt;=101, "Dough Stage", V157&gt;=93, "Milking Stage", V157&gt;=86, "Flowering", V157&gt;=56, "Panicle Initiation/Booting", V157&lt;56, "Vegetative/Tillering")</f>
        <v>Panicle Initiation/Booting</v>
      </c>
    </row>
    <row r="158" ht="15.75" hidden="1" customHeight="1">
      <c r="A158" s="3">
        <v>157.0</v>
      </c>
      <c r="B158" s="3" t="s">
        <v>23</v>
      </c>
      <c r="C158" s="3" t="s">
        <v>68</v>
      </c>
      <c r="D158" s="3" t="s">
        <v>289</v>
      </c>
      <c r="E158" s="3" t="s">
        <v>290</v>
      </c>
      <c r="F158" s="3">
        <v>1760034.0</v>
      </c>
      <c r="G158" s="4">
        <v>46035.0</v>
      </c>
      <c r="H158" s="4">
        <v>46137.0</v>
      </c>
      <c r="I158" s="3" t="s">
        <v>617</v>
      </c>
      <c r="J158" s="3" t="s">
        <v>618</v>
      </c>
      <c r="K158" s="3" t="s">
        <v>526</v>
      </c>
      <c r="L158" s="3">
        <v>1.0</v>
      </c>
      <c r="M158" s="3">
        <v>25000.0</v>
      </c>
      <c r="N158" s="3">
        <v>2.0</v>
      </c>
      <c r="O158" s="3">
        <v>195121.0</v>
      </c>
      <c r="P158" s="3" t="s">
        <v>619</v>
      </c>
      <c r="Q158" s="3">
        <v>692181.0</v>
      </c>
      <c r="R158" s="3"/>
      <c r="S158" s="3">
        <v>17500.0</v>
      </c>
      <c r="T158" s="3" t="s">
        <v>31</v>
      </c>
      <c r="U158" s="3">
        <v>17500.0</v>
      </c>
      <c r="V158" s="5">
        <f>(DATE(2026,2,3)-'RICE_Insured Farms_with PPI Pol'!$G158)+IF('RICE_Insured Farms_with PPI Pol'!$H158&lt;&gt;'RICE_Insured Farms_with PPI Pol'!$G158,18,0)</f>
        <v>39</v>
      </c>
      <c r="W158" s="3" t="str">
        <f t="array" ref="W158">IFS(V158&gt;120, "Harvested", V158&gt;=113, "Yellow Ripening", V158&gt;=101, "Dough Stage", V158&gt;=93, "Milking Stage", V158&gt;=86, "Flowering", V158&gt;=56, "Panicle Initiation/Booting", V158&lt;56, "Vegetative/Tillering")</f>
        <v>Vegetative/Tillering</v>
      </c>
    </row>
    <row r="159" ht="15.75" hidden="1" customHeight="1">
      <c r="A159" s="3">
        <v>158.0</v>
      </c>
      <c r="B159" s="3" t="s">
        <v>23</v>
      </c>
      <c r="C159" s="3" t="s">
        <v>68</v>
      </c>
      <c r="D159" s="3" t="s">
        <v>262</v>
      </c>
      <c r="E159" s="3" t="s">
        <v>268</v>
      </c>
      <c r="F159" s="3">
        <v>1739592.0</v>
      </c>
      <c r="G159" s="4">
        <v>46027.0</v>
      </c>
      <c r="H159" s="4">
        <v>46129.0</v>
      </c>
      <c r="I159" s="3" t="s">
        <v>620</v>
      </c>
      <c r="J159" s="3" t="s">
        <v>621</v>
      </c>
      <c r="K159" s="3" t="s">
        <v>622</v>
      </c>
      <c r="L159" s="3">
        <v>1.4</v>
      </c>
      <c r="M159" s="3">
        <v>35000.0</v>
      </c>
      <c r="N159" s="3">
        <v>2.0</v>
      </c>
      <c r="O159" s="3">
        <v>192942.0</v>
      </c>
      <c r="P159" s="3" t="s">
        <v>623</v>
      </c>
      <c r="Q159" s="3">
        <v>770873.0</v>
      </c>
      <c r="R159" s="3"/>
      <c r="S159" s="3">
        <v>24500.0</v>
      </c>
      <c r="T159" s="3" t="s">
        <v>31</v>
      </c>
      <c r="U159" s="3">
        <v>24500.0</v>
      </c>
      <c r="V159" s="5">
        <f>(DATE(2026,2,3)-'RICE_Insured Farms_with PPI Pol'!$G159)+IF('RICE_Insured Farms_with PPI Pol'!$H159&lt;&gt;'RICE_Insured Farms_with PPI Pol'!$G159,18,0)</f>
        <v>47</v>
      </c>
      <c r="W159" s="3" t="str">
        <f t="array" ref="W159">IFS(V159&gt;120, "Harvested", V159&gt;=113, "Yellow Ripening", V159&gt;=101, "Dough Stage", V159&gt;=93, "Milking Stage", V159&gt;=86, "Flowering", V159&gt;=56, "Panicle Initiation/Booting", V159&lt;56, "Vegetative/Tillering")</f>
        <v>Vegetative/Tillering</v>
      </c>
    </row>
    <row r="160" ht="15.75" hidden="1" customHeight="1">
      <c r="A160" s="3">
        <v>159.0</v>
      </c>
      <c r="B160" s="3" t="s">
        <v>23</v>
      </c>
      <c r="C160" s="3" t="s">
        <v>68</v>
      </c>
      <c r="D160" s="3" t="s">
        <v>289</v>
      </c>
      <c r="E160" s="3" t="s">
        <v>431</v>
      </c>
      <c r="F160" s="3">
        <v>1760019.0</v>
      </c>
      <c r="G160" s="4">
        <v>46026.0</v>
      </c>
      <c r="H160" s="4">
        <v>46128.0</v>
      </c>
      <c r="I160" s="3" t="s">
        <v>624</v>
      </c>
      <c r="J160" s="3" t="s">
        <v>625</v>
      </c>
      <c r="K160" s="3" t="s">
        <v>626</v>
      </c>
      <c r="L160" s="3">
        <v>1.0</v>
      </c>
      <c r="M160" s="3">
        <v>25000.0</v>
      </c>
      <c r="N160" s="3">
        <v>2.0</v>
      </c>
      <c r="O160" s="3">
        <v>199453.0</v>
      </c>
      <c r="P160" s="3" t="s">
        <v>627</v>
      </c>
      <c r="Q160" s="3">
        <v>971541.0</v>
      </c>
      <c r="R160" s="3"/>
      <c r="S160" s="3">
        <v>17500.0</v>
      </c>
      <c r="T160" s="3" t="s">
        <v>31</v>
      </c>
      <c r="U160" s="3">
        <v>17500.0</v>
      </c>
      <c r="V160" s="5">
        <f>(DATE(2026,2,3)-'RICE_Insured Farms_with PPI Pol'!$G160)+IF('RICE_Insured Farms_with PPI Pol'!$H160&lt;&gt;'RICE_Insured Farms_with PPI Pol'!$G160,18,0)</f>
        <v>48</v>
      </c>
      <c r="W160" s="3" t="str">
        <f t="array" ref="W160">IFS(V160&gt;120, "Harvested", V160&gt;=113, "Yellow Ripening", V160&gt;=101, "Dough Stage", V160&gt;=93, "Milking Stage", V160&gt;=86, "Flowering", V160&gt;=56, "Panicle Initiation/Booting", V160&lt;56, "Vegetative/Tillering")</f>
        <v>Vegetative/Tillering</v>
      </c>
    </row>
    <row r="161" ht="15.75" customHeight="1">
      <c r="A161" s="3">
        <v>160.0</v>
      </c>
      <c r="B161" s="3" t="s">
        <v>23</v>
      </c>
      <c r="C161" s="3" t="s">
        <v>68</v>
      </c>
      <c r="D161" s="3" t="s">
        <v>289</v>
      </c>
      <c r="E161" s="3" t="s">
        <v>290</v>
      </c>
      <c r="F161" s="3">
        <v>1760020.0</v>
      </c>
      <c r="G161" s="4">
        <v>46014.0</v>
      </c>
      <c r="H161" s="4">
        <v>46116.0</v>
      </c>
      <c r="I161" s="3" t="s">
        <v>628</v>
      </c>
      <c r="J161" s="3" t="s">
        <v>629</v>
      </c>
      <c r="K161" s="3" t="s">
        <v>630</v>
      </c>
      <c r="L161" s="3">
        <v>1.0</v>
      </c>
      <c r="M161" s="3">
        <v>25000.0</v>
      </c>
      <c r="N161" s="3">
        <v>3.0</v>
      </c>
      <c r="O161" s="3">
        <v>371005.0</v>
      </c>
      <c r="P161" s="3"/>
      <c r="Q161" s="3">
        <v>953850.0</v>
      </c>
      <c r="R161" s="3"/>
      <c r="S161" s="3">
        <v>20000.0</v>
      </c>
      <c r="T161" s="3" t="s">
        <v>37</v>
      </c>
      <c r="U161" s="3">
        <v>20000.0</v>
      </c>
      <c r="V161" s="5">
        <f>(DATE(2026,2,3)-'RICE_Insured Farms_with PPI Pol'!$G161)+IF('RICE_Insured Farms_with PPI Pol'!$H161&lt;&gt;'RICE_Insured Farms_with PPI Pol'!$G161,18,0)</f>
        <v>60</v>
      </c>
      <c r="W161" s="3" t="str">
        <f t="array" ref="W161">IFS(V161&gt;120, "Harvested", V161&gt;=113, "Yellow Ripening", V161&gt;=101, "Dough Stage", V161&gt;=93, "Milking Stage", V161&gt;=86, "Flowering", V161&gt;=56, "Panicle Initiation/Booting", V161&lt;56, "Vegetative/Tillering")</f>
        <v>Panicle Initiation/Booting</v>
      </c>
    </row>
    <row r="162" ht="15.75" customHeight="1">
      <c r="A162" s="3">
        <v>161.0</v>
      </c>
      <c r="B162" s="3" t="s">
        <v>23</v>
      </c>
      <c r="C162" s="3" t="s">
        <v>68</v>
      </c>
      <c r="D162" s="3" t="s">
        <v>289</v>
      </c>
      <c r="E162" s="3" t="s">
        <v>290</v>
      </c>
      <c r="F162" s="3">
        <v>1760020.0</v>
      </c>
      <c r="G162" s="4">
        <v>46014.0</v>
      </c>
      <c r="H162" s="4">
        <v>46116.0</v>
      </c>
      <c r="I162" s="3" t="s">
        <v>628</v>
      </c>
      <c r="J162" s="3" t="s">
        <v>631</v>
      </c>
      <c r="K162" s="3" t="s">
        <v>271</v>
      </c>
      <c r="L162" s="3">
        <v>2.0</v>
      </c>
      <c r="M162" s="3">
        <v>50000.0</v>
      </c>
      <c r="N162" s="3">
        <v>3.0</v>
      </c>
      <c r="O162" s="3">
        <v>195192.0</v>
      </c>
      <c r="P162" s="3" t="s">
        <v>632</v>
      </c>
      <c r="Q162" s="3">
        <v>785204.0</v>
      </c>
      <c r="R162" s="3"/>
      <c r="S162" s="3">
        <v>40000.0</v>
      </c>
      <c r="T162" s="3" t="s">
        <v>37</v>
      </c>
      <c r="U162" s="3">
        <v>40000.0</v>
      </c>
      <c r="V162" s="5">
        <f>(DATE(2026,2,3)-'RICE_Insured Farms_with PPI Pol'!$G162)+IF('RICE_Insured Farms_with PPI Pol'!$H162&lt;&gt;'RICE_Insured Farms_with PPI Pol'!$G162,18,0)</f>
        <v>60</v>
      </c>
      <c r="W162" s="3" t="str">
        <f t="array" ref="W162">IFS(V162&gt;120, "Harvested", V162&gt;=113, "Yellow Ripening", V162&gt;=101, "Dough Stage", V162&gt;=93, "Milking Stage", V162&gt;=86, "Flowering", V162&gt;=56, "Panicle Initiation/Booting", V162&lt;56, "Vegetative/Tillering")</f>
        <v>Panicle Initiation/Booting</v>
      </c>
    </row>
    <row r="163" ht="15.75" hidden="1" customHeight="1">
      <c r="A163" s="3">
        <v>85.0</v>
      </c>
      <c r="B163" s="3" t="s">
        <v>23</v>
      </c>
      <c r="C163" s="3" t="s">
        <v>24</v>
      </c>
      <c r="D163" s="3" t="s">
        <v>25</v>
      </c>
      <c r="E163" s="3" t="s">
        <v>348</v>
      </c>
      <c r="F163" s="3">
        <v>1760495.0</v>
      </c>
      <c r="G163" s="4">
        <v>46010.0</v>
      </c>
      <c r="H163" s="4">
        <v>46105.0</v>
      </c>
      <c r="I163" s="3" t="s">
        <v>633</v>
      </c>
      <c r="J163" s="3" t="s">
        <v>634</v>
      </c>
      <c r="K163" s="3" t="s">
        <v>635</v>
      </c>
      <c r="L163" s="3">
        <v>1.0879</v>
      </c>
      <c r="M163" s="3">
        <v>27197.5</v>
      </c>
      <c r="N163" s="3">
        <v>4.0</v>
      </c>
      <c r="O163" s="3">
        <v>175178.0</v>
      </c>
      <c r="P163" s="3" t="s">
        <v>636</v>
      </c>
      <c r="Q163" s="3">
        <v>874926.0</v>
      </c>
      <c r="R163" s="3"/>
      <c r="S163" s="3">
        <v>21758.0</v>
      </c>
      <c r="T163" s="3" t="s">
        <v>56</v>
      </c>
      <c r="U163" s="3">
        <v>21758.0</v>
      </c>
      <c r="V163" s="5">
        <f>(DATE(2026,2,3)-'RICE_Insured Farms_with PPI Pol'!$G163)+IF('RICE_Insured Farms_with PPI Pol'!$H163&lt;&gt;'RICE_Insured Farms_with PPI Pol'!$G163,18,0)</f>
        <v>64</v>
      </c>
      <c r="W163" s="3" t="str">
        <f t="array" ref="W163">IFS(V163&gt;120, "Harvested", V163&gt;=113, "Yellow Ripening", V163&gt;=101, "Dough Stage", V163&gt;=93, "Milking Stage", V163&gt;=86, "Flowering", V163&gt;=56, "Panicle Initiation/Booting", V163&lt;56, "Vegetative/Tillering")</f>
        <v>Panicle Initiation/Booting</v>
      </c>
    </row>
    <row r="164" ht="15.75" hidden="1" customHeight="1">
      <c r="A164" s="3">
        <v>407.0</v>
      </c>
      <c r="B164" s="3" t="s">
        <v>23</v>
      </c>
      <c r="C164" s="3" t="s">
        <v>24</v>
      </c>
      <c r="D164" s="3" t="s">
        <v>25</v>
      </c>
      <c r="E164" s="3" t="s">
        <v>637</v>
      </c>
      <c r="F164" s="3">
        <v>1760486.0</v>
      </c>
      <c r="G164" s="4">
        <v>46015.0</v>
      </c>
      <c r="H164" s="4">
        <v>46111.0</v>
      </c>
      <c r="I164" s="3" t="s">
        <v>638</v>
      </c>
      <c r="J164" s="3" t="s">
        <v>639</v>
      </c>
      <c r="K164" s="3" t="s">
        <v>640</v>
      </c>
      <c r="L164" s="3">
        <v>1.4924</v>
      </c>
      <c r="M164" s="3">
        <v>37310.0</v>
      </c>
      <c r="N164" s="3">
        <v>4.0</v>
      </c>
      <c r="O164" s="3">
        <v>109575.0</v>
      </c>
      <c r="P164" s="3"/>
      <c r="Q164" s="3">
        <v>606105.0</v>
      </c>
      <c r="R164" s="3"/>
      <c r="S164" s="3">
        <v>29848.0</v>
      </c>
      <c r="T164" s="3" t="s">
        <v>56</v>
      </c>
      <c r="U164" s="3">
        <v>29848.0</v>
      </c>
      <c r="V164" s="5">
        <f>(DATE(2026,2,3)-'RICE_Insured Farms_with PPI Pol'!$G164)+IF('RICE_Insured Farms_with PPI Pol'!$H164&lt;&gt;'RICE_Insured Farms_with PPI Pol'!$G164,18,0)</f>
        <v>59</v>
      </c>
      <c r="W164" s="3" t="str">
        <f t="array" ref="W164">IFS(V164&gt;120, "Harvested", V164&gt;=113, "Yellow Ripening", V164&gt;=101, "Dough Stage", V164&gt;=93, "Milking Stage", V164&gt;=86, "Flowering", V164&gt;=56, "Panicle Initiation/Booting", V164&lt;56, "Vegetative/Tillering")</f>
        <v>Panicle Initiation/Booting</v>
      </c>
    </row>
    <row r="165" ht="15.75" customHeight="1">
      <c r="A165" s="3">
        <v>164.0</v>
      </c>
      <c r="B165" s="3" t="s">
        <v>23</v>
      </c>
      <c r="C165" s="3" t="s">
        <v>311</v>
      </c>
      <c r="D165" s="3" t="s">
        <v>329</v>
      </c>
      <c r="E165" s="3" t="s">
        <v>641</v>
      </c>
      <c r="F165" s="3">
        <v>1740207.0</v>
      </c>
      <c r="G165" s="4">
        <v>46026.0</v>
      </c>
      <c r="H165" s="4">
        <v>46121.0</v>
      </c>
      <c r="I165" s="3" t="s">
        <v>642</v>
      </c>
      <c r="J165" s="3" t="s">
        <v>643</v>
      </c>
      <c r="K165" s="3" t="s">
        <v>644</v>
      </c>
      <c r="L165" s="3">
        <v>1.0</v>
      </c>
      <c r="M165" s="3">
        <v>25000.0</v>
      </c>
      <c r="N165" s="3">
        <v>3.0</v>
      </c>
      <c r="O165" s="3">
        <v>127077.0</v>
      </c>
      <c r="P165" s="3"/>
      <c r="Q165" s="3">
        <v>1047030.0</v>
      </c>
      <c r="R165" s="3"/>
      <c r="S165" s="3">
        <v>20000.0</v>
      </c>
      <c r="T165" s="3" t="s">
        <v>37</v>
      </c>
      <c r="U165" s="3">
        <v>20000.0</v>
      </c>
      <c r="V165" s="5">
        <f>(DATE(2026,2,3)-'RICE_Insured Farms_with PPI Pol'!$G165)+IF('RICE_Insured Farms_with PPI Pol'!$H165&lt;&gt;'RICE_Insured Farms_with PPI Pol'!$G165,18,0)</f>
        <v>48</v>
      </c>
      <c r="W165" s="3" t="str">
        <f t="array" ref="W165">IFS(V165&gt;120, "Harvested", V165&gt;=113, "Yellow Ripening", V165&gt;=101, "Dough Stage", V165&gt;=93, "Milking Stage", V165&gt;=86, "Flowering", V165&gt;=56, "Panicle Initiation/Booting", V165&lt;56, "Vegetative/Tillering")</f>
        <v>Vegetative/Tillering</v>
      </c>
    </row>
    <row r="166" ht="15.75" customHeight="1">
      <c r="A166" s="3">
        <v>165.0</v>
      </c>
      <c r="B166" s="3" t="s">
        <v>23</v>
      </c>
      <c r="C166" s="3" t="s">
        <v>311</v>
      </c>
      <c r="D166" s="3" t="s">
        <v>329</v>
      </c>
      <c r="E166" s="3" t="s">
        <v>641</v>
      </c>
      <c r="F166" s="3">
        <v>1740207.0</v>
      </c>
      <c r="G166" s="4">
        <v>46026.0</v>
      </c>
      <c r="H166" s="4">
        <v>46121.0</v>
      </c>
      <c r="I166" s="3" t="s">
        <v>642</v>
      </c>
      <c r="J166" s="3" t="s">
        <v>645</v>
      </c>
      <c r="K166" s="3" t="s">
        <v>644</v>
      </c>
      <c r="L166" s="3">
        <v>1.0</v>
      </c>
      <c r="M166" s="3">
        <v>25000.0</v>
      </c>
      <c r="N166" s="3">
        <v>3.0</v>
      </c>
      <c r="O166" s="3">
        <v>56251.0</v>
      </c>
      <c r="P166" s="3" t="s">
        <v>646</v>
      </c>
      <c r="Q166" s="3">
        <v>1047027.0</v>
      </c>
      <c r="R166" s="3"/>
      <c r="S166" s="3">
        <v>20000.0</v>
      </c>
      <c r="T166" s="3" t="s">
        <v>37</v>
      </c>
      <c r="U166" s="3">
        <v>20000.0</v>
      </c>
      <c r="V166" s="5">
        <f>(DATE(2026,2,3)-'RICE_Insured Farms_with PPI Pol'!$G166)+IF('RICE_Insured Farms_with PPI Pol'!$H166&lt;&gt;'RICE_Insured Farms_with PPI Pol'!$G166,18,0)</f>
        <v>48</v>
      </c>
      <c r="W166" s="3" t="str">
        <f t="array" ref="W166">IFS(V166&gt;120, "Harvested", V166&gt;=113, "Yellow Ripening", V166&gt;=101, "Dough Stage", V166&gt;=93, "Milking Stage", V166&gt;=86, "Flowering", V166&gt;=56, "Panicle Initiation/Booting", V166&lt;56, "Vegetative/Tillering")</f>
        <v>Vegetative/Tillering</v>
      </c>
    </row>
    <row r="167" ht="15.75" customHeight="1">
      <c r="A167" s="3">
        <v>166.0</v>
      </c>
      <c r="B167" s="3" t="s">
        <v>23</v>
      </c>
      <c r="C167" s="3" t="s">
        <v>68</v>
      </c>
      <c r="D167" s="3" t="s">
        <v>69</v>
      </c>
      <c r="E167" s="3" t="s">
        <v>131</v>
      </c>
      <c r="F167" s="3">
        <v>1739644.0</v>
      </c>
      <c r="G167" s="4">
        <v>46020.0</v>
      </c>
      <c r="H167" s="4">
        <v>46122.0</v>
      </c>
      <c r="I167" s="3" t="s">
        <v>647</v>
      </c>
      <c r="J167" s="3" t="s">
        <v>592</v>
      </c>
      <c r="K167" s="3" t="s">
        <v>648</v>
      </c>
      <c r="L167" s="3">
        <v>1.7032</v>
      </c>
      <c r="M167" s="3">
        <v>42580.0</v>
      </c>
      <c r="N167" s="3">
        <v>3.0</v>
      </c>
      <c r="O167" s="3">
        <v>195527.0</v>
      </c>
      <c r="P167" s="3"/>
      <c r="Q167" s="3">
        <v>1024765.0</v>
      </c>
      <c r="R167" s="3"/>
      <c r="S167" s="3">
        <v>34064.0</v>
      </c>
      <c r="T167" s="3" t="s">
        <v>37</v>
      </c>
      <c r="U167" s="3">
        <v>34064.0</v>
      </c>
      <c r="V167" s="5">
        <f>(DATE(2026,2,3)-'RICE_Insured Farms_with PPI Pol'!$G167)+IF('RICE_Insured Farms_with PPI Pol'!$H167&lt;&gt;'RICE_Insured Farms_with PPI Pol'!$G167,18,0)</f>
        <v>54</v>
      </c>
      <c r="W167" s="3" t="str">
        <f t="array" ref="W167">IFS(V167&gt;120, "Harvested", V167&gt;=113, "Yellow Ripening", V167&gt;=101, "Dough Stage", V167&gt;=93, "Milking Stage", V167&gt;=86, "Flowering", V167&gt;=56, "Panicle Initiation/Booting", V167&lt;56, "Vegetative/Tillering")</f>
        <v>Vegetative/Tillering</v>
      </c>
    </row>
    <row r="168" ht="15.75" customHeight="1">
      <c r="A168" s="3">
        <v>167.0</v>
      </c>
      <c r="B168" s="3" t="s">
        <v>23</v>
      </c>
      <c r="C168" s="3" t="s">
        <v>68</v>
      </c>
      <c r="D168" s="3" t="s">
        <v>649</v>
      </c>
      <c r="E168" s="3" t="s">
        <v>650</v>
      </c>
      <c r="F168" s="3">
        <v>1185588.0</v>
      </c>
      <c r="G168" s="4">
        <v>46018.0</v>
      </c>
      <c r="H168" s="4">
        <v>46120.0</v>
      </c>
      <c r="I168" s="3" t="s">
        <v>651</v>
      </c>
      <c r="J168" s="3" t="s">
        <v>652</v>
      </c>
      <c r="K168" s="3" t="s">
        <v>653</v>
      </c>
      <c r="L168" s="3">
        <v>0.2552</v>
      </c>
      <c r="M168" s="3">
        <v>6380.0</v>
      </c>
      <c r="N168" s="3">
        <v>3.0</v>
      </c>
      <c r="O168" s="3">
        <v>6568.0</v>
      </c>
      <c r="P168" s="3" t="s">
        <v>654</v>
      </c>
      <c r="Q168" s="3">
        <v>1019192.0</v>
      </c>
      <c r="R168" s="3"/>
      <c r="S168" s="3">
        <v>5104.0</v>
      </c>
      <c r="T168" s="3" t="s">
        <v>37</v>
      </c>
      <c r="U168" s="3">
        <v>5104.0</v>
      </c>
      <c r="V168" s="5">
        <f>(DATE(2026,2,3)-'RICE_Insured Farms_with PPI Pol'!$G168)+IF('RICE_Insured Farms_with PPI Pol'!$H168&lt;&gt;'RICE_Insured Farms_with PPI Pol'!$G168,18,0)</f>
        <v>56</v>
      </c>
      <c r="W168" s="3" t="str">
        <f t="array" ref="W168">IFS(V168&gt;120, "Harvested", V168&gt;=113, "Yellow Ripening", V168&gt;=101, "Dough Stage", V168&gt;=93, "Milking Stage", V168&gt;=86, "Flowering", V168&gt;=56, "Panicle Initiation/Booting", V168&lt;56, "Vegetative/Tillering")</f>
        <v>Panicle Initiation/Booting</v>
      </c>
    </row>
    <row r="169" ht="15.75" hidden="1" customHeight="1">
      <c r="A169" s="3">
        <v>168.0</v>
      </c>
      <c r="B169" s="3" t="s">
        <v>23</v>
      </c>
      <c r="C169" s="3" t="s">
        <v>121</v>
      </c>
      <c r="D169" s="3" t="s">
        <v>122</v>
      </c>
      <c r="E169" s="3" t="s">
        <v>655</v>
      </c>
      <c r="F169" s="3">
        <v>1760509.0</v>
      </c>
      <c r="G169" s="4">
        <v>46035.0</v>
      </c>
      <c r="H169" s="4">
        <v>46145.0</v>
      </c>
      <c r="I169" s="3" t="s">
        <v>656</v>
      </c>
      <c r="J169" s="3" t="s">
        <v>657</v>
      </c>
      <c r="K169" s="3" t="s">
        <v>658</v>
      </c>
      <c r="L169" s="3">
        <v>2.0</v>
      </c>
      <c r="M169" s="3">
        <v>50000.0</v>
      </c>
      <c r="N169" s="3">
        <v>1.0</v>
      </c>
      <c r="O169" s="3">
        <v>49189.0</v>
      </c>
      <c r="P169" s="3" t="s">
        <v>659</v>
      </c>
      <c r="Q169" s="3">
        <v>1091620.0</v>
      </c>
      <c r="R169" s="3"/>
      <c r="S169" s="3">
        <v>30000.0</v>
      </c>
      <c r="T169" s="3" t="s">
        <v>62</v>
      </c>
      <c r="U169" s="3">
        <v>30000.0</v>
      </c>
      <c r="V169" s="5">
        <f>(DATE(2026,2,3)-'RICE_Insured Farms_with PPI Pol'!$G169)+IF('RICE_Insured Farms_with PPI Pol'!$H169&lt;&gt;'RICE_Insured Farms_with PPI Pol'!$G169,18,0)</f>
        <v>39</v>
      </c>
      <c r="W169" s="3" t="str">
        <f t="array" ref="W169">IFS(V169&gt;120, "Harvested", V169&gt;=113, "Yellow Ripening", V169&gt;=101, "Dough Stage", V169&gt;=93, "Milking Stage", V169&gt;=86, "Flowering", V169&gt;=56, "Panicle Initiation/Booting", V169&lt;56, "Vegetative/Tillering")</f>
        <v>Vegetative/Tillering</v>
      </c>
    </row>
    <row r="170" ht="15.75" hidden="1" customHeight="1">
      <c r="A170" s="3">
        <v>169.0</v>
      </c>
      <c r="B170" s="3" t="s">
        <v>23</v>
      </c>
      <c r="C170" s="3" t="s">
        <v>121</v>
      </c>
      <c r="D170" s="3" t="s">
        <v>384</v>
      </c>
      <c r="E170" s="3" t="s">
        <v>385</v>
      </c>
      <c r="F170" s="3">
        <v>1742522.0</v>
      </c>
      <c r="G170" s="4">
        <v>46035.0</v>
      </c>
      <c r="H170" s="4">
        <v>46130.0</v>
      </c>
      <c r="I170" s="3" t="s">
        <v>660</v>
      </c>
      <c r="J170" s="3" t="s">
        <v>661</v>
      </c>
      <c r="K170" s="3" t="s">
        <v>662</v>
      </c>
      <c r="L170" s="3">
        <v>2.0</v>
      </c>
      <c r="M170" s="3">
        <v>50000.0</v>
      </c>
      <c r="N170" s="3">
        <v>2.0</v>
      </c>
      <c r="O170" s="3">
        <v>456811.0</v>
      </c>
      <c r="P170" s="3"/>
      <c r="Q170" s="3">
        <v>1065650.0</v>
      </c>
      <c r="R170" s="3"/>
      <c r="S170" s="3">
        <v>35000.0</v>
      </c>
      <c r="T170" s="3" t="s">
        <v>31</v>
      </c>
      <c r="U170" s="3">
        <v>35000.0</v>
      </c>
      <c r="V170" s="5">
        <f>(DATE(2026,2,3)-'RICE_Insured Farms_with PPI Pol'!$G170)+IF('RICE_Insured Farms_with PPI Pol'!$H170&lt;&gt;'RICE_Insured Farms_with PPI Pol'!$G170,18,0)</f>
        <v>39</v>
      </c>
      <c r="W170" s="3" t="str">
        <f t="array" ref="W170">IFS(V170&gt;120, "Harvested", V170&gt;=113, "Yellow Ripening", V170&gt;=101, "Dough Stage", V170&gt;=93, "Milking Stage", V170&gt;=86, "Flowering", V170&gt;=56, "Panicle Initiation/Booting", V170&lt;56, "Vegetative/Tillering")</f>
        <v>Vegetative/Tillering</v>
      </c>
    </row>
    <row r="171" ht="15.75" customHeight="1">
      <c r="A171" s="3">
        <v>170.0</v>
      </c>
      <c r="B171" s="3" t="s">
        <v>23</v>
      </c>
      <c r="C171" s="3" t="s">
        <v>24</v>
      </c>
      <c r="D171" s="3" t="s">
        <v>25</v>
      </c>
      <c r="E171" s="3" t="s">
        <v>663</v>
      </c>
      <c r="F171" s="3">
        <v>1760485.0</v>
      </c>
      <c r="G171" s="4">
        <v>46021.0</v>
      </c>
      <c r="H171" s="4">
        <v>46116.0</v>
      </c>
      <c r="I171" s="3" t="s">
        <v>664</v>
      </c>
      <c r="J171" s="3" t="s">
        <v>665</v>
      </c>
      <c r="K171" s="3" t="s">
        <v>147</v>
      </c>
      <c r="L171" s="3">
        <v>1.0</v>
      </c>
      <c r="M171" s="3">
        <v>25000.0</v>
      </c>
      <c r="N171" s="3">
        <v>3.0</v>
      </c>
      <c r="O171" s="3">
        <v>304255.0</v>
      </c>
      <c r="P171" s="3" t="s">
        <v>666</v>
      </c>
      <c r="Q171" s="3">
        <v>788795.0</v>
      </c>
      <c r="R171" s="3"/>
      <c r="S171" s="3">
        <v>20000.0</v>
      </c>
      <c r="T171" s="3" t="s">
        <v>37</v>
      </c>
      <c r="U171" s="3">
        <v>20000.0</v>
      </c>
      <c r="V171" s="5">
        <f>(DATE(2026,2,3)-'RICE_Insured Farms_with PPI Pol'!$G171)+IF('RICE_Insured Farms_with PPI Pol'!$H171&lt;&gt;'RICE_Insured Farms_with PPI Pol'!$G171,18,0)</f>
        <v>53</v>
      </c>
      <c r="W171" s="3" t="str">
        <f t="array" ref="W171">IFS(V171&gt;120, "Harvested", V171&gt;=113, "Yellow Ripening", V171&gt;=101, "Dough Stage", V171&gt;=93, "Milking Stage", V171&gt;=86, "Flowering", V171&gt;=56, "Panicle Initiation/Booting", V171&lt;56, "Vegetative/Tillering")</f>
        <v>Vegetative/Tillering</v>
      </c>
    </row>
    <row r="172" ht="15.75" hidden="1" customHeight="1">
      <c r="A172" s="3">
        <v>171.0</v>
      </c>
      <c r="B172" s="3" t="s">
        <v>23</v>
      </c>
      <c r="C172" s="3" t="s">
        <v>121</v>
      </c>
      <c r="D172" s="3" t="s">
        <v>667</v>
      </c>
      <c r="E172" s="3" t="s">
        <v>668</v>
      </c>
      <c r="F172" s="3">
        <v>1760372.0</v>
      </c>
      <c r="G172" s="4">
        <v>46017.0</v>
      </c>
      <c r="H172" s="4">
        <v>46137.0</v>
      </c>
      <c r="I172" s="3" t="s">
        <v>669</v>
      </c>
      <c r="J172" s="3" t="s">
        <v>670</v>
      </c>
      <c r="K172" s="3" t="s">
        <v>671</v>
      </c>
      <c r="L172" s="3">
        <v>2.0</v>
      </c>
      <c r="M172" s="3">
        <v>50000.0</v>
      </c>
      <c r="N172" s="3">
        <v>2.0</v>
      </c>
      <c r="O172" s="3">
        <v>335249.0</v>
      </c>
      <c r="P172" s="3"/>
      <c r="Q172" s="3">
        <v>1029139.0</v>
      </c>
      <c r="R172" s="3"/>
      <c r="S172" s="3">
        <v>35000.0</v>
      </c>
      <c r="T172" s="3" t="s">
        <v>31</v>
      </c>
      <c r="U172" s="3">
        <v>35000.0</v>
      </c>
      <c r="V172" s="5">
        <f>(DATE(2026,2,3)-'RICE_Insured Farms_with PPI Pol'!$G172)+IF('RICE_Insured Farms_with PPI Pol'!$H172&lt;&gt;'RICE_Insured Farms_with PPI Pol'!$G172,18,0)</f>
        <v>57</v>
      </c>
      <c r="W172" s="3" t="str">
        <f t="array" ref="W172">IFS(V172&gt;120, "Harvested", V172&gt;=113, "Yellow Ripening", V172&gt;=101, "Dough Stage", V172&gt;=93, "Milking Stage", V172&gt;=86, "Flowering", V172&gt;=56, "Panicle Initiation/Booting", V172&lt;56, "Vegetative/Tillering")</f>
        <v>Panicle Initiation/Booting</v>
      </c>
    </row>
    <row r="173" ht="15.75" hidden="1" customHeight="1">
      <c r="A173" s="3">
        <v>172.0</v>
      </c>
      <c r="B173" s="3" t="s">
        <v>23</v>
      </c>
      <c r="C173" s="3" t="s">
        <v>121</v>
      </c>
      <c r="D173" s="3" t="s">
        <v>667</v>
      </c>
      <c r="E173" s="3" t="s">
        <v>668</v>
      </c>
      <c r="F173" s="3">
        <v>1760372.0</v>
      </c>
      <c r="G173" s="4">
        <v>46017.0</v>
      </c>
      <c r="H173" s="4">
        <v>46137.0</v>
      </c>
      <c r="I173" s="3" t="s">
        <v>669</v>
      </c>
      <c r="J173" s="3" t="s">
        <v>672</v>
      </c>
      <c r="K173" s="3" t="s">
        <v>671</v>
      </c>
      <c r="L173" s="3">
        <v>2.0</v>
      </c>
      <c r="M173" s="3">
        <v>50000.0</v>
      </c>
      <c r="N173" s="3">
        <v>2.0</v>
      </c>
      <c r="O173" s="3">
        <v>99367.0</v>
      </c>
      <c r="P173" s="3" t="s">
        <v>673</v>
      </c>
      <c r="Q173" s="3">
        <v>1029136.0</v>
      </c>
      <c r="R173" s="3"/>
      <c r="S173" s="3">
        <v>35000.0</v>
      </c>
      <c r="T173" s="3" t="s">
        <v>31</v>
      </c>
      <c r="U173" s="3">
        <v>35000.0</v>
      </c>
      <c r="V173" s="5">
        <f>(DATE(2026,2,3)-'RICE_Insured Farms_with PPI Pol'!$G173)+IF('RICE_Insured Farms_with PPI Pol'!$H173&lt;&gt;'RICE_Insured Farms_with PPI Pol'!$G173,18,0)</f>
        <v>57</v>
      </c>
      <c r="W173" s="3" t="str">
        <f t="array" ref="W173">IFS(V173&gt;120, "Harvested", V173&gt;=113, "Yellow Ripening", V173&gt;=101, "Dough Stage", V173&gt;=93, "Milking Stage", V173&gt;=86, "Flowering", V173&gt;=56, "Panicle Initiation/Booting", V173&lt;56, "Vegetative/Tillering")</f>
        <v>Panicle Initiation/Booting</v>
      </c>
    </row>
    <row r="174" ht="15.75" hidden="1" customHeight="1">
      <c r="A174" s="3">
        <v>173.0</v>
      </c>
      <c r="B174" s="3" t="s">
        <v>23</v>
      </c>
      <c r="C174" s="3" t="s">
        <v>24</v>
      </c>
      <c r="D174" s="3" t="s">
        <v>25</v>
      </c>
      <c r="E174" s="3" t="s">
        <v>674</v>
      </c>
      <c r="F174" s="3">
        <v>1761037.0</v>
      </c>
      <c r="G174" s="4">
        <v>46044.0</v>
      </c>
      <c r="H174" s="4">
        <v>46136.0</v>
      </c>
      <c r="I174" s="3" t="s">
        <v>675</v>
      </c>
      <c r="J174" s="3" t="s">
        <v>676</v>
      </c>
      <c r="K174" s="3" t="s">
        <v>677</v>
      </c>
      <c r="L174" s="3">
        <v>1.0569</v>
      </c>
      <c r="M174" s="3">
        <v>26422.5</v>
      </c>
      <c r="N174" s="3">
        <v>2.0</v>
      </c>
      <c r="O174" s="3">
        <v>294678.0</v>
      </c>
      <c r="P174" s="3" t="s">
        <v>678</v>
      </c>
      <c r="Q174" s="3">
        <v>1081530.0</v>
      </c>
      <c r="R174" s="3"/>
      <c r="S174" s="3">
        <v>18495.75</v>
      </c>
      <c r="T174" s="3" t="s">
        <v>31</v>
      </c>
      <c r="U174" s="3">
        <v>18495.75</v>
      </c>
      <c r="V174" s="5">
        <f>(DATE(2026,2,3)-'RICE_Insured Farms_with PPI Pol'!$G174)+IF('RICE_Insured Farms_with PPI Pol'!$H174&lt;&gt;'RICE_Insured Farms_with PPI Pol'!$G174,18,0)</f>
        <v>30</v>
      </c>
      <c r="W174" s="3" t="str">
        <f t="array" ref="W174">IFS(V174&gt;120, "Harvested", V174&gt;=113, "Yellow Ripening", V174&gt;=101, "Dough Stage", V174&gt;=93, "Milking Stage", V174&gt;=86, "Flowering", V174&gt;=56, "Panicle Initiation/Booting", V174&lt;56, "Vegetative/Tillering")</f>
        <v>Vegetative/Tillering</v>
      </c>
    </row>
    <row r="175" ht="15.75" customHeight="1">
      <c r="A175" s="3">
        <v>174.0</v>
      </c>
      <c r="B175" s="3" t="s">
        <v>23</v>
      </c>
      <c r="C175" s="3" t="s">
        <v>68</v>
      </c>
      <c r="D175" s="3" t="s">
        <v>679</v>
      </c>
      <c r="E175" s="3" t="s">
        <v>680</v>
      </c>
      <c r="F175" s="3">
        <v>1175379.0</v>
      </c>
      <c r="G175" s="4">
        <v>46031.0</v>
      </c>
      <c r="H175" s="4">
        <v>46126.0</v>
      </c>
      <c r="I175" s="3" t="s">
        <v>681</v>
      </c>
      <c r="J175" s="3" t="s">
        <v>682</v>
      </c>
      <c r="K175" s="3" t="s">
        <v>683</v>
      </c>
      <c r="L175" s="3">
        <v>0.7134</v>
      </c>
      <c r="M175" s="3">
        <v>17835.0</v>
      </c>
      <c r="N175" s="3">
        <v>3.0</v>
      </c>
      <c r="O175" s="3">
        <v>330032.0</v>
      </c>
      <c r="P175" s="3" t="s">
        <v>684</v>
      </c>
      <c r="Q175" s="3">
        <v>1214581.0</v>
      </c>
      <c r="R175" s="3"/>
      <c r="S175" s="3">
        <v>14268.0</v>
      </c>
      <c r="T175" s="3" t="s">
        <v>37</v>
      </c>
      <c r="U175" s="3">
        <v>14268.0</v>
      </c>
      <c r="V175" s="5">
        <f>(DATE(2026,2,3)-'RICE_Insured Farms_with PPI Pol'!$G175)+IF('RICE_Insured Farms_with PPI Pol'!$H175&lt;&gt;'RICE_Insured Farms_with PPI Pol'!$G175,18,0)</f>
        <v>43</v>
      </c>
      <c r="W175" s="3" t="str">
        <f t="array" ref="W175">IFS(V175&gt;120, "Harvested", V175&gt;=113, "Yellow Ripening", V175&gt;=101, "Dough Stage", V175&gt;=93, "Milking Stage", V175&gt;=86, "Flowering", V175&gt;=56, "Panicle Initiation/Booting", V175&lt;56, "Vegetative/Tillering")</f>
        <v>Vegetative/Tillering</v>
      </c>
    </row>
    <row r="176" ht="15.75" customHeight="1">
      <c r="A176" s="3">
        <v>175.0</v>
      </c>
      <c r="B176" s="3" t="s">
        <v>23</v>
      </c>
      <c r="C176" s="3" t="s">
        <v>68</v>
      </c>
      <c r="D176" s="3" t="s">
        <v>289</v>
      </c>
      <c r="E176" s="3" t="s">
        <v>685</v>
      </c>
      <c r="F176" s="3">
        <v>1760048.0</v>
      </c>
      <c r="G176" s="4">
        <v>46021.0</v>
      </c>
      <c r="H176" s="4">
        <v>46123.0</v>
      </c>
      <c r="I176" s="3" t="s">
        <v>686</v>
      </c>
      <c r="J176" s="3" t="s">
        <v>687</v>
      </c>
      <c r="K176" s="3" t="s">
        <v>688</v>
      </c>
      <c r="L176" s="3">
        <v>0.2576</v>
      </c>
      <c r="M176" s="3">
        <v>6440.0</v>
      </c>
      <c r="N176" s="3">
        <v>3.0</v>
      </c>
      <c r="O176" s="3">
        <v>389540.0</v>
      </c>
      <c r="P176" s="3"/>
      <c r="Q176" s="3">
        <v>1331424.0</v>
      </c>
      <c r="R176" s="3"/>
      <c r="S176" s="3">
        <v>5152.0</v>
      </c>
      <c r="T176" s="3" t="s">
        <v>37</v>
      </c>
      <c r="U176" s="3">
        <v>5152.0</v>
      </c>
      <c r="V176" s="5">
        <f>(DATE(2026,2,3)-'RICE_Insured Farms_with PPI Pol'!$G176)+IF('RICE_Insured Farms_with PPI Pol'!$H176&lt;&gt;'RICE_Insured Farms_with PPI Pol'!$G176,18,0)</f>
        <v>53</v>
      </c>
      <c r="W176" s="3" t="str">
        <f t="array" ref="W176">IFS(V176&gt;120, "Harvested", V176&gt;=113, "Yellow Ripening", V176&gt;=101, "Dough Stage", V176&gt;=93, "Milking Stage", V176&gt;=86, "Flowering", V176&gt;=56, "Panicle Initiation/Booting", V176&lt;56, "Vegetative/Tillering")</f>
        <v>Vegetative/Tillering</v>
      </c>
    </row>
    <row r="177" ht="15.75" hidden="1" customHeight="1">
      <c r="A177" s="3">
        <v>176.0</v>
      </c>
      <c r="B177" s="3" t="s">
        <v>23</v>
      </c>
      <c r="C177" s="3" t="s">
        <v>68</v>
      </c>
      <c r="D177" s="3" t="s">
        <v>420</v>
      </c>
      <c r="E177" s="3" t="s">
        <v>689</v>
      </c>
      <c r="F177" s="3">
        <v>1197001.0</v>
      </c>
      <c r="G177" s="4">
        <v>46032.0</v>
      </c>
      <c r="H177" s="4">
        <v>46134.0</v>
      </c>
      <c r="I177" s="3" t="s">
        <v>690</v>
      </c>
      <c r="J177" s="3" t="s">
        <v>691</v>
      </c>
      <c r="K177" s="3" t="s">
        <v>692</v>
      </c>
      <c r="L177" s="3">
        <v>0.2171</v>
      </c>
      <c r="M177" s="3">
        <v>5427.5</v>
      </c>
      <c r="N177" s="3">
        <v>2.0</v>
      </c>
      <c r="O177" s="3">
        <v>296204.0</v>
      </c>
      <c r="P177" s="3" t="s">
        <v>693</v>
      </c>
      <c r="Q177" s="3">
        <v>1327622.0</v>
      </c>
      <c r="R177" s="3"/>
      <c r="S177" s="3">
        <v>3799.25</v>
      </c>
      <c r="T177" s="3" t="s">
        <v>31</v>
      </c>
      <c r="U177" s="3">
        <v>3799.25</v>
      </c>
      <c r="V177" s="5">
        <f>(DATE(2026,2,3)-'RICE_Insured Farms_with PPI Pol'!$G177)+IF('RICE_Insured Farms_with PPI Pol'!$H177&lt;&gt;'RICE_Insured Farms_with PPI Pol'!$G177,18,0)</f>
        <v>42</v>
      </c>
      <c r="W177" s="3" t="str">
        <f t="array" ref="W177">IFS(V177&gt;120, "Harvested", V177&gt;=113, "Yellow Ripening", V177&gt;=101, "Dough Stage", V177&gt;=93, "Milking Stage", V177&gt;=86, "Flowering", V177&gt;=56, "Panicle Initiation/Booting", V177&lt;56, "Vegetative/Tillering")</f>
        <v>Vegetative/Tillering</v>
      </c>
    </row>
    <row r="178" ht="15.75" hidden="1" customHeight="1">
      <c r="A178" s="3">
        <v>177.0</v>
      </c>
      <c r="B178" s="3" t="s">
        <v>23</v>
      </c>
      <c r="C178" s="3" t="s">
        <v>68</v>
      </c>
      <c r="D178" s="3" t="s">
        <v>420</v>
      </c>
      <c r="E178" s="3" t="s">
        <v>421</v>
      </c>
      <c r="F178" s="3">
        <v>1197002.0</v>
      </c>
      <c r="G178" s="4">
        <v>46044.0</v>
      </c>
      <c r="H178" s="4">
        <v>46146.0</v>
      </c>
      <c r="I178" s="3" t="s">
        <v>694</v>
      </c>
      <c r="J178" s="3" t="s">
        <v>695</v>
      </c>
      <c r="K178" s="3" t="s">
        <v>696</v>
      </c>
      <c r="L178" s="3">
        <v>0.1556</v>
      </c>
      <c r="M178" s="3">
        <v>3890.0</v>
      </c>
      <c r="N178" s="3">
        <v>2.0</v>
      </c>
      <c r="O178" s="3">
        <v>208117.0</v>
      </c>
      <c r="P178" s="3"/>
      <c r="Q178" s="3">
        <v>1331808.0</v>
      </c>
      <c r="R178" s="3"/>
      <c r="S178" s="3">
        <v>2723.0</v>
      </c>
      <c r="T178" s="3" t="s">
        <v>31</v>
      </c>
      <c r="U178" s="3">
        <v>2723.0</v>
      </c>
      <c r="V178" s="5">
        <f>(DATE(2026,2,3)-'RICE_Insured Farms_with PPI Pol'!$G178)+IF('RICE_Insured Farms_with PPI Pol'!$H178&lt;&gt;'RICE_Insured Farms_with PPI Pol'!$G178,18,0)</f>
        <v>30</v>
      </c>
      <c r="W178" s="3" t="str">
        <f t="array" ref="W178">IFS(V178&gt;120, "Harvested", V178&gt;=113, "Yellow Ripening", V178&gt;=101, "Dough Stage", V178&gt;=93, "Milking Stage", V178&gt;=86, "Flowering", V178&gt;=56, "Panicle Initiation/Booting", V178&lt;56, "Vegetative/Tillering")</f>
        <v>Vegetative/Tillering</v>
      </c>
    </row>
    <row r="179" ht="15.75" hidden="1" customHeight="1">
      <c r="A179" s="3">
        <v>178.0</v>
      </c>
      <c r="B179" s="3" t="s">
        <v>23</v>
      </c>
      <c r="C179" s="3" t="s">
        <v>121</v>
      </c>
      <c r="D179" s="3" t="s">
        <v>122</v>
      </c>
      <c r="E179" s="3" t="s">
        <v>697</v>
      </c>
      <c r="F179" s="3">
        <v>1760510.0</v>
      </c>
      <c r="G179" s="4">
        <v>46042.0</v>
      </c>
      <c r="H179" s="4">
        <v>46137.0</v>
      </c>
      <c r="I179" s="3" t="s">
        <v>698</v>
      </c>
      <c r="J179" s="3" t="s">
        <v>699</v>
      </c>
      <c r="K179" s="3" t="s">
        <v>700</v>
      </c>
      <c r="L179" s="3">
        <v>2.0</v>
      </c>
      <c r="M179" s="3">
        <v>50000.0</v>
      </c>
      <c r="N179" s="3">
        <v>2.0</v>
      </c>
      <c r="O179" s="3">
        <v>176668.0</v>
      </c>
      <c r="P179" s="3" t="s">
        <v>701</v>
      </c>
      <c r="Q179" s="3">
        <v>1330844.0</v>
      </c>
      <c r="R179" s="3"/>
      <c r="S179" s="3">
        <v>35000.0</v>
      </c>
      <c r="T179" s="3" t="s">
        <v>31</v>
      </c>
      <c r="U179" s="3">
        <v>35000.0</v>
      </c>
      <c r="V179" s="5">
        <f>(DATE(2026,2,3)-'RICE_Insured Farms_with PPI Pol'!$G179)+IF('RICE_Insured Farms_with PPI Pol'!$H179&lt;&gt;'RICE_Insured Farms_with PPI Pol'!$G179,18,0)</f>
        <v>32</v>
      </c>
      <c r="W179" s="3" t="str">
        <f t="array" ref="W179">IFS(V179&gt;120, "Harvested", V179&gt;=113, "Yellow Ripening", V179&gt;=101, "Dough Stage", V179&gt;=93, "Milking Stage", V179&gt;=86, "Flowering", V179&gt;=56, "Panicle Initiation/Booting", V179&lt;56, "Vegetative/Tillering")</f>
        <v>Vegetative/Tillering</v>
      </c>
    </row>
    <row r="180" ht="15.75" hidden="1" customHeight="1">
      <c r="A180" s="3">
        <v>179.0</v>
      </c>
      <c r="B180" s="3" t="s">
        <v>23</v>
      </c>
      <c r="C180" s="3" t="s">
        <v>68</v>
      </c>
      <c r="D180" s="3" t="s">
        <v>289</v>
      </c>
      <c r="E180" s="3" t="s">
        <v>702</v>
      </c>
      <c r="F180" s="3">
        <v>1760050.0</v>
      </c>
      <c r="G180" s="4">
        <v>46044.0</v>
      </c>
      <c r="H180" s="4">
        <v>46164.0</v>
      </c>
      <c r="I180" s="3" t="s">
        <v>703</v>
      </c>
      <c r="J180" s="3" t="s">
        <v>704</v>
      </c>
      <c r="K180" s="3" t="s">
        <v>705</v>
      </c>
      <c r="L180" s="3">
        <v>1.1603</v>
      </c>
      <c r="M180" s="3">
        <v>29007.5</v>
      </c>
      <c r="N180" s="3">
        <v>1.0</v>
      </c>
      <c r="O180" s="3">
        <v>84447.0</v>
      </c>
      <c r="P180" s="3" t="s">
        <v>706</v>
      </c>
      <c r="Q180" s="3">
        <v>1326147.0</v>
      </c>
      <c r="R180" s="3"/>
      <c r="S180" s="3">
        <v>17404.5</v>
      </c>
      <c r="T180" s="3" t="s">
        <v>62</v>
      </c>
      <c r="U180" s="3">
        <v>17404.5</v>
      </c>
      <c r="V180" s="5">
        <f>(DATE(2026,2,3)-'RICE_Insured Farms_with PPI Pol'!$G180)+IF('RICE_Insured Farms_with PPI Pol'!$H180&lt;&gt;'RICE_Insured Farms_with PPI Pol'!$G180,18,0)</f>
        <v>30</v>
      </c>
      <c r="W180" s="3" t="str">
        <f t="array" ref="W180">IFS(V180&gt;120, "Harvested", V180&gt;=113, "Yellow Ripening", V180&gt;=101, "Dough Stage", V180&gt;=93, "Milking Stage", V180&gt;=86, "Flowering", V180&gt;=56, "Panicle Initiation/Booting", V180&lt;56, "Vegetative/Tillering")</f>
        <v>Vegetative/Tillering</v>
      </c>
    </row>
    <row r="181" ht="15.75" customHeight="1">
      <c r="A181" s="3">
        <v>180.0</v>
      </c>
      <c r="B181" s="3" t="s">
        <v>23</v>
      </c>
      <c r="C181" s="3" t="s">
        <v>68</v>
      </c>
      <c r="D181" s="3" t="s">
        <v>289</v>
      </c>
      <c r="E181" s="3" t="s">
        <v>685</v>
      </c>
      <c r="F181" s="3">
        <v>1760017.0</v>
      </c>
      <c r="G181" s="4">
        <v>46017.0</v>
      </c>
      <c r="H181" s="4">
        <v>46119.0</v>
      </c>
      <c r="I181" s="3" t="s">
        <v>707</v>
      </c>
      <c r="J181" s="3" t="s">
        <v>708</v>
      </c>
      <c r="K181" s="3" t="s">
        <v>709</v>
      </c>
      <c r="L181" s="3">
        <v>0.8356</v>
      </c>
      <c r="M181" s="3">
        <v>20890.0</v>
      </c>
      <c r="N181" s="3">
        <v>3.0</v>
      </c>
      <c r="O181" s="3">
        <v>328093.0</v>
      </c>
      <c r="P181" s="3" t="s">
        <v>710</v>
      </c>
      <c r="Q181" s="3">
        <v>1333054.0</v>
      </c>
      <c r="R181" s="3"/>
      <c r="S181" s="3">
        <v>16712.0</v>
      </c>
      <c r="T181" s="3" t="s">
        <v>37</v>
      </c>
      <c r="U181" s="3">
        <v>16712.0</v>
      </c>
      <c r="V181" s="5">
        <f>(DATE(2026,2,3)-'RICE_Insured Farms_with PPI Pol'!$G181)+IF('RICE_Insured Farms_with PPI Pol'!$H181&lt;&gt;'RICE_Insured Farms_with PPI Pol'!$G181,18,0)</f>
        <v>57</v>
      </c>
      <c r="W181" s="3" t="str">
        <f t="array" ref="W181">IFS(V181&gt;120, "Harvested", V181&gt;=113, "Yellow Ripening", V181&gt;=101, "Dough Stage", V181&gt;=93, "Milking Stage", V181&gt;=86, "Flowering", V181&gt;=56, "Panicle Initiation/Booting", V181&lt;56, "Vegetative/Tillering")</f>
        <v>Panicle Initiation/Booting</v>
      </c>
    </row>
    <row r="182" ht="15.75" customHeight="1">
      <c r="A182" s="3">
        <v>181.0</v>
      </c>
      <c r="B182" s="3" t="s">
        <v>23</v>
      </c>
      <c r="C182" s="3" t="s">
        <v>68</v>
      </c>
      <c r="D182" s="3" t="s">
        <v>262</v>
      </c>
      <c r="E182" s="3" t="s">
        <v>405</v>
      </c>
      <c r="F182" s="3">
        <v>1739586.0</v>
      </c>
      <c r="G182" s="4">
        <v>46014.0</v>
      </c>
      <c r="H182" s="4">
        <v>46116.0</v>
      </c>
      <c r="I182" s="3" t="s">
        <v>711</v>
      </c>
      <c r="J182" s="3" t="s">
        <v>712</v>
      </c>
      <c r="K182" s="3" t="s">
        <v>713</v>
      </c>
      <c r="L182" s="3">
        <v>0.2027</v>
      </c>
      <c r="M182" s="3">
        <v>5067.5</v>
      </c>
      <c r="N182" s="3">
        <v>3.0</v>
      </c>
      <c r="O182" s="3">
        <v>225508.0</v>
      </c>
      <c r="P182" s="3" t="s">
        <v>714</v>
      </c>
      <c r="Q182" s="3">
        <v>1318581.0</v>
      </c>
      <c r="R182" s="3"/>
      <c r="S182" s="3">
        <v>4054.0</v>
      </c>
      <c r="T182" s="3" t="s">
        <v>37</v>
      </c>
      <c r="U182" s="3">
        <v>4054.0</v>
      </c>
      <c r="V182" s="5">
        <f>(DATE(2026,2,3)-'RICE_Insured Farms_with PPI Pol'!$G182)+IF('RICE_Insured Farms_with PPI Pol'!$H182&lt;&gt;'RICE_Insured Farms_with PPI Pol'!$G182,18,0)</f>
        <v>60</v>
      </c>
      <c r="W182" s="3" t="str">
        <f t="array" ref="W182">IFS(V182&gt;120, "Harvested", V182&gt;=113, "Yellow Ripening", V182&gt;=101, "Dough Stage", V182&gt;=93, "Milking Stage", V182&gt;=86, "Flowering", V182&gt;=56, "Panicle Initiation/Booting", V182&lt;56, "Vegetative/Tillering")</f>
        <v>Panicle Initiation/Booting</v>
      </c>
    </row>
    <row r="183" ht="15.75" customHeight="1">
      <c r="A183" s="3">
        <v>182.0</v>
      </c>
      <c r="B183" s="3" t="s">
        <v>23</v>
      </c>
      <c r="C183" s="3" t="s">
        <v>68</v>
      </c>
      <c r="D183" s="3" t="s">
        <v>262</v>
      </c>
      <c r="E183" s="3" t="s">
        <v>405</v>
      </c>
      <c r="F183" s="3">
        <v>1739586.0</v>
      </c>
      <c r="G183" s="4">
        <v>46014.0</v>
      </c>
      <c r="H183" s="4">
        <v>46116.0</v>
      </c>
      <c r="I183" s="3" t="s">
        <v>711</v>
      </c>
      <c r="J183" s="3" t="s">
        <v>712</v>
      </c>
      <c r="K183" s="3" t="s">
        <v>713</v>
      </c>
      <c r="L183" s="3">
        <v>0.309</v>
      </c>
      <c r="M183" s="3">
        <v>7725.0</v>
      </c>
      <c r="N183" s="3">
        <v>3.0</v>
      </c>
      <c r="O183" s="3">
        <v>225508.0</v>
      </c>
      <c r="P183" s="3" t="s">
        <v>714</v>
      </c>
      <c r="Q183" s="3">
        <v>1318582.0</v>
      </c>
      <c r="R183" s="3"/>
      <c r="S183" s="3">
        <v>6180.0</v>
      </c>
      <c r="T183" s="3" t="s">
        <v>37</v>
      </c>
      <c r="U183" s="3">
        <v>6180.0</v>
      </c>
      <c r="V183" s="5">
        <f>(DATE(2026,2,3)-'RICE_Insured Farms_with PPI Pol'!$G183)+IF('RICE_Insured Farms_with PPI Pol'!$H183&lt;&gt;'RICE_Insured Farms_with PPI Pol'!$G183,18,0)</f>
        <v>60</v>
      </c>
      <c r="W183" s="3" t="str">
        <f t="array" ref="W183">IFS(V183&gt;120, "Harvested", V183&gt;=113, "Yellow Ripening", V183&gt;=101, "Dough Stage", V183&gt;=93, "Milking Stage", V183&gt;=86, "Flowering", V183&gt;=56, "Panicle Initiation/Booting", V183&lt;56, "Vegetative/Tillering")</f>
        <v>Panicle Initiation/Booting</v>
      </c>
    </row>
    <row r="184" ht="15.75" customHeight="1">
      <c r="A184" s="3">
        <v>183.0</v>
      </c>
      <c r="B184" s="3" t="s">
        <v>23</v>
      </c>
      <c r="C184" s="3" t="s">
        <v>68</v>
      </c>
      <c r="D184" s="3" t="s">
        <v>262</v>
      </c>
      <c r="E184" s="3" t="s">
        <v>405</v>
      </c>
      <c r="F184" s="3">
        <v>1739586.0</v>
      </c>
      <c r="G184" s="4">
        <v>46014.0</v>
      </c>
      <c r="H184" s="4">
        <v>46116.0</v>
      </c>
      <c r="I184" s="3" t="s">
        <v>711</v>
      </c>
      <c r="J184" s="3" t="s">
        <v>712</v>
      </c>
      <c r="K184" s="3" t="s">
        <v>713</v>
      </c>
      <c r="L184" s="3">
        <v>0.1541</v>
      </c>
      <c r="M184" s="3">
        <v>3852.5</v>
      </c>
      <c r="N184" s="3">
        <v>3.0</v>
      </c>
      <c r="O184" s="3">
        <v>225508.0</v>
      </c>
      <c r="P184" s="3" t="s">
        <v>714</v>
      </c>
      <c r="Q184" s="3">
        <v>1318585.0</v>
      </c>
      <c r="R184" s="3"/>
      <c r="S184" s="3">
        <v>3082.0</v>
      </c>
      <c r="T184" s="3" t="s">
        <v>37</v>
      </c>
      <c r="U184" s="3">
        <v>3082.0</v>
      </c>
      <c r="V184" s="5">
        <f>(DATE(2026,2,3)-'RICE_Insured Farms_with PPI Pol'!$G184)+IF('RICE_Insured Farms_with PPI Pol'!$H184&lt;&gt;'RICE_Insured Farms_with PPI Pol'!$G184,18,0)</f>
        <v>60</v>
      </c>
      <c r="W184" s="3" t="str">
        <f t="array" ref="W184">IFS(V184&gt;120, "Harvested", V184&gt;=113, "Yellow Ripening", V184&gt;=101, "Dough Stage", V184&gt;=93, "Milking Stage", V184&gt;=86, "Flowering", V184&gt;=56, "Panicle Initiation/Booting", V184&lt;56, "Vegetative/Tillering")</f>
        <v>Panicle Initiation/Booting</v>
      </c>
    </row>
    <row r="185" ht="15.75" hidden="1" customHeight="1">
      <c r="A185" s="3">
        <v>184.0</v>
      </c>
      <c r="B185" s="3" t="s">
        <v>23</v>
      </c>
      <c r="C185" s="3" t="s">
        <v>68</v>
      </c>
      <c r="D185" s="3" t="s">
        <v>420</v>
      </c>
      <c r="E185" s="3" t="s">
        <v>421</v>
      </c>
      <c r="F185" s="3">
        <v>1197003.0</v>
      </c>
      <c r="G185" s="4">
        <v>46052.0</v>
      </c>
      <c r="H185" s="4">
        <v>46154.0</v>
      </c>
      <c r="I185" s="3" t="s">
        <v>715</v>
      </c>
      <c r="J185" s="3" t="s">
        <v>174</v>
      </c>
      <c r="K185" s="3" t="s">
        <v>716</v>
      </c>
      <c r="L185" s="3">
        <v>0.1425</v>
      </c>
      <c r="M185" s="3">
        <v>3562.5</v>
      </c>
      <c r="N185" s="3">
        <v>1.0</v>
      </c>
      <c r="O185" s="3">
        <v>422206.0</v>
      </c>
      <c r="P185" s="3" t="s">
        <v>717</v>
      </c>
      <c r="Q185" s="3">
        <v>1134746.0</v>
      </c>
      <c r="R185" s="3"/>
      <c r="S185" s="3">
        <v>2137.5</v>
      </c>
      <c r="T185" s="3" t="s">
        <v>62</v>
      </c>
      <c r="U185" s="3">
        <v>2137.5</v>
      </c>
      <c r="V185" s="5">
        <f>(DATE(2026,2,3)-'RICE_Insured Farms_with PPI Pol'!$G185)+IF('RICE_Insured Farms_with PPI Pol'!$H185&lt;&gt;'RICE_Insured Farms_with PPI Pol'!$G185,18,0)</f>
        <v>22</v>
      </c>
      <c r="W185" s="3" t="str">
        <f t="array" ref="W185">IFS(V185&gt;120, "Harvested", V185&gt;=113, "Yellow Ripening", V185&gt;=101, "Dough Stage", V185&gt;=93, "Milking Stage", V185&gt;=86, "Flowering", V185&gt;=56, "Panicle Initiation/Booting", V185&lt;56, "Vegetative/Tillering")</f>
        <v>Vegetative/Tillering</v>
      </c>
    </row>
    <row r="186" ht="15.75" hidden="1" customHeight="1">
      <c r="A186" s="3">
        <v>185.0</v>
      </c>
      <c r="B186" s="3" t="s">
        <v>23</v>
      </c>
      <c r="C186" s="3" t="s">
        <v>68</v>
      </c>
      <c r="D186" s="3" t="s">
        <v>289</v>
      </c>
      <c r="E186" s="3" t="s">
        <v>363</v>
      </c>
      <c r="F186" s="3">
        <v>1760059.0</v>
      </c>
      <c r="G186" s="4">
        <v>46040.0</v>
      </c>
      <c r="H186" s="4">
        <v>46142.0</v>
      </c>
      <c r="I186" s="3" t="s">
        <v>718</v>
      </c>
      <c r="J186" s="3" t="s">
        <v>719</v>
      </c>
      <c r="K186" s="3" t="s">
        <v>667</v>
      </c>
      <c r="L186" s="3">
        <v>0.4796</v>
      </c>
      <c r="M186" s="3">
        <v>11990.0</v>
      </c>
      <c r="N186" s="3">
        <v>2.0</v>
      </c>
      <c r="O186" s="3">
        <v>200767.0</v>
      </c>
      <c r="P186" s="3" t="s">
        <v>720</v>
      </c>
      <c r="Q186" s="3">
        <v>1338686.0</v>
      </c>
      <c r="R186" s="3"/>
      <c r="S186" s="3">
        <v>8393.0</v>
      </c>
      <c r="T186" s="3" t="s">
        <v>31</v>
      </c>
      <c r="U186" s="3">
        <v>8393.0</v>
      </c>
      <c r="V186" s="5">
        <f>(DATE(2026,2,3)-'RICE_Insured Farms_with PPI Pol'!$G186)+IF('RICE_Insured Farms_with PPI Pol'!$H186&lt;&gt;'RICE_Insured Farms_with PPI Pol'!$G186,18,0)</f>
        <v>34</v>
      </c>
      <c r="W186" s="3" t="str">
        <f t="array" ref="W186">IFS(V186&gt;120, "Harvested", V186&gt;=113, "Yellow Ripening", V186&gt;=101, "Dough Stage", V186&gt;=93, "Milking Stage", V186&gt;=86, "Flowering", V186&gt;=56, "Panicle Initiation/Booting", V186&lt;56, "Vegetative/Tillering")</f>
        <v>Vegetative/Tillering</v>
      </c>
    </row>
    <row r="187" ht="15.75" hidden="1" customHeight="1">
      <c r="A187" s="3">
        <v>186.0</v>
      </c>
      <c r="B187" s="3" t="s">
        <v>23</v>
      </c>
      <c r="C187" s="3" t="s">
        <v>121</v>
      </c>
      <c r="D187" s="3" t="s">
        <v>122</v>
      </c>
      <c r="E187" s="3" t="s">
        <v>655</v>
      </c>
      <c r="F187" s="3">
        <v>1760509.0</v>
      </c>
      <c r="G187" s="4">
        <v>46032.0</v>
      </c>
      <c r="H187" s="4">
        <v>46127.0</v>
      </c>
      <c r="I187" s="3" t="s">
        <v>721</v>
      </c>
      <c r="J187" s="3" t="s">
        <v>722</v>
      </c>
      <c r="K187" s="3" t="s">
        <v>723</v>
      </c>
      <c r="L187" s="3">
        <v>3.0</v>
      </c>
      <c r="M187" s="3">
        <v>75000.0</v>
      </c>
      <c r="N187" s="3">
        <v>2.0</v>
      </c>
      <c r="O187" s="3">
        <v>340843.0</v>
      </c>
      <c r="P187" s="3" t="s">
        <v>724</v>
      </c>
      <c r="Q187" s="3">
        <v>1335669.0</v>
      </c>
      <c r="R187" s="3" t="s">
        <v>725</v>
      </c>
      <c r="S187" s="3">
        <v>52500.0</v>
      </c>
      <c r="T187" s="3" t="s">
        <v>31</v>
      </c>
      <c r="U187" s="3">
        <v>52500.0</v>
      </c>
      <c r="V187" s="5">
        <f>(DATE(2026,2,3)-'RICE_Insured Farms_with PPI Pol'!$G187)+IF('RICE_Insured Farms_with PPI Pol'!$H187&lt;&gt;'RICE_Insured Farms_with PPI Pol'!$G187,18,0)</f>
        <v>42</v>
      </c>
      <c r="W187" s="3" t="str">
        <f t="array" ref="W187">IFS(V187&gt;120, "Harvested", V187&gt;=113, "Yellow Ripening", V187&gt;=101, "Dough Stage", V187&gt;=93, "Milking Stage", V187&gt;=86, "Flowering", V187&gt;=56, "Panicle Initiation/Booting", V187&lt;56, "Vegetative/Tillering")</f>
        <v>Vegetative/Tillering</v>
      </c>
    </row>
    <row r="188" ht="15.75" hidden="1" customHeight="1">
      <c r="A188" s="3">
        <v>187.0</v>
      </c>
      <c r="B188" s="3" t="s">
        <v>23</v>
      </c>
      <c r="C188" s="3" t="s">
        <v>68</v>
      </c>
      <c r="D188" s="3" t="s">
        <v>420</v>
      </c>
      <c r="E188" s="3" t="s">
        <v>689</v>
      </c>
      <c r="F188" s="3">
        <v>1197000.0</v>
      </c>
      <c r="G188" s="4">
        <v>46032.0</v>
      </c>
      <c r="H188" s="4">
        <v>46134.0</v>
      </c>
      <c r="I188" s="3" t="s">
        <v>726</v>
      </c>
      <c r="J188" s="3" t="s">
        <v>727</v>
      </c>
      <c r="K188" s="3" t="s">
        <v>728</v>
      </c>
      <c r="L188" s="3">
        <v>0.1237</v>
      </c>
      <c r="M188" s="3">
        <v>3092.5</v>
      </c>
      <c r="N188" s="3">
        <v>2.0</v>
      </c>
      <c r="O188" s="3">
        <v>206133.0</v>
      </c>
      <c r="P188" s="3" t="s">
        <v>729</v>
      </c>
      <c r="Q188" s="3">
        <v>1327664.0</v>
      </c>
      <c r="R188" s="3"/>
      <c r="S188" s="3">
        <v>2164.75</v>
      </c>
      <c r="T188" s="3" t="s">
        <v>31</v>
      </c>
      <c r="U188" s="3">
        <v>2164.75</v>
      </c>
      <c r="V188" s="5">
        <f>(DATE(2026,2,3)-'RICE_Insured Farms_with PPI Pol'!$G188)+IF('RICE_Insured Farms_with PPI Pol'!$H188&lt;&gt;'RICE_Insured Farms_with PPI Pol'!$G188,18,0)</f>
        <v>42</v>
      </c>
      <c r="W188" s="3" t="str">
        <f t="array" ref="W188">IFS(V188&gt;120, "Harvested", V188&gt;=113, "Yellow Ripening", V188&gt;=101, "Dough Stage", V188&gt;=93, "Milking Stage", V188&gt;=86, "Flowering", V188&gt;=56, "Panicle Initiation/Booting", V188&lt;56, "Vegetative/Tillering")</f>
        <v>Vegetative/Tillering</v>
      </c>
    </row>
    <row r="189" ht="15.75" hidden="1" customHeight="1">
      <c r="A189" s="3">
        <v>188.0</v>
      </c>
      <c r="B189" s="3" t="s">
        <v>23</v>
      </c>
      <c r="C189" s="3" t="s">
        <v>68</v>
      </c>
      <c r="D189" s="3" t="s">
        <v>289</v>
      </c>
      <c r="E189" s="3" t="s">
        <v>507</v>
      </c>
      <c r="F189" s="3">
        <v>1760031.0</v>
      </c>
      <c r="G189" s="4">
        <v>46028.0</v>
      </c>
      <c r="H189" s="4">
        <v>46130.0</v>
      </c>
      <c r="I189" s="3" t="s">
        <v>730</v>
      </c>
      <c r="J189" s="3" t="s">
        <v>731</v>
      </c>
      <c r="K189" s="3" t="s">
        <v>732</v>
      </c>
      <c r="L189" s="3">
        <v>0.58</v>
      </c>
      <c r="M189" s="3">
        <v>14500.0</v>
      </c>
      <c r="N189" s="3">
        <v>2.0</v>
      </c>
      <c r="O189" s="3">
        <v>78413.0</v>
      </c>
      <c r="P189" s="3"/>
      <c r="Q189" s="3">
        <v>1316835.0</v>
      </c>
      <c r="R189" s="3"/>
      <c r="S189" s="3">
        <v>10150.0</v>
      </c>
      <c r="T189" s="3" t="s">
        <v>31</v>
      </c>
      <c r="U189" s="3">
        <v>10150.0</v>
      </c>
      <c r="V189" s="5">
        <f>(DATE(2026,2,3)-'RICE_Insured Farms_with PPI Pol'!$G189)+IF('RICE_Insured Farms_with PPI Pol'!$H189&lt;&gt;'RICE_Insured Farms_with PPI Pol'!$G189,18,0)</f>
        <v>46</v>
      </c>
      <c r="W189" s="3" t="str">
        <f t="array" ref="W189">IFS(V189&gt;120, "Harvested", V189&gt;=113, "Yellow Ripening", V189&gt;=101, "Dough Stage", V189&gt;=93, "Milking Stage", V189&gt;=86, "Flowering", V189&gt;=56, "Panicle Initiation/Booting", V189&lt;56, "Vegetative/Tillering")</f>
        <v>Vegetative/Tillering</v>
      </c>
    </row>
    <row r="190" ht="15.75" hidden="1" customHeight="1">
      <c r="A190" s="3">
        <v>189.0</v>
      </c>
      <c r="B190" s="3" t="s">
        <v>23</v>
      </c>
      <c r="C190" s="3" t="s">
        <v>68</v>
      </c>
      <c r="D190" s="3" t="s">
        <v>289</v>
      </c>
      <c r="E190" s="3" t="s">
        <v>507</v>
      </c>
      <c r="F190" s="3">
        <v>1760031.0</v>
      </c>
      <c r="G190" s="4">
        <v>46028.0</v>
      </c>
      <c r="H190" s="4">
        <v>46130.0</v>
      </c>
      <c r="I190" s="3" t="s">
        <v>730</v>
      </c>
      <c r="J190" s="3" t="s">
        <v>731</v>
      </c>
      <c r="K190" s="3" t="s">
        <v>732</v>
      </c>
      <c r="L190" s="3">
        <v>0.4035</v>
      </c>
      <c r="M190" s="3">
        <v>10087.5</v>
      </c>
      <c r="N190" s="3">
        <v>2.0</v>
      </c>
      <c r="O190" s="3">
        <v>78413.0</v>
      </c>
      <c r="P190" s="3"/>
      <c r="Q190" s="3">
        <v>1316837.0</v>
      </c>
      <c r="R190" s="3"/>
      <c r="S190" s="3">
        <v>7061.25</v>
      </c>
      <c r="T190" s="3" t="s">
        <v>31</v>
      </c>
      <c r="U190" s="3">
        <v>7061.25</v>
      </c>
      <c r="V190" s="5">
        <f>(DATE(2026,2,3)-'RICE_Insured Farms_with PPI Pol'!$G190)+IF('RICE_Insured Farms_with PPI Pol'!$H190&lt;&gt;'RICE_Insured Farms_with PPI Pol'!$G190,18,0)</f>
        <v>46</v>
      </c>
      <c r="W190" s="3" t="str">
        <f t="array" ref="W190">IFS(V190&gt;120, "Harvested", V190&gt;=113, "Yellow Ripening", V190&gt;=101, "Dough Stage", V190&gt;=93, "Milking Stage", V190&gt;=86, "Flowering", V190&gt;=56, "Panicle Initiation/Booting", V190&lt;56, "Vegetative/Tillering")</f>
        <v>Vegetative/Tillering</v>
      </c>
    </row>
    <row r="191" ht="15.75" hidden="1" customHeight="1">
      <c r="A191" s="3">
        <v>190.0</v>
      </c>
      <c r="B191" s="3" t="s">
        <v>23</v>
      </c>
      <c r="C191" s="3" t="s">
        <v>68</v>
      </c>
      <c r="D191" s="3" t="s">
        <v>289</v>
      </c>
      <c r="E191" s="3" t="s">
        <v>290</v>
      </c>
      <c r="F191" s="3">
        <v>1760037.0</v>
      </c>
      <c r="G191" s="4">
        <v>46031.0</v>
      </c>
      <c r="H191" s="4">
        <v>46133.0</v>
      </c>
      <c r="I191" s="3" t="s">
        <v>733</v>
      </c>
      <c r="J191" s="3" t="s">
        <v>734</v>
      </c>
      <c r="K191" s="3" t="s">
        <v>735</v>
      </c>
      <c r="L191" s="3">
        <v>0.8972</v>
      </c>
      <c r="M191" s="3">
        <v>22430.0</v>
      </c>
      <c r="N191" s="3">
        <v>2.0</v>
      </c>
      <c r="O191" s="3">
        <v>119594.0</v>
      </c>
      <c r="P191" s="3" t="s">
        <v>736</v>
      </c>
      <c r="Q191" s="3">
        <v>1324640.0</v>
      </c>
      <c r="R191" s="3"/>
      <c r="S191" s="3">
        <v>15701.0</v>
      </c>
      <c r="T191" s="3" t="s">
        <v>31</v>
      </c>
      <c r="U191" s="3">
        <v>15701.0</v>
      </c>
      <c r="V191" s="5">
        <f>(DATE(2026,2,3)-'RICE_Insured Farms_with PPI Pol'!$G191)+IF('RICE_Insured Farms_with PPI Pol'!$H191&lt;&gt;'RICE_Insured Farms_with PPI Pol'!$G191,18,0)</f>
        <v>43</v>
      </c>
      <c r="W191" s="3" t="str">
        <f t="array" ref="W191">IFS(V191&gt;120, "Harvested", V191&gt;=113, "Yellow Ripening", V191&gt;=101, "Dough Stage", V191&gt;=93, "Milking Stage", V191&gt;=86, "Flowering", V191&gt;=56, "Panicle Initiation/Booting", V191&lt;56, "Vegetative/Tillering")</f>
        <v>Vegetative/Tillering</v>
      </c>
    </row>
    <row r="192" ht="15.75" hidden="1" customHeight="1">
      <c r="A192" s="3">
        <v>191.0</v>
      </c>
      <c r="B192" s="3" t="s">
        <v>23</v>
      </c>
      <c r="C192" s="3" t="s">
        <v>68</v>
      </c>
      <c r="D192" s="3" t="s">
        <v>289</v>
      </c>
      <c r="E192" s="3" t="s">
        <v>290</v>
      </c>
      <c r="F192" s="3">
        <v>1760037.0</v>
      </c>
      <c r="G192" s="4">
        <v>46031.0</v>
      </c>
      <c r="H192" s="4">
        <v>46133.0</v>
      </c>
      <c r="I192" s="3" t="s">
        <v>733</v>
      </c>
      <c r="J192" s="3" t="s">
        <v>734</v>
      </c>
      <c r="K192" s="3" t="s">
        <v>735</v>
      </c>
      <c r="L192" s="3">
        <v>0.5623</v>
      </c>
      <c r="M192" s="3">
        <v>14057.5</v>
      </c>
      <c r="N192" s="3">
        <v>2.0</v>
      </c>
      <c r="O192" s="3">
        <v>119594.0</v>
      </c>
      <c r="P192" s="3" t="s">
        <v>736</v>
      </c>
      <c r="Q192" s="3">
        <v>1324641.0</v>
      </c>
      <c r="R192" s="3"/>
      <c r="S192" s="3">
        <v>9840.25</v>
      </c>
      <c r="T192" s="3" t="s">
        <v>31</v>
      </c>
      <c r="U192" s="3">
        <v>9840.25</v>
      </c>
      <c r="V192" s="5">
        <f>(DATE(2026,2,3)-'RICE_Insured Farms_with PPI Pol'!$G192)+IF('RICE_Insured Farms_with PPI Pol'!$H192&lt;&gt;'RICE_Insured Farms_with PPI Pol'!$G192,18,0)</f>
        <v>43</v>
      </c>
      <c r="W192" s="3" t="str">
        <f t="array" ref="W192">IFS(V192&gt;120, "Harvested", V192&gt;=113, "Yellow Ripening", V192&gt;=101, "Dough Stage", V192&gt;=93, "Milking Stage", V192&gt;=86, "Flowering", V192&gt;=56, "Panicle Initiation/Booting", V192&lt;56, "Vegetative/Tillering")</f>
        <v>Vegetative/Tillering</v>
      </c>
    </row>
    <row r="193" ht="15.75" hidden="1" customHeight="1">
      <c r="A193" s="3">
        <v>192.0</v>
      </c>
      <c r="B193" s="3" t="s">
        <v>23</v>
      </c>
      <c r="C193" s="3" t="s">
        <v>68</v>
      </c>
      <c r="D193" s="3" t="s">
        <v>262</v>
      </c>
      <c r="E193" s="3" t="s">
        <v>273</v>
      </c>
      <c r="F193" s="3">
        <v>1739595.0</v>
      </c>
      <c r="G193" s="4">
        <v>46030.0</v>
      </c>
      <c r="H193" s="4">
        <v>46132.0</v>
      </c>
      <c r="I193" s="3" t="s">
        <v>737</v>
      </c>
      <c r="J193" s="3" t="s">
        <v>738</v>
      </c>
      <c r="K193" s="3" t="s">
        <v>739</v>
      </c>
      <c r="L193" s="3">
        <v>0.6214</v>
      </c>
      <c r="M193" s="3">
        <v>15535.0</v>
      </c>
      <c r="N193" s="3">
        <v>2.0</v>
      </c>
      <c r="O193" s="3">
        <v>32672.0</v>
      </c>
      <c r="P193" s="3" t="s">
        <v>740</v>
      </c>
      <c r="Q193" s="3">
        <v>1281426.0</v>
      </c>
      <c r="R193" s="3"/>
      <c r="S193" s="3">
        <v>10874.5</v>
      </c>
      <c r="T193" s="3" t="s">
        <v>31</v>
      </c>
      <c r="U193" s="3">
        <v>10874.5</v>
      </c>
      <c r="V193" s="5">
        <f>(DATE(2026,2,3)-'RICE_Insured Farms_with PPI Pol'!$G193)+IF('RICE_Insured Farms_with PPI Pol'!$H193&lt;&gt;'RICE_Insured Farms_with PPI Pol'!$G193,18,0)</f>
        <v>44</v>
      </c>
      <c r="W193" s="3" t="str">
        <f t="array" ref="W193">IFS(V193&gt;120, "Harvested", V193&gt;=113, "Yellow Ripening", V193&gt;=101, "Dough Stage", V193&gt;=93, "Milking Stage", V193&gt;=86, "Flowering", V193&gt;=56, "Panicle Initiation/Booting", V193&lt;56, "Vegetative/Tillering")</f>
        <v>Vegetative/Tillering</v>
      </c>
    </row>
    <row r="194" ht="15.75" customHeight="1">
      <c r="A194" s="3">
        <v>193.0</v>
      </c>
      <c r="B194" s="3" t="s">
        <v>23</v>
      </c>
      <c r="C194" s="3" t="s">
        <v>68</v>
      </c>
      <c r="D194" s="3" t="s">
        <v>262</v>
      </c>
      <c r="E194" s="3" t="s">
        <v>273</v>
      </c>
      <c r="F194" s="3">
        <v>1739585.0</v>
      </c>
      <c r="G194" s="4">
        <v>46014.0</v>
      </c>
      <c r="H194" s="4">
        <v>46116.0</v>
      </c>
      <c r="I194" s="3" t="s">
        <v>274</v>
      </c>
      <c r="J194" s="3" t="s">
        <v>296</v>
      </c>
      <c r="K194" s="3" t="s">
        <v>741</v>
      </c>
      <c r="L194" s="3">
        <v>1.3099</v>
      </c>
      <c r="M194" s="3">
        <v>32747.5</v>
      </c>
      <c r="N194" s="3">
        <v>3.0</v>
      </c>
      <c r="O194" s="3">
        <v>187527.0</v>
      </c>
      <c r="P194" s="3" t="s">
        <v>742</v>
      </c>
      <c r="Q194" s="3">
        <v>1328400.0</v>
      </c>
      <c r="R194" s="3"/>
      <c r="S194" s="3">
        <v>26198.0</v>
      </c>
      <c r="T194" s="3" t="s">
        <v>37</v>
      </c>
      <c r="U194" s="3">
        <v>26198.0</v>
      </c>
      <c r="V194" s="5">
        <f>(DATE(2026,2,3)-'RICE_Insured Farms_with PPI Pol'!$G194)+IF('RICE_Insured Farms_with PPI Pol'!$H194&lt;&gt;'RICE_Insured Farms_with PPI Pol'!$G194,18,0)</f>
        <v>60</v>
      </c>
      <c r="W194" s="3" t="str">
        <f t="array" ref="W194">IFS(V194&gt;120, "Harvested", V194&gt;=113, "Yellow Ripening", V194&gt;=101, "Dough Stage", V194&gt;=93, "Milking Stage", V194&gt;=86, "Flowering", V194&gt;=56, "Panicle Initiation/Booting", V194&lt;56, "Vegetative/Tillering")</f>
        <v>Panicle Initiation/Booting</v>
      </c>
    </row>
    <row r="195" ht="15.75" customHeight="1">
      <c r="A195" s="3">
        <v>194.0</v>
      </c>
      <c r="B195" s="3" t="s">
        <v>23</v>
      </c>
      <c r="C195" s="3" t="s">
        <v>68</v>
      </c>
      <c r="D195" s="3" t="s">
        <v>262</v>
      </c>
      <c r="E195" s="3" t="s">
        <v>273</v>
      </c>
      <c r="F195" s="3">
        <v>1739581.0</v>
      </c>
      <c r="G195" s="4">
        <v>46011.0</v>
      </c>
      <c r="H195" s="4">
        <v>46113.0</v>
      </c>
      <c r="I195" s="3" t="s">
        <v>274</v>
      </c>
      <c r="J195" s="3" t="s">
        <v>275</v>
      </c>
      <c r="K195" s="3" t="s">
        <v>276</v>
      </c>
      <c r="L195" s="3">
        <v>0.4592</v>
      </c>
      <c r="M195" s="3">
        <v>11480.0</v>
      </c>
      <c r="N195" s="3">
        <v>3.0</v>
      </c>
      <c r="O195" s="3">
        <v>187871.0</v>
      </c>
      <c r="P195" s="3" t="s">
        <v>277</v>
      </c>
      <c r="Q195" s="3">
        <v>1329491.0</v>
      </c>
      <c r="R195" s="3"/>
      <c r="S195" s="3">
        <v>9184.0</v>
      </c>
      <c r="T195" s="3" t="s">
        <v>37</v>
      </c>
      <c r="U195" s="3">
        <v>9184.0</v>
      </c>
      <c r="V195" s="5">
        <f>(DATE(2026,2,3)-'RICE_Insured Farms_with PPI Pol'!$G195)+IF('RICE_Insured Farms_with PPI Pol'!$H195&lt;&gt;'RICE_Insured Farms_with PPI Pol'!$G195,18,0)</f>
        <v>63</v>
      </c>
      <c r="W195" s="3" t="str">
        <f t="array" ref="W195">IFS(V195&gt;120, "Harvested", V195&gt;=113, "Yellow Ripening", V195&gt;=101, "Dough Stage", V195&gt;=93, "Milking Stage", V195&gt;=86, "Flowering", V195&gt;=56, "Panicle Initiation/Booting", V195&lt;56, "Vegetative/Tillering")</f>
        <v>Panicle Initiation/Booting</v>
      </c>
    </row>
    <row r="196" ht="15.75" hidden="1" customHeight="1">
      <c r="A196" s="3">
        <v>195.0</v>
      </c>
      <c r="B196" s="3" t="s">
        <v>23</v>
      </c>
      <c r="C196" s="3" t="s">
        <v>68</v>
      </c>
      <c r="D196" s="3" t="s">
        <v>289</v>
      </c>
      <c r="E196" s="3" t="s">
        <v>743</v>
      </c>
      <c r="F196" s="3">
        <v>1760011.0</v>
      </c>
      <c r="G196" s="4">
        <v>46027.0</v>
      </c>
      <c r="H196" s="4">
        <v>46129.0</v>
      </c>
      <c r="I196" s="3" t="s">
        <v>744</v>
      </c>
      <c r="J196" s="3" t="s">
        <v>745</v>
      </c>
      <c r="K196" s="3" t="s">
        <v>746</v>
      </c>
      <c r="L196" s="3">
        <v>0.1466</v>
      </c>
      <c r="M196" s="3">
        <v>3665.0</v>
      </c>
      <c r="N196" s="3">
        <v>2.0</v>
      </c>
      <c r="O196" s="3">
        <v>282016.0</v>
      </c>
      <c r="P196" s="3" t="s">
        <v>747</v>
      </c>
      <c r="Q196" s="3">
        <v>1285754.0</v>
      </c>
      <c r="R196" s="3"/>
      <c r="S196" s="3">
        <v>2565.5</v>
      </c>
      <c r="T196" s="3" t="s">
        <v>31</v>
      </c>
      <c r="U196" s="3">
        <v>2565.5</v>
      </c>
      <c r="V196" s="5">
        <f>(DATE(2026,2,3)-'RICE_Insured Farms_with PPI Pol'!$G196)+IF('RICE_Insured Farms_with PPI Pol'!$H196&lt;&gt;'RICE_Insured Farms_with PPI Pol'!$G196,18,0)</f>
        <v>47</v>
      </c>
      <c r="W196" s="3" t="str">
        <f t="array" ref="W196">IFS(V196&gt;120, "Harvested", V196&gt;=113, "Yellow Ripening", V196&gt;=101, "Dough Stage", V196&gt;=93, "Milking Stage", V196&gt;=86, "Flowering", V196&gt;=56, "Panicle Initiation/Booting", V196&lt;56, "Vegetative/Tillering")</f>
        <v>Vegetative/Tillering</v>
      </c>
    </row>
    <row r="197" ht="15.75" hidden="1" customHeight="1">
      <c r="A197" s="3">
        <v>196.0</v>
      </c>
      <c r="B197" s="3" t="s">
        <v>23</v>
      </c>
      <c r="C197" s="3" t="s">
        <v>121</v>
      </c>
      <c r="D197" s="3" t="s">
        <v>399</v>
      </c>
      <c r="E197" s="3" t="s">
        <v>47</v>
      </c>
      <c r="F197" s="3">
        <v>1760154.0</v>
      </c>
      <c r="G197" s="4">
        <v>46032.0</v>
      </c>
      <c r="H197" s="4">
        <v>46152.0</v>
      </c>
      <c r="I197" s="3" t="s">
        <v>748</v>
      </c>
      <c r="J197" s="3" t="s">
        <v>749</v>
      </c>
      <c r="K197" s="3" t="s">
        <v>750</v>
      </c>
      <c r="L197" s="3">
        <v>0.7222</v>
      </c>
      <c r="M197" s="3">
        <v>18055.0</v>
      </c>
      <c r="N197" s="3">
        <v>1.0</v>
      </c>
      <c r="O197" s="3">
        <v>15052.0</v>
      </c>
      <c r="P197" s="3" t="s">
        <v>751</v>
      </c>
      <c r="Q197" s="3">
        <v>1142284.0</v>
      </c>
      <c r="R197" s="3"/>
      <c r="S197" s="3">
        <v>10833.0</v>
      </c>
      <c r="T197" s="3" t="s">
        <v>62</v>
      </c>
      <c r="U197" s="3">
        <v>10833.0</v>
      </c>
      <c r="V197" s="5">
        <f>(DATE(2026,2,3)-'RICE_Insured Farms_with PPI Pol'!$G197)+IF('RICE_Insured Farms_with PPI Pol'!$H197&lt;&gt;'RICE_Insured Farms_with PPI Pol'!$G197,18,0)</f>
        <v>42</v>
      </c>
      <c r="W197" s="3" t="str">
        <f t="array" ref="W197">IFS(V197&gt;120, "Harvested", V197&gt;=113, "Yellow Ripening", V197&gt;=101, "Dough Stage", V197&gt;=93, "Milking Stage", V197&gt;=86, "Flowering", V197&gt;=56, "Panicle Initiation/Booting", V197&lt;56, "Vegetative/Tillering")</f>
        <v>Vegetative/Tillering</v>
      </c>
    </row>
    <row r="198" ht="15.75" hidden="1" customHeight="1">
      <c r="A198" s="3">
        <v>197.0</v>
      </c>
      <c r="B198" s="3" t="s">
        <v>23</v>
      </c>
      <c r="C198" s="3" t="s">
        <v>121</v>
      </c>
      <c r="D198" s="3" t="s">
        <v>399</v>
      </c>
      <c r="E198" s="3" t="s">
        <v>47</v>
      </c>
      <c r="F198" s="3">
        <v>1760154.0</v>
      </c>
      <c r="G198" s="4">
        <v>46032.0</v>
      </c>
      <c r="H198" s="4">
        <v>46152.0</v>
      </c>
      <c r="I198" s="3" t="s">
        <v>748</v>
      </c>
      <c r="J198" s="3" t="s">
        <v>749</v>
      </c>
      <c r="K198" s="3" t="s">
        <v>750</v>
      </c>
      <c r="L198" s="3">
        <v>0.4892</v>
      </c>
      <c r="M198" s="3">
        <v>12230.0</v>
      </c>
      <c r="N198" s="3">
        <v>1.0</v>
      </c>
      <c r="O198" s="3">
        <v>15052.0</v>
      </c>
      <c r="P198" s="3" t="s">
        <v>751</v>
      </c>
      <c r="Q198" s="3">
        <v>1142285.0</v>
      </c>
      <c r="R198" s="3"/>
      <c r="S198" s="3">
        <v>7338.0</v>
      </c>
      <c r="T198" s="3" t="s">
        <v>62</v>
      </c>
      <c r="U198" s="3">
        <v>7338.0</v>
      </c>
      <c r="V198" s="5">
        <f>(DATE(2026,2,3)-'RICE_Insured Farms_with PPI Pol'!$G198)+IF('RICE_Insured Farms_with PPI Pol'!$H198&lt;&gt;'RICE_Insured Farms_with PPI Pol'!$G198,18,0)</f>
        <v>42</v>
      </c>
      <c r="W198" s="3" t="str">
        <f t="array" ref="W198">IFS(V198&gt;120, "Harvested", V198&gt;=113, "Yellow Ripening", V198&gt;=101, "Dough Stage", V198&gt;=93, "Milking Stage", V198&gt;=86, "Flowering", V198&gt;=56, "Panicle Initiation/Booting", V198&lt;56, "Vegetative/Tillering")</f>
        <v>Vegetative/Tillering</v>
      </c>
    </row>
    <row r="199" ht="15.75" hidden="1" customHeight="1">
      <c r="A199" s="3">
        <v>198.0</v>
      </c>
      <c r="B199" s="3" t="s">
        <v>23</v>
      </c>
      <c r="C199" s="3" t="s">
        <v>121</v>
      </c>
      <c r="D199" s="3" t="s">
        <v>122</v>
      </c>
      <c r="E199" s="3" t="s">
        <v>655</v>
      </c>
      <c r="F199" s="3">
        <v>1760509.0</v>
      </c>
      <c r="G199" s="4">
        <v>46032.0</v>
      </c>
      <c r="H199" s="4">
        <v>46142.0</v>
      </c>
      <c r="I199" s="3" t="s">
        <v>752</v>
      </c>
      <c r="J199" s="3" t="s">
        <v>753</v>
      </c>
      <c r="K199" s="3" t="s">
        <v>754</v>
      </c>
      <c r="L199" s="3">
        <v>1.9221</v>
      </c>
      <c r="M199" s="3">
        <v>48052.5</v>
      </c>
      <c r="N199" s="3">
        <v>1.0</v>
      </c>
      <c r="O199" s="3">
        <v>200232.0</v>
      </c>
      <c r="P199" s="3" t="s">
        <v>755</v>
      </c>
      <c r="Q199" s="3">
        <v>1295556.0</v>
      </c>
      <c r="R199" s="3"/>
      <c r="S199" s="3">
        <v>28831.5</v>
      </c>
      <c r="T199" s="3" t="s">
        <v>62</v>
      </c>
      <c r="U199" s="3">
        <v>28831.5</v>
      </c>
      <c r="V199" s="5">
        <f>(DATE(2026,2,3)-'RICE_Insured Farms_with PPI Pol'!$G199)+IF('RICE_Insured Farms_with PPI Pol'!$H199&lt;&gt;'RICE_Insured Farms_with PPI Pol'!$G199,18,0)</f>
        <v>42</v>
      </c>
      <c r="W199" s="3" t="str">
        <f t="array" ref="W199">IFS(V199&gt;120, "Harvested", V199&gt;=113, "Yellow Ripening", V199&gt;=101, "Dough Stage", V199&gt;=93, "Milking Stage", V199&gt;=86, "Flowering", V199&gt;=56, "Panicle Initiation/Booting", V199&lt;56, "Vegetative/Tillering")</f>
        <v>Vegetative/Tillering</v>
      </c>
    </row>
    <row r="200" ht="15.75" hidden="1" customHeight="1">
      <c r="A200" s="3">
        <v>199.0</v>
      </c>
      <c r="B200" s="3" t="s">
        <v>756</v>
      </c>
      <c r="C200" s="3" t="s">
        <v>121</v>
      </c>
      <c r="D200" s="3" t="s">
        <v>122</v>
      </c>
      <c r="E200" s="3" t="s">
        <v>757</v>
      </c>
      <c r="F200" s="3">
        <v>1741652.0</v>
      </c>
      <c r="G200" s="4">
        <v>46043.0</v>
      </c>
      <c r="H200" s="4">
        <v>46163.0</v>
      </c>
      <c r="I200" s="3" t="s">
        <v>758</v>
      </c>
      <c r="J200" s="3" t="s">
        <v>759</v>
      </c>
      <c r="K200" s="3" t="s">
        <v>760</v>
      </c>
      <c r="L200" s="3">
        <v>1.6534</v>
      </c>
      <c r="M200" s="3">
        <v>50000.0</v>
      </c>
      <c r="N200" s="3">
        <v>1.0</v>
      </c>
      <c r="O200" s="3">
        <v>10685.0</v>
      </c>
      <c r="P200" s="3"/>
      <c r="Q200" s="3">
        <v>1130130.0</v>
      </c>
      <c r="R200" s="3"/>
      <c r="S200" s="3">
        <v>30000.0</v>
      </c>
      <c r="T200" s="3" t="s">
        <v>62</v>
      </c>
      <c r="U200" s="3">
        <v>30000.0</v>
      </c>
      <c r="V200" s="5">
        <f>(DATE(2026,2,3)-'RICE_Insured Farms_with PPI Pol'!$G200)+IF('RICE_Insured Farms_with PPI Pol'!$H200&lt;&gt;'RICE_Insured Farms_with PPI Pol'!$G200,18,0)</f>
        <v>31</v>
      </c>
      <c r="W200" s="3" t="str">
        <f t="array" ref="W200">IFS(V200&gt;120, "Harvested", V200&gt;=113, "Yellow Ripening", V200&gt;=101, "Dough Stage", V200&gt;=93, "Milking Stage", V200&gt;=86, "Flowering", V200&gt;=56, "Panicle Initiation/Booting", V200&lt;56, "Vegetative/Tillering")</f>
        <v>Vegetative/Tillering</v>
      </c>
    </row>
    <row r="201" ht="15.75" hidden="1" customHeight="1">
      <c r="A201" s="3">
        <v>200.0</v>
      </c>
      <c r="B201" s="3" t="s">
        <v>23</v>
      </c>
      <c r="C201" s="3" t="s">
        <v>121</v>
      </c>
      <c r="D201" s="3" t="s">
        <v>122</v>
      </c>
      <c r="E201" s="3" t="s">
        <v>655</v>
      </c>
      <c r="F201" s="3">
        <v>1760509.0</v>
      </c>
      <c r="G201" s="4">
        <v>46037.0</v>
      </c>
      <c r="H201" s="4">
        <v>46132.0</v>
      </c>
      <c r="I201" s="3" t="s">
        <v>656</v>
      </c>
      <c r="J201" s="3" t="s">
        <v>761</v>
      </c>
      <c r="K201" s="3" t="s">
        <v>762</v>
      </c>
      <c r="L201" s="3">
        <v>2.0179</v>
      </c>
      <c r="M201" s="3">
        <v>50447.5</v>
      </c>
      <c r="N201" s="3">
        <v>2.0</v>
      </c>
      <c r="O201" s="3">
        <v>423849.0</v>
      </c>
      <c r="P201" s="3" t="s">
        <v>763</v>
      </c>
      <c r="Q201" s="3">
        <v>1091618.0</v>
      </c>
      <c r="R201" s="3"/>
      <c r="S201" s="3">
        <v>35313.25</v>
      </c>
      <c r="T201" s="3" t="s">
        <v>31</v>
      </c>
      <c r="U201" s="3">
        <v>35313.25</v>
      </c>
      <c r="V201" s="5">
        <f>(DATE(2026,2,3)-'RICE_Insured Farms_with PPI Pol'!$G201)+IF('RICE_Insured Farms_with PPI Pol'!$H201&lt;&gt;'RICE_Insured Farms_with PPI Pol'!$G201,18,0)</f>
        <v>37</v>
      </c>
      <c r="W201" s="3" t="str">
        <f t="array" ref="W201">IFS(V201&gt;120, "Harvested", V201&gt;=113, "Yellow Ripening", V201&gt;=101, "Dough Stage", V201&gt;=93, "Milking Stage", V201&gt;=86, "Flowering", V201&gt;=56, "Panicle Initiation/Booting", V201&lt;56, "Vegetative/Tillering")</f>
        <v>Vegetative/Tillering</v>
      </c>
    </row>
    <row r="202" ht="15.75" hidden="1" customHeight="1">
      <c r="A202" s="3">
        <v>201.0</v>
      </c>
      <c r="B202" s="3" t="s">
        <v>23</v>
      </c>
      <c r="C202" s="3" t="s">
        <v>68</v>
      </c>
      <c r="D202" s="3" t="s">
        <v>69</v>
      </c>
      <c r="E202" s="3" t="s">
        <v>321</v>
      </c>
      <c r="F202" s="3">
        <v>1739656.0</v>
      </c>
      <c r="G202" s="4">
        <v>46038.0</v>
      </c>
      <c r="H202" s="4">
        <v>46140.0</v>
      </c>
      <c r="I202" s="3" t="s">
        <v>764</v>
      </c>
      <c r="J202" s="3" t="s">
        <v>765</v>
      </c>
      <c r="K202" s="3" t="s">
        <v>766</v>
      </c>
      <c r="L202" s="3">
        <v>1.0876</v>
      </c>
      <c r="M202" s="3">
        <v>27190.0</v>
      </c>
      <c r="N202" s="3">
        <v>2.0</v>
      </c>
      <c r="O202" s="3">
        <v>200331.0</v>
      </c>
      <c r="P202" s="3"/>
      <c r="Q202" s="3">
        <v>1339368.0</v>
      </c>
      <c r="R202" s="3"/>
      <c r="S202" s="3">
        <v>19033.0</v>
      </c>
      <c r="T202" s="3" t="s">
        <v>31</v>
      </c>
      <c r="U202" s="3">
        <v>19033.0</v>
      </c>
      <c r="V202" s="5">
        <f>(DATE(2026,2,3)-'RICE_Insured Farms_with PPI Pol'!$G202)+IF('RICE_Insured Farms_with PPI Pol'!$H202&lt;&gt;'RICE_Insured Farms_with PPI Pol'!$G202,18,0)</f>
        <v>36</v>
      </c>
      <c r="W202" s="3" t="str">
        <f t="array" ref="W202">IFS(V202&gt;120, "Harvested", V202&gt;=113, "Yellow Ripening", V202&gt;=101, "Dough Stage", V202&gt;=93, "Milking Stage", V202&gt;=86, "Flowering", V202&gt;=56, "Panicle Initiation/Booting", V202&lt;56, "Vegetative/Tillering")</f>
        <v>Vegetative/Tillering</v>
      </c>
    </row>
    <row r="203" ht="15.75" hidden="1" customHeight="1">
      <c r="A203" s="3">
        <v>202.0</v>
      </c>
      <c r="B203" s="3" t="s">
        <v>23</v>
      </c>
      <c r="C203" s="3" t="s">
        <v>68</v>
      </c>
      <c r="D203" s="3" t="s">
        <v>289</v>
      </c>
      <c r="E203" s="3" t="s">
        <v>507</v>
      </c>
      <c r="F203" s="3">
        <v>1760016.0</v>
      </c>
      <c r="G203" s="4">
        <v>46026.0</v>
      </c>
      <c r="H203" s="4">
        <v>46128.0</v>
      </c>
      <c r="I203" s="3" t="s">
        <v>767</v>
      </c>
      <c r="J203" s="3" t="s">
        <v>768</v>
      </c>
      <c r="K203" s="3" t="s">
        <v>595</v>
      </c>
      <c r="L203" s="3">
        <v>0.257</v>
      </c>
      <c r="M203" s="3">
        <v>6425.0</v>
      </c>
      <c r="N203" s="3">
        <v>2.0</v>
      </c>
      <c r="O203" s="3">
        <v>299401.0</v>
      </c>
      <c r="P203" s="3"/>
      <c r="Q203" s="3">
        <v>1320031.0</v>
      </c>
      <c r="R203" s="3"/>
      <c r="S203" s="3">
        <v>4497.5</v>
      </c>
      <c r="T203" s="3" t="s">
        <v>31</v>
      </c>
      <c r="U203" s="3">
        <v>4497.5</v>
      </c>
      <c r="V203" s="5">
        <f>(DATE(2026,2,3)-'RICE_Insured Farms_with PPI Pol'!$G203)+IF('RICE_Insured Farms_with PPI Pol'!$H203&lt;&gt;'RICE_Insured Farms_with PPI Pol'!$G203,18,0)</f>
        <v>48</v>
      </c>
      <c r="W203" s="3" t="str">
        <f t="array" ref="W203">IFS(V203&gt;120, "Harvested", V203&gt;=113, "Yellow Ripening", V203&gt;=101, "Dough Stage", V203&gt;=93, "Milking Stage", V203&gt;=86, "Flowering", V203&gt;=56, "Panicle Initiation/Booting", V203&lt;56, "Vegetative/Tillering")</f>
        <v>Vegetative/Tillering</v>
      </c>
    </row>
    <row r="204" ht="15.75" hidden="1" customHeight="1">
      <c r="A204" s="3">
        <v>203.0</v>
      </c>
      <c r="B204" s="3" t="s">
        <v>23</v>
      </c>
      <c r="C204" s="3" t="s">
        <v>68</v>
      </c>
      <c r="D204" s="3" t="s">
        <v>769</v>
      </c>
      <c r="E204" s="3" t="s">
        <v>770</v>
      </c>
      <c r="F204" s="3">
        <v>1742303.0</v>
      </c>
      <c r="G204" s="4">
        <v>46025.0</v>
      </c>
      <c r="H204" s="4">
        <v>46127.0</v>
      </c>
      <c r="I204" s="3" t="s">
        <v>771</v>
      </c>
      <c r="J204" s="3" t="s">
        <v>772</v>
      </c>
      <c r="K204" s="3" t="s">
        <v>536</v>
      </c>
      <c r="L204" s="3">
        <v>0.8957</v>
      </c>
      <c r="M204" s="3">
        <v>22392.5</v>
      </c>
      <c r="N204" s="3">
        <v>2.0</v>
      </c>
      <c r="O204" s="3">
        <v>35745.0</v>
      </c>
      <c r="P204" s="3" t="s">
        <v>773</v>
      </c>
      <c r="Q204" s="3">
        <v>1333080.0</v>
      </c>
      <c r="R204" s="3"/>
      <c r="S204" s="3">
        <v>15674.75</v>
      </c>
      <c r="T204" s="3" t="s">
        <v>31</v>
      </c>
      <c r="U204" s="3">
        <v>15674.75</v>
      </c>
      <c r="V204" s="5">
        <f>(DATE(2026,2,3)-'RICE_Insured Farms_with PPI Pol'!$G204)+IF('RICE_Insured Farms_with PPI Pol'!$H204&lt;&gt;'RICE_Insured Farms_with PPI Pol'!$G204,18,0)</f>
        <v>49</v>
      </c>
      <c r="W204" s="3" t="str">
        <f t="array" ref="W204">IFS(V204&gt;120, "Harvested", V204&gt;=113, "Yellow Ripening", V204&gt;=101, "Dough Stage", V204&gt;=93, "Milking Stage", V204&gt;=86, "Flowering", V204&gt;=56, "Panicle Initiation/Booting", V204&lt;56, "Vegetative/Tillering")</f>
        <v>Vegetative/Tillering</v>
      </c>
    </row>
    <row r="205" ht="15.75" hidden="1" customHeight="1">
      <c r="A205" s="3">
        <v>204.0</v>
      </c>
      <c r="B205" s="3" t="s">
        <v>23</v>
      </c>
      <c r="C205" s="3" t="s">
        <v>68</v>
      </c>
      <c r="D205" s="3" t="s">
        <v>289</v>
      </c>
      <c r="E205" s="3" t="s">
        <v>774</v>
      </c>
      <c r="F205" s="3">
        <v>1760024.0</v>
      </c>
      <c r="G205" s="4">
        <v>46028.0</v>
      </c>
      <c r="H205" s="4">
        <v>46130.0</v>
      </c>
      <c r="I205" s="3" t="s">
        <v>775</v>
      </c>
      <c r="J205" s="3" t="s">
        <v>776</v>
      </c>
      <c r="K205" s="3" t="s">
        <v>777</v>
      </c>
      <c r="L205" s="3">
        <v>0.7027</v>
      </c>
      <c r="M205" s="3">
        <v>17567.5</v>
      </c>
      <c r="N205" s="3">
        <v>2.0</v>
      </c>
      <c r="O205" s="3">
        <v>173765.0</v>
      </c>
      <c r="P205" s="3" t="s">
        <v>778</v>
      </c>
      <c r="Q205" s="3">
        <v>1326173.0</v>
      </c>
      <c r="R205" s="3"/>
      <c r="S205" s="3">
        <v>12297.25</v>
      </c>
      <c r="T205" s="3" t="s">
        <v>31</v>
      </c>
      <c r="U205" s="3">
        <v>12297.25</v>
      </c>
      <c r="V205" s="5">
        <f>(DATE(2026,2,3)-'RICE_Insured Farms_with PPI Pol'!$G205)+IF('RICE_Insured Farms_with PPI Pol'!$H205&lt;&gt;'RICE_Insured Farms_with PPI Pol'!$G205,18,0)</f>
        <v>46</v>
      </c>
      <c r="W205" s="3" t="str">
        <f t="array" ref="W205">IFS(V205&gt;120, "Harvested", V205&gt;=113, "Yellow Ripening", V205&gt;=101, "Dough Stage", V205&gt;=93, "Milking Stage", V205&gt;=86, "Flowering", V205&gt;=56, "Panicle Initiation/Booting", V205&lt;56, "Vegetative/Tillering")</f>
        <v>Vegetative/Tillering</v>
      </c>
    </row>
    <row r="206" ht="15.75" hidden="1" customHeight="1">
      <c r="A206" s="3">
        <v>205.0</v>
      </c>
      <c r="B206" s="3" t="s">
        <v>23</v>
      </c>
      <c r="C206" s="3" t="s">
        <v>68</v>
      </c>
      <c r="D206" s="3" t="s">
        <v>289</v>
      </c>
      <c r="E206" s="3" t="s">
        <v>774</v>
      </c>
      <c r="F206" s="3">
        <v>1760024.0</v>
      </c>
      <c r="G206" s="4">
        <v>46028.0</v>
      </c>
      <c r="H206" s="4">
        <v>46130.0</v>
      </c>
      <c r="I206" s="3" t="s">
        <v>775</v>
      </c>
      <c r="J206" s="3" t="s">
        <v>776</v>
      </c>
      <c r="K206" s="3" t="s">
        <v>777</v>
      </c>
      <c r="L206" s="3">
        <v>0.3566</v>
      </c>
      <c r="M206" s="3">
        <v>8915.0</v>
      </c>
      <c r="N206" s="3">
        <v>2.0</v>
      </c>
      <c r="O206" s="3">
        <v>173765.0</v>
      </c>
      <c r="P206" s="3" t="s">
        <v>778</v>
      </c>
      <c r="Q206" s="3">
        <v>1326178.0</v>
      </c>
      <c r="R206" s="3"/>
      <c r="S206" s="3">
        <v>6240.5</v>
      </c>
      <c r="T206" s="3" t="s">
        <v>31</v>
      </c>
      <c r="U206" s="3">
        <v>6240.5</v>
      </c>
      <c r="V206" s="5">
        <f>(DATE(2026,2,3)-'RICE_Insured Farms_with PPI Pol'!$G206)+IF('RICE_Insured Farms_with PPI Pol'!$H206&lt;&gt;'RICE_Insured Farms_with PPI Pol'!$G206,18,0)</f>
        <v>46</v>
      </c>
      <c r="W206" s="3" t="str">
        <f t="array" ref="W206">IFS(V206&gt;120, "Harvested", V206&gt;=113, "Yellow Ripening", V206&gt;=101, "Dough Stage", V206&gt;=93, "Milking Stage", V206&gt;=86, "Flowering", V206&gt;=56, "Panicle Initiation/Booting", V206&lt;56, "Vegetative/Tillering")</f>
        <v>Vegetative/Tillering</v>
      </c>
    </row>
    <row r="207" ht="15.75" customHeight="1">
      <c r="A207" s="3">
        <v>206.0</v>
      </c>
      <c r="B207" s="3" t="s">
        <v>23</v>
      </c>
      <c r="C207" s="3" t="s">
        <v>68</v>
      </c>
      <c r="D207" s="3" t="s">
        <v>289</v>
      </c>
      <c r="E207" s="3" t="s">
        <v>774</v>
      </c>
      <c r="F207" s="3">
        <v>1760011.0</v>
      </c>
      <c r="G207" s="4">
        <v>46014.0</v>
      </c>
      <c r="H207" s="4">
        <v>46116.0</v>
      </c>
      <c r="I207" s="3" t="s">
        <v>775</v>
      </c>
      <c r="J207" s="3" t="s">
        <v>586</v>
      </c>
      <c r="K207" s="3" t="s">
        <v>779</v>
      </c>
      <c r="L207" s="3">
        <v>1.0076</v>
      </c>
      <c r="M207" s="3">
        <v>25190.0</v>
      </c>
      <c r="N207" s="3">
        <v>3.0</v>
      </c>
      <c r="O207" s="3">
        <v>391730.0</v>
      </c>
      <c r="P207" s="3" t="s">
        <v>780</v>
      </c>
      <c r="Q207" s="3">
        <v>1190026.0</v>
      </c>
      <c r="R207" s="3"/>
      <c r="S207" s="3">
        <v>20152.0</v>
      </c>
      <c r="T207" s="3" t="s">
        <v>37</v>
      </c>
      <c r="U207" s="3">
        <v>20152.0</v>
      </c>
      <c r="V207" s="5">
        <f>(DATE(2026,2,3)-'RICE_Insured Farms_with PPI Pol'!$G207)+IF('RICE_Insured Farms_with PPI Pol'!$H207&lt;&gt;'RICE_Insured Farms_with PPI Pol'!$G207,18,0)</f>
        <v>60</v>
      </c>
      <c r="W207" s="3" t="str">
        <f t="array" ref="W207">IFS(V207&gt;120, "Harvested", V207&gt;=113, "Yellow Ripening", V207&gt;=101, "Dough Stage", V207&gt;=93, "Milking Stage", V207&gt;=86, "Flowering", V207&gt;=56, "Panicle Initiation/Booting", V207&lt;56, "Vegetative/Tillering")</f>
        <v>Panicle Initiation/Booting</v>
      </c>
    </row>
    <row r="208" ht="15.75" customHeight="1">
      <c r="A208" s="3">
        <v>207.0</v>
      </c>
      <c r="B208" s="3" t="s">
        <v>23</v>
      </c>
      <c r="C208" s="3" t="s">
        <v>68</v>
      </c>
      <c r="D208" s="3" t="s">
        <v>289</v>
      </c>
      <c r="E208" s="3" t="s">
        <v>774</v>
      </c>
      <c r="F208" s="3">
        <v>1760011.0</v>
      </c>
      <c r="G208" s="4">
        <v>46014.0</v>
      </c>
      <c r="H208" s="4">
        <v>46116.0</v>
      </c>
      <c r="I208" s="3" t="s">
        <v>775</v>
      </c>
      <c r="J208" s="3" t="s">
        <v>586</v>
      </c>
      <c r="K208" s="3" t="s">
        <v>779</v>
      </c>
      <c r="L208" s="3">
        <v>0.52</v>
      </c>
      <c r="M208" s="3">
        <v>13000.0</v>
      </c>
      <c r="N208" s="3">
        <v>3.0</v>
      </c>
      <c r="O208" s="3">
        <v>391730.0</v>
      </c>
      <c r="P208" s="3" t="s">
        <v>780</v>
      </c>
      <c r="Q208" s="3">
        <v>1326191.0</v>
      </c>
      <c r="R208" s="3"/>
      <c r="S208" s="3">
        <v>10400.0</v>
      </c>
      <c r="T208" s="3" t="s">
        <v>37</v>
      </c>
      <c r="U208" s="3">
        <v>10400.0</v>
      </c>
      <c r="V208" s="5">
        <f>(DATE(2026,2,3)-'RICE_Insured Farms_with PPI Pol'!$G208)+IF('RICE_Insured Farms_with PPI Pol'!$H208&lt;&gt;'RICE_Insured Farms_with PPI Pol'!$G208,18,0)</f>
        <v>60</v>
      </c>
      <c r="W208" s="3" t="str">
        <f t="array" ref="W208">IFS(V208&gt;120, "Harvested", V208&gt;=113, "Yellow Ripening", V208&gt;=101, "Dough Stage", V208&gt;=93, "Milking Stage", V208&gt;=86, "Flowering", V208&gt;=56, "Panicle Initiation/Booting", V208&lt;56, "Vegetative/Tillering")</f>
        <v>Panicle Initiation/Booting</v>
      </c>
    </row>
    <row r="209" ht="15.75" hidden="1" customHeight="1">
      <c r="A209" s="3">
        <v>413.0</v>
      </c>
      <c r="B209" s="3" t="s">
        <v>23</v>
      </c>
      <c r="C209" s="3" t="s">
        <v>24</v>
      </c>
      <c r="D209" s="3" t="s">
        <v>25</v>
      </c>
      <c r="E209" s="3" t="s">
        <v>781</v>
      </c>
      <c r="F209" s="3">
        <v>1760497.0</v>
      </c>
      <c r="G209" s="4">
        <v>46016.0</v>
      </c>
      <c r="H209" s="4">
        <v>46111.0</v>
      </c>
      <c r="I209" s="3" t="s">
        <v>782</v>
      </c>
      <c r="J209" s="3" t="s">
        <v>783</v>
      </c>
      <c r="K209" s="3" t="s">
        <v>784</v>
      </c>
      <c r="L209" s="3">
        <v>0.3833</v>
      </c>
      <c r="M209" s="3">
        <v>9582.5</v>
      </c>
      <c r="N209" s="3">
        <v>4.0</v>
      </c>
      <c r="O209" s="3">
        <v>182255.0</v>
      </c>
      <c r="P209" s="3" t="s">
        <v>785</v>
      </c>
      <c r="Q209" s="3">
        <v>548181.0</v>
      </c>
      <c r="R209" s="3"/>
      <c r="S209" s="3">
        <v>7666.0</v>
      </c>
      <c r="T209" s="3" t="s">
        <v>56</v>
      </c>
      <c r="U209" s="3">
        <v>7666.0</v>
      </c>
      <c r="V209" s="5">
        <f>(DATE(2026,2,3)-'RICE_Insured Farms_with PPI Pol'!$G209)+IF('RICE_Insured Farms_with PPI Pol'!$H209&lt;&gt;'RICE_Insured Farms_with PPI Pol'!$G209,18,0)</f>
        <v>58</v>
      </c>
      <c r="W209" s="3" t="str">
        <f t="array" ref="W209">IFS(V209&gt;120, "Harvested", V209&gt;=113, "Yellow Ripening", V209&gt;=101, "Dough Stage", V209&gt;=93, "Milking Stage", V209&gt;=86, "Flowering", V209&gt;=56, "Panicle Initiation/Booting", V209&lt;56, "Vegetative/Tillering")</f>
        <v>Panicle Initiation/Booting</v>
      </c>
    </row>
    <row r="210" ht="15.75" hidden="1" customHeight="1">
      <c r="A210" s="3">
        <v>209.0</v>
      </c>
      <c r="B210" s="3" t="s">
        <v>23</v>
      </c>
      <c r="C210" s="3" t="s">
        <v>68</v>
      </c>
      <c r="D210" s="3" t="s">
        <v>289</v>
      </c>
      <c r="E210" s="3" t="s">
        <v>786</v>
      </c>
      <c r="F210" s="3">
        <v>1760044.0</v>
      </c>
      <c r="G210" s="4">
        <v>46035.0</v>
      </c>
      <c r="H210" s="4">
        <v>46137.0</v>
      </c>
      <c r="I210" s="3" t="s">
        <v>787</v>
      </c>
      <c r="J210" s="3" t="s">
        <v>356</v>
      </c>
      <c r="K210" s="3" t="s">
        <v>788</v>
      </c>
      <c r="L210" s="3">
        <v>0.1685</v>
      </c>
      <c r="M210" s="3">
        <v>4212.5</v>
      </c>
      <c r="N210" s="3">
        <v>2.0</v>
      </c>
      <c r="O210" s="3">
        <v>31317.0</v>
      </c>
      <c r="P210" s="3" t="s">
        <v>789</v>
      </c>
      <c r="Q210" s="3">
        <v>1327127.0</v>
      </c>
      <c r="R210" s="3"/>
      <c r="S210" s="3">
        <v>2948.75</v>
      </c>
      <c r="T210" s="3" t="s">
        <v>31</v>
      </c>
      <c r="U210" s="3">
        <v>2948.75</v>
      </c>
      <c r="V210" s="5">
        <f>(DATE(2026,2,3)-'RICE_Insured Farms_with PPI Pol'!$G210)+IF('RICE_Insured Farms_with PPI Pol'!$H210&lt;&gt;'RICE_Insured Farms_with PPI Pol'!$G210,18,0)</f>
        <v>39</v>
      </c>
      <c r="W210" s="3" t="str">
        <f t="array" ref="W210">IFS(V210&gt;120, "Harvested", V210&gt;=113, "Yellow Ripening", V210&gt;=101, "Dough Stage", V210&gt;=93, "Milking Stage", V210&gt;=86, "Flowering", V210&gt;=56, "Panicle Initiation/Booting", V210&lt;56, "Vegetative/Tillering")</f>
        <v>Vegetative/Tillering</v>
      </c>
    </row>
    <row r="211" ht="15.75" customHeight="1">
      <c r="A211" s="3">
        <v>210.0</v>
      </c>
      <c r="B211" s="3" t="s">
        <v>23</v>
      </c>
      <c r="C211" s="3" t="s">
        <v>68</v>
      </c>
      <c r="D211" s="3" t="s">
        <v>262</v>
      </c>
      <c r="E211" s="3" t="s">
        <v>273</v>
      </c>
      <c r="F211" s="3">
        <v>1739581.0</v>
      </c>
      <c r="G211" s="4">
        <v>46018.0</v>
      </c>
      <c r="H211" s="4">
        <v>46120.0</v>
      </c>
      <c r="I211" s="3" t="s">
        <v>790</v>
      </c>
      <c r="J211" s="3" t="s">
        <v>791</v>
      </c>
      <c r="K211" s="3" t="s">
        <v>792</v>
      </c>
      <c r="L211" s="3">
        <v>0.1885</v>
      </c>
      <c r="M211" s="3">
        <v>4712.5</v>
      </c>
      <c r="N211" s="3">
        <v>3.0</v>
      </c>
      <c r="O211" s="3">
        <v>332195.0</v>
      </c>
      <c r="P211" s="3" t="s">
        <v>793</v>
      </c>
      <c r="Q211" s="3">
        <v>947268.0</v>
      </c>
      <c r="R211" s="3"/>
      <c r="S211" s="3">
        <v>3770.0</v>
      </c>
      <c r="T211" s="3" t="s">
        <v>37</v>
      </c>
      <c r="U211" s="3">
        <v>3770.0</v>
      </c>
      <c r="V211" s="5">
        <f>(DATE(2026,2,3)-'RICE_Insured Farms_with PPI Pol'!$G211)+IF('RICE_Insured Farms_with PPI Pol'!$H211&lt;&gt;'RICE_Insured Farms_with PPI Pol'!$G211,18,0)</f>
        <v>56</v>
      </c>
      <c r="W211" s="3" t="str">
        <f t="array" ref="W211">IFS(V211&gt;120, "Harvested", V211&gt;=113, "Yellow Ripening", V211&gt;=101, "Dough Stage", V211&gt;=93, "Milking Stage", V211&gt;=86, "Flowering", V211&gt;=56, "Panicle Initiation/Booting", V211&lt;56, "Vegetative/Tillering")</f>
        <v>Panicle Initiation/Booting</v>
      </c>
    </row>
    <row r="212" ht="15.75" hidden="1" customHeight="1">
      <c r="A212" s="3">
        <v>211.0</v>
      </c>
      <c r="B212" s="3" t="s">
        <v>23</v>
      </c>
      <c r="C212" s="3" t="s">
        <v>68</v>
      </c>
      <c r="D212" s="3" t="s">
        <v>420</v>
      </c>
      <c r="E212" s="3" t="s">
        <v>421</v>
      </c>
      <c r="F212" s="3">
        <v>1196998.0</v>
      </c>
      <c r="G212" s="4">
        <v>46038.0</v>
      </c>
      <c r="H212" s="4">
        <v>46140.0</v>
      </c>
      <c r="I212" s="3" t="s">
        <v>794</v>
      </c>
      <c r="J212" s="3" t="s">
        <v>795</v>
      </c>
      <c r="K212" s="3" t="s">
        <v>796</v>
      </c>
      <c r="L212" s="3">
        <v>0.2096</v>
      </c>
      <c r="M212" s="3">
        <v>5240.0</v>
      </c>
      <c r="N212" s="3">
        <v>2.0</v>
      </c>
      <c r="O212" s="3">
        <v>311844.0</v>
      </c>
      <c r="P212" s="3"/>
      <c r="Q212" s="3">
        <v>1331825.0</v>
      </c>
      <c r="R212" s="3"/>
      <c r="S212" s="3">
        <v>3668.0</v>
      </c>
      <c r="T212" s="3" t="s">
        <v>31</v>
      </c>
      <c r="U212" s="3">
        <v>3668.0</v>
      </c>
      <c r="V212" s="5">
        <f>(DATE(2026,2,3)-'RICE_Insured Farms_with PPI Pol'!$G212)+IF('RICE_Insured Farms_with PPI Pol'!$H212&lt;&gt;'RICE_Insured Farms_with PPI Pol'!$G212,18,0)</f>
        <v>36</v>
      </c>
      <c r="W212" s="3" t="str">
        <f t="array" ref="W212">IFS(V212&gt;120, "Harvested", V212&gt;=113, "Yellow Ripening", V212&gt;=101, "Dough Stage", V212&gt;=93, "Milking Stage", V212&gt;=86, "Flowering", V212&gt;=56, "Panicle Initiation/Booting", V212&lt;56, "Vegetative/Tillering")</f>
        <v>Vegetative/Tillering</v>
      </c>
    </row>
    <row r="213" ht="15.75" hidden="1" customHeight="1">
      <c r="A213" s="3">
        <v>212.0</v>
      </c>
      <c r="B213" s="3" t="s">
        <v>23</v>
      </c>
      <c r="C213" s="3" t="s">
        <v>68</v>
      </c>
      <c r="D213" s="3" t="s">
        <v>679</v>
      </c>
      <c r="E213" s="3" t="s">
        <v>680</v>
      </c>
      <c r="F213" s="3">
        <v>1175382.0</v>
      </c>
      <c r="G213" s="4">
        <v>46034.0</v>
      </c>
      <c r="H213" s="4">
        <v>46136.0</v>
      </c>
      <c r="I213" s="3" t="s">
        <v>797</v>
      </c>
      <c r="J213" s="3" t="s">
        <v>798</v>
      </c>
      <c r="K213" s="3" t="s">
        <v>105</v>
      </c>
      <c r="L213" s="3">
        <v>1.0552</v>
      </c>
      <c r="M213" s="3">
        <v>26380.0</v>
      </c>
      <c r="N213" s="3">
        <v>2.0</v>
      </c>
      <c r="O213" s="3">
        <v>312958.0</v>
      </c>
      <c r="P213" s="3" t="s">
        <v>799</v>
      </c>
      <c r="Q213" s="3">
        <v>1338575.0</v>
      </c>
      <c r="R213" s="3"/>
      <c r="S213" s="3">
        <v>18466.0</v>
      </c>
      <c r="T213" s="3" t="s">
        <v>31</v>
      </c>
      <c r="U213" s="3">
        <v>18466.0</v>
      </c>
      <c r="V213" s="5">
        <f>(DATE(2026,2,3)-'RICE_Insured Farms_with PPI Pol'!$G213)+IF('RICE_Insured Farms_with PPI Pol'!$H213&lt;&gt;'RICE_Insured Farms_with PPI Pol'!$G213,18,0)</f>
        <v>40</v>
      </c>
      <c r="W213" s="3" t="str">
        <f t="array" ref="W213">IFS(V213&gt;120, "Harvested", V213&gt;=113, "Yellow Ripening", V213&gt;=101, "Dough Stage", V213&gt;=93, "Milking Stage", V213&gt;=86, "Flowering", V213&gt;=56, "Panicle Initiation/Booting", V213&lt;56, "Vegetative/Tillering")</f>
        <v>Vegetative/Tillering</v>
      </c>
    </row>
    <row r="214" ht="15.75" hidden="1" customHeight="1">
      <c r="A214" s="3">
        <v>213.0</v>
      </c>
      <c r="B214" s="3" t="s">
        <v>23</v>
      </c>
      <c r="C214" s="3" t="s">
        <v>68</v>
      </c>
      <c r="D214" s="3" t="s">
        <v>769</v>
      </c>
      <c r="E214" s="3" t="s">
        <v>770</v>
      </c>
      <c r="F214" s="3">
        <v>1742303.0</v>
      </c>
      <c r="G214" s="4">
        <v>46032.0</v>
      </c>
      <c r="H214" s="4">
        <v>46134.0</v>
      </c>
      <c r="I214" s="3" t="s">
        <v>260</v>
      </c>
      <c r="J214" s="3" t="s">
        <v>800</v>
      </c>
      <c r="K214" s="3" t="s">
        <v>801</v>
      </c>
      <c r="L214" s="3">
        <v>0.1692</v>
      </c>
      <c r="M214" s="3">
        <v>4230.0</v>
      </c>
      <c r="N214" s="3">
        <v>2.0</v>
      </c>
      <c r="O214" s="3">
        <v>51674.0</v>
      </c>
      <c r="P214" s="3" t="s">
        <v>802</v>
      </c>
      <c r="Q214" s="3">
        <v>1117555.0</v>
      </c>
      <c r="R214" s="3"/>
      <c r="S214" s="3">
        <v>2961.0</v>
      </c>
      <c r="T214" s="3" t="s">
        <v>31</v>
      </c>
      <c r="U214" s="3">
        <v>2961.0</v>
      </c>
      <c r="V214" s="5">
        <f>(DATE(2026,2,3)-'RICE_Insured Farms_with PPI Pol'!$G214)+IF('RICE_Insured Farms_with PPI Pol'!$H214&lt;&gt;'RICE_Insured Farms_with PPI Pol'!$G214,18,0)</f>
        <v>42</v>
      </c>
      <c r="W214" s="3" t="str">
        <f t="array" ref="W214">IFS(V214&gt;120, "Harvested", V214&gt;=113, "Yellow Ripening", V214&gt;=101, "Dough Stage", V214&gt;=93, "Milking Stage", V214&gt;=86, "Flowering", V214&gt;=56, "Panicle Initiation/Booting", V214&lt;56, "Vegetative/Tillering")</f>
        <v>Vegetative/Tillering</v>
      </c>
    </row>
    <row r="215" ht="15.75" hidden="1" customHeight="1">
      <c r="A215" s="3">
        <v>214.0</v>
      </c>
      <c r="B215" s="3" t="s">
        <v>23</v>
      </c>
      <c r="C215" s="3" t="s">
        <v>68</v>
      </c>
      <c r="D215" s="3" t="s">
        <v>289</v>
      </c>
      <c r="E215" s="3" t="s">
        <v>786</v>
      </c>
      <c r="F215" s="3">
        <v>1760044.0</v>
      </c>
      <c r="G215" s="4">
        <v>46030.0</v>
      </c>
      <c r="H215" s="4">
        <v>46132.0</v>
      </c>
      <c r="I215" s="3" t="s">
        <v>803</v>
      </c>
      <c r="J215" s="3" t="s">
        <v>804</v>
      </c>
      <c r="K215" s="3" t="s">
        <v>805</v>
      </c>
      <c r="L215" s="3">
        <v>0.2825</v>
      </c>
      <c r="M215" s="3">
        <v>7062.5</v>
      </c>
      <c r="N215" s="3">
        <v>2.0</v>
      </c>
      <c r="O215" s="3">
        <v>469934.0</v>
      </c>
      <c r="P215" s="3"/>
      <c r="Q215" s="3">
        <v>1335758.0</v>
      </c>
      <c r="R215" s="3"/>
      <c r="S215" s="3">
        <v>4943.75</v>
      </c>
      <c r="T215" s="3" t="s">
        <v>31</v>
      </c>
      <c r="U215" s="3">
        <v>4943.75</v>
      </c>
      <c r="V215" s="5">
        <f>(DATE(2026,2,3)-'RICE_Insured Farms_with PPI Pol'!$G215)+IF('RICE_Insured Farms_with PPI Pol'!$H215&lt;&gt;'RICE_Insured Farms_with PPI Pol'!$G215,18,0)</f>
        <v>44</v>
      </c>
      <c r="W215" s="3" t="str">
        <f t="array" ref="W215">IFS(V215&gt;120, "Harvested", V215&gt;=113, "Yellow Ripening", V215&gt;=101, "Dough Stage", V215&gt;=93, "Milking Stage", V215&gt;=86, "Flowering", V215&gt;=56, "Panicle Initiation/Booting", V215&lt;56, "Vegetative/Tillering")</f>
        <v>Vegetative/Tillering</v>
      </c>
    </row>
    <row r="216" ht="15.75" hidden="1" customHeight="1">
      <c r="A216" s="3">
        <v>215.0</v>
      </c>
      <c r="B216" s="3" t="s">
        <v>23</v>
      </c>
      <c r="C216" s="3" t="s">
        <v>68</v>
      </c>
      <c r="D216" s="3" t="s">
        <v>769</v>
      </c>
      <c r="E216" s="3" t="s">
        <v>770</v>
      </c>
      <c r="F216" s="3">
        <v>1742303.0</v>
      </c>
      <c r="G216" s="4">
        <v>46027.0</v>
      </c>
      <c r="H216" s="4">
        <v>46129.0</v>
      </c>
      <c r="I216" s="3" t="s">
        <v>806</v>
      </c>
      <c r="J216" s="3" t="s">
        <v>807</v>
      </c>
      <c r="K216" s="3" t="s">
        <v>808</v>
      </c>
      <c r="L216" s="3">
        <v>0.3585</v>
      </c>
      <c r="M216" s="3">
        <v>8962.5</v>
      </c>
      <c r="N216" s="3">
        <v>2.0</v>
      </c>
      <c r="O216" s="3">
        <v>9348.0</v>
      </c>
      <c r="P216" s="3" t="s">
        <v>809</v>
      </c>
      <c r="Q216" s="3">
        <v>519094.0</v>
      </c>
      <c r="R216" s="3"/>
      <c r="S216" s="3">
        <v>6273.75</v>
      </c>
      <c r="T216" s="3" t="s">
        <v>31</v>
      </c>
      <c r="U216" s="3">
        <v>6273.75</v>
      </c>
      <c r="V216" s="5">
        <f>(DATE(2026,2,3)-'RICE_Insured Farms_with PPI Pol'!$G216)+IF('RICE_Insured Farms_with PPI Pol'!$H216&lt;&gt;'RICE_Insured Farms_with PPI Pol'!$G216,18,0)</f>
        <v>47</v>
      </c>
      <c r="W216" s="3" t="str">
        <f t="array" ref="W216">IFS(V216&gt;120, "Harvested", V216&gt;=113, "Yellow Ripening", V216&gt;=101, "Dough Stage", V216&gt;=93, "Milking Stage", V216&gt;=86, "Flowering", V216&gt;=56, "Panicle Initiation/Booting", V216&lt;56, "Vegetative/Tillering")</f>
        <v>Vegetative/Tillering</v>
      </c>
    </row>
    <row r="217" ht="15.75" hidden="1" customHeight="1">
      <c r="A217" s="3">
        <v>216.0</v>
      </c>
      <c r="B217" s="3" t="s">
        <v>23</v>
      </c>
      <c r="C217" s="3" t="s">
        <v>68</v>
      </c>
      <c r="D217" s="3" t="s">
        <v>262</v>
      </c>
      <c r="E217" s="3" t="s">
        <v>810</v>
      </c>
      <c r="F217" s="3">
        <v>1739590.0</v>
      </c>
      <c r="G217" s="4">
        <v>46025.0</v>
      </c>
      <c r="H217" s="4">
        <v>46127.0</v>
      </c>
      <c r="I217" s="3" t="s">
        <v>811</v>
      </c>
      <c r="J217" s="3" t="s">
        <v>812</v>
      </c>
      <c r="K217" s="3" t="s">
        <v>813</v>
      </c>
      <c r="L217" s="3">
        <v>1.1328</v>
      </c>
      <c r="M217" s="3">
        <v>28320.0</v>
      </c>
      <c r="N217" s="3">
        <v>2.0</v>
      </c>
      <c r="O217" s="3">
        <v>433968.0</v>
      </c>
      <c r="P217" s="3" t="s">
        <v>814</v>
      </c>
      <c r="Q217" s="3">
        <v>1314961.0</v>
      </c>
      <c r="R217" s="3"/>
      <c r="S217" s="3">
        <v>19824.0</v>
      </c>
      <c r="T217" s="3" t="s">
        <v>31</v>
      </c>
      <c r="U217" s="3">
        <v>19824.0</v>
      </c>
      <c r="V217" s="5">
        <f>(DATE(2026,2,3)-'RICE_Insured Farms_with PPI Pol'!$G217)+IF('RICE_Insured Farms_with PPI Pol'!$H217&lt;&gt;'RICE_Insured Farms_with PPI Pol'!$G217,18,0)</f>
        <v>49</v>
      </c>
      <c r="W217" s="3" t="str">
        <f t="array" ref="W217">IFS(V217&gt;120, "Harvested", V217&gt;=113, "Yellow Ripening", V217&gt;=101, "Dough Stage", V217&gt;=93, "Milking Stage", V217&gt;=86, "Flowering", V217&gt;=56, "Panicle Initiation/Booting", V217&lt;56, "Vegetative/Tillering")</f>
        <v>Vegetative/Tillering</v>
      </c>
    </row>
    <row r="218" ht="15.75" hidden="1" customHeight="1">
      <c r="A218" s="3">
        <v>217.0</v>
      </c>
      <c r="B218" s="3" t="s">
        <v>23</v>
      </c>
      <c r="C218" s="3" t="s">
        <v>68</v>
      </c>
      <c r="D218" s="3" t="s">
        <v>289</v>
      </c>
      <c r="E218" s="3" t="s">
        <v>507</v>
      </c>
      <c r="F218" s="3">
        <v>1760030.0</v>
      </c>
      <c r="G218" s="4">
        <v>46034.0</v>
      </c>
      <c r="H218" s="4">
        <v>46136.0</v>
      </c>
      <c r="I218" s="3" t="s">
        <v>815</v>
      </c>
      <c r="J218" s="3" t="s">
        <v>816</v>
      </c>
      <c r="K218" s="3" t="s">
        <v>817</v>
      </c>
      <c r="L218" s="3">
        <v>0.5776</v>
      </c>
      <c r="M218" s="3">
        <v>14440.0</v>
      </c>
      <c r="N218" s="3">
        <v>2.0</v>
      </c>
      <c r="O218" s="3">
        <v>526526.0</v>
      </c>
      <c r="P218" s="3"/>
      <c r="Q218" s="3">
        <v>1320040.0</v>
      </c>
      <c r="R218" s="3"/>
      <c r="S218" s="3">
        <v>10108.0</v>
      </c>
      <c r="T218" s="3" t="s">
        <v>31</v>
      </c>
      <c r="U218" s="3">
        <v>10108.0</v>
      </c>
      <c r="V218" s="5">
        <f>(DATE(2026,2,3)-'RICE_Insured Farms_with PPI Pol'!$G218)+IF('RICE_Insured Farms_with PPI Pol'!$H218&lt;&gt;'RICE_Insured Farms_with PPI Pol'!$G218,18,0)</f>
        <v>40</v>
      </c>
      <c r="W218" s="3" t="str">
        <f t="array" ref="W218">IFS(V218&gt;120, "Harvested", V218&gt;=113, "Yellow Ripening", V218&gt;=101, "Dough Stage", V218&gt;=93, "Milking Stage", V218&gt;=86, "Flowering", V218&gt;=56, "Panicle Initiation/Booting", V218&lt;56, "Vegetative/Tillering")</f>
        <v>Vegetative/Tillering</v>
      </c>
    </row>
    <row r="219" ht="15.75" hidden="1" customHeight="1">
      <c r="A219" s="3">
        <v>417.0</v>
      </c>
      <c r="B219" s="3" t="s">
        <v>23</v>
      </c>
      <c r="C219" s="3" t="s">
        <v>24</v>
      </c>
      <c r="D219" s="3" t="s">
        <v>25</v>
      </c>
      <c r="E219" s="3" t="s">
        <v>637</v>
      </c>
      <c r="F219" s="3">
        <v>1760486.0</v>
      </c>
      <c r="G219" s="4">
        <v>46014.0</v>
      </c>
      <c r="H219" s="4">
        <v>46109.0</v>
      </c>
      <c r="I219" s="3" t="s">
        <v>818</v>
      </c>
      <c r="J219" s="3" t="s">
        <v>819</v>
      </c>
      <c r="K219" s="3" t="s">
        <v>820</v>
      </c>
      <c r="L219" s="3">
        <v>2.0</v>
      </c>
      <c r="M219" s="3">
        <v>50000.0</v>
      </c>
      <c r="N219" s="3">
        <v>4.0</v>
      </c>
      <c r="O219" s="3">
        <v>159083.0</v>
      </c>
      <c r="P219" s="3"/>
      <c r="Q219" s="3">
        <v>696421.0</v>
      </c>
      <c r="R219" s="3"/>
      <c r="S219" s="3">
        <v>40000.0</v>
      </c>
      <c r="T219" s="3" t="s">
        <v>56</v>
      </c>
      <c r="U219" s="3">
        <v>40000.0</v>
      </c>
      <c r="V219" s="5">
        <f>(DATE(2026,2,3)-'RICE_Insured Farms_with PPI Pol'!$G219)+IF('RICE_Insured Farms_with PPI Pol'!$H219&lt;&gt;'RICE_Insured Farms_with PPI Pol'!$G219,18,0)</f>
        <v>60</v>
      </c>
      <c r="W219" s="3" t="str">
        <f t="array" ref="W219">IFS(V219&gt;120, "Harvested", V219&gt;=113, "Yellow Ripening", V219&gt;=101, "Dough Stage", V219&gt;=93, "Milking Stage", V219&gt;=86, "Flowering", V219&gt;=56, "Panicle Initiation/Booting", V219&lt;56, "Vegetative/Tillering")</f>
        <v>Panicle Initiation/Booting</v>
      </c>
    </row>
    <row r="220" ht="15.75" hidden="1" customHeight="1">
      <c r="A220" s="3">
        <v>219.0</v>
      </c>
      <c r="B220" s="3" t="s">
        <v>23</v>
      </c>
      <c r="C220" s="3" t="s">
        <v>68</v>
      </c>
      <c r="D220" s="3" t="s">
        <v>262</v>
      </c>
      <c r="E220" s="3" t="s">
        <v>405</v>
      </c>
      <c r="F220" s="3">
        <v>1739593.0</v>
      </c>
      <c r="G220" s="4">
        <v>46030.0</v>
      </c>
      <c r="H220" s="4">
        <v>46132.0</v>
      </c>
      <c r="I220" s="3" t="s">
        <v>821</v>
      </c>
      <c r="J220" s="3" t="s">
        <v>822</v>
      </c>
      <c r="K220" s="3" t="s">
        <v>823</v>
      </c>
      <c r="L220" s="3">
        <v>0.4431</v>
      </c>
      <c r="M220" s="3">
        <v>11077.5</v>
      </c>
      <c r="N220" s="3">
        <v>2.0</v>
      </c>
      <c r="O220" s="3">
        <v>450952.0</v>
      </c>
      <c r="P220" s="3" t="s">
        <v>824</v>
      </c>
      <c r="Q220" s="3">
        <v>1321579.0</v>
      </c>
      <c r="R220" s="3"/>
      <c r="S220" s="3">
        <v>7754.25</v>
      </c>
      <c r="T220" s="3" t="s">
        <v>31</v>
      </c>
      <c r="U220" s="3">
        <v>7754.25</v>
      </c>
      <c r="V220" s="5">
        <f>(DATE(2026,2,3)-'RICE_Insured Farms_with PPI Pol'!$G220)+IF('RICE_Insured Farms_with PPI Pol'!$H220&lt;&gt;'RICE_Insured Farms_with PPI Pol'!$G220,18,0)</f>
        <v>44</v>
      </c>
      <c r="W220" s="3" t="str">
        <f t="array" ref="W220">IFS(V220&gt;120, "Harvested", V220&gt;=113, "Yellow Ripening", V220&gt;=101, "Dough Stage", V220&gt;=93, "Milking Stage", V220&gt;=86, "Flowering", V220&gt;=56, "Panicle Initiation/Booting", V220&lt;56, "Vegetative/Tillering")</f>
        <v>Vegetative/Tillering</v>
      </c>
    </row>
    <row r="221" ht="15.75" customHeight="1">
      <c r="A221" s="3">
        <v>220.0</v>
      </c>
      <c r="B221" s="3" t="s">
        <v>23</v>
      </c>
      <c r="C221" s="3" t="s">
        <v>68</v>
      </c>
      <c r="D221" s="3" t="s">
        <v>262</v>
      </c>
      <c r="E221" s="3" t="s">
        <v>405</v>
      </c>
      <c r="F221" s="3">
        <v>1739585.0</v>
      </c>
      <c r="G221" s="4">
        <v>46020.0</v>
      </c>
      <c r="H221" s="4">
        <v>46122.0</v>
      </c>
      <c r="I221" s="3" t="s">
        <v>821</v>
      </c>
      <c r="J221" s="3" t="s">
        <v>825</v>
      </c>
      <c r="K221" s="3" t="s">
        <v>826</v>
      </c>
      <c r="L221" s="3">
        <v>0.5391</v>
      </c>
      <c r="M221" s="3">
        <v>13477.5</v>
      </c>
      <c r="N221" s="3">
        <v>3.0</v>
      </c>
      <c r="O221" s="3">
        <v>333326.0</v>
      </c>
      <c r="P221" s="3" t="s">
        <v>827</v>
      </c>
      <c r="Q221" s="3">
        <v>1321594.0</v>
      </c>
      <c r="R221" s="3"/>
      <c r="S221" s="3">
        <v>10782.0</v>
      </c>
      <c r="T221" s="3" t="s">
        <v>37</v>
      </c>
      <c r="U221" s="3">
        <v>10782.0</v>
      </c>
      <c r="V221" s="5">
        <f>(DATE(2026,2,3)-'RICE_Insured Farms_with PPI Pol'!$G221)+IF('RICE_Insured Farms_with PPI Pol'!$H221&lt;&gt;'RICE_Insured Farms_with PPI Pol'!$G221,18,0)</f>
        <v>54</v>
      </c>
      <c r="W221" s="3" t="str">
        <f t="array" ref="W221">IFS(V221&gt;120, "Harvested", V221&gt;=113, "Yellow Ripening", V221&gt;=101, "Dough Stage", V221&gt;=93, "Milking Stage", V221&gt;=86, "Flowering", V221&gt;=56, "Panicle Initiation/Booting", V221&lt;56, "Vegetative/Tillering")</f>
        <v>Vegetative/Tillering</v>
      </c>
    </row>
    <row r="222" ht="15.75" customHeight="1">
      <c r="A222" s="3">
        <v>221.0</v>
      </c>
      <c r="B222" s="3" t="s">
        <v>23</v>
      </c>
      <c r="C222" s="3" t="s">
        <v>68</v>
      </c>
      <c r="D222" s="3" t="s">
        <v>262</v>
      </c>
      <c r="E222" s="3" t="s">
        <v>405</v>
      </c>
      <c r="F222" s="3">
        <v>1739585.0</v>
      </c>
      <c r="G222" s="4">
        <v>46014.0</v>
      </c>
      <c r="H222" s="4">
        <v>46116.0</v>
      </c>
      <c r="I222" s="3" t="s">
        <v>828</v>
      </c>
      <c r="J222" s="3" t="s">
        <v>829</v>
      </c>
      <c r="K222" s="3" t="s">
        <v>830</v>
      </c>
      <c r="L222" s="3">
        <v>0.7932</v>
      </c>
      <c r="M222" s="3">
        <v>19830.0</v>
      </c>
      <c r="N222" s="3">
        <v>3.0</v>
      </c>
      <c r="O222" s="3">
        <v>160213.0</v>
      </c>
      <c r="P222" s="3" t="s">
        <v>831</v>
      </c>
      <c r="Q222" s="3">
        <v>1224036.0</v>
      </c>
      <c r="R222" s="3"/>
      <c r="S222" s="3">
        <v>15864.0</v>
      </c>
      <c r="T222" s="3" t="s">
        <v>37</v>
      </c>
      <c r="U222" s="3">
        <v>15864.0</v>
      </c>
      <c r="V222" s="5">
        <f>(DATE(2026,2,3)-'RICE_Insured Farms_with PPI Pol'!$G222)+IF('RICE_Insured Farms_with PPI Pol'!$H222&lt;&gt;'RICE_Insured Farms_with PPI Pol'!$G222,18,0)</f>
        <v>60</v>
      </c>
      <c r="W222" s="3" t="str">
        <f t="array" ref="W222">IFS(V222&gt;120, "Harvested", V222&gt;=113, "Yellow Ripening", V222&gt;=101, "Dough Stage", V222&gt;=93, "Milking Stage", V222&gt;=86, "Flowering", V222&gt;=56, "Panicle Initiation/Booting", V222&lt;56, "Vegetative/Tillering")</f>
        <v>Panicle Initiation/Booting</v>
      </c>
    </row>
    <row r="223" ht="15.75" customHeight="1">
      <c r="A223" s="3">
        <v>222.0</v>
      </c>
      <c r="B223" s="3" t="s">
        <v>23</v>
      </c>
      <c r="C223" s="3" t="s">
        <v>68</v>
      </c>
      <c r="D223" s="3" t="s">
        <v>262</v>
      </c>
      <c r="E223" s="3" t="s">
        <v>405</v>
      </c>
      <c r="F223" s="3">
        <v>1739585.0</v>
      </c>
      <c r="G223" s="4">
        <v>46014.0</v>
      </c>
      <c r="H223" s="4">
        <v>46116.0</v>
      </c>
      <c r="I223" s="3" t="s">
        <v>828</v>
      </c>
      <c r="J223" s="3" t="s">
        <v>829</v>
      </c>
      <c r="K223" s="3" t="s">
        <v>830</v>
      </c>
      <c r="L223" s="3">
        <v>0.9823</v>
      </c>
      <c r="M223" s="3">
        <v>24557.5</v>
      </c>
      <c r="N223" s="3">
        <v>3.0</v>
      </c>
      <c r="O223" s="3">
        <v>160213.0</v>
      </c>
      <c r="P223" s="3" t="s">
        <v>831</v>
      </c>
      <c r="Q223" s="3">
        <v>1315788.0</v>
      </c>
      <c r="R223" s="3"/>
      <c r="S223" s="3">
        <v>19646.0</v>
      </c>
      <c r="T223" s="3" t="s">
        <v>37</v>
      </c>
      <c r="U223" s="3">
        <v>19646.0</v>
      </c>
      <c r="V223" s="5">
        <f>(DATE(2026,2,3)-'RICE_Insured Farms_with PPI Pol'!$G223)+IF('RICE_Insured Farms_with PPI Pol'!$H223&lt;&gt;'RICE_Insured Farms_with PPI Pol'!$G223,18,0)</f>
        <v>60</v>
      </c>
      <c r="W223" s="3" t="str">
        <f t="array" ref="W223">IFS(V223&gt;120, "Harvested", V223&gt;=113, "Yellow Ripening", V223&gt;=101, "Dough Stage", V223&gt;=93, "Milking Stage", V223&gt;=86, "Flowering", V223&gt;=56, "Panicle Initiation/Booting", V223&lt;56, "Vegetative/Tillering")</f>
        <v>Panicle Initiation/Booting</v>
      </c>
    </row>
    <row r="224" ht="15.75" customHeight="1">
      <c r="A224" s="3">
        <v>223.0</v>
      </c>
      <c r="B224" s="3" t="s">
        <v>23</v>
      </c>
      <c r="C224" s="3" t="s">
        <v>68</v>
      </c>
      <c r="D224" s="3" t="s">
        <v>289</v>
      </c>
      <c r="E224" s="3" t="s">
        <v>685</v>
      </c>
      <c r="F224" s="3">
        <v>1760004.0</v>
      </c>
      <c r="G224" s="4">
        <v>46017.0</v>
      </c>
      <c r="H224" s="4">
        <v>46119.0</v>
      </c>
      <c r="I224" s="3" t="s">
        <v>832</v>
      </c>
      <c r="J224" s="3" t="s">
        <v>833</v>
      </c>
      <c r="K224" s="3" t="s">
        <v>834</v>
      </c>
      <c r="L224" s="3">
        <v>0.4339</v>
      </c>
      <c r="M224" s="3">
        <v>10847.5</v>
      </c>
      <c r="N224" s="3">
        <v>3.0</v>
      </c>
      <c r="O224" s="3">
        <v>307045.0</v>
      </c>
      <c r="P224" s="3"/>
      <c r="Q224" s="3">
        <v>547520.0</v>
      </c>
      <c r="R224" s="3"/>
      <c r="S224" s="3">
        <v>8678.0</v>
      </c>
      <c r="T224" s="3" t="s">
        <v>37</v>
      </c>
      <c r="U224" s="3">
        <v>8678.0</v>
      </c>
      <c r="V224" s="5">
        <f>(DATE(2026,2,3)-'RICE_Insured Farms_with PPI Pol'!$G224)+IF('RICE_Insured Farms_with PPI Pol'!$H224&lt;&gt;'RICE_Insured Farms_with PPI Pol'!$G224,18,0)</f>
        <v>57</v>
      </c>
      <c r="W224" s="3" t="str">
        <f t="array" ref="W224">IFS(V224&gt;120, "Harvested", V224&gt;=113, "Yellow Ripening", V224&gt;=101, "Dough Stage", V224&gt;=93, "Milking Stage", V224&gt;=86, "Flowering", V224&gt;=56, "Panicle Initiation/Booting", V224&lt;56, "Vegetative/Tillering")</f>
        <v>Panicle Initiation/Booting</v>
      </c>
    </row>
    <row r="225" ht="15.75" hidden="1" customHeight="1">
      <c r="A225" s="3">
        <v>224.0</v>
      </c>
      <c r="B225" s="3" t="s">
        <v>23</v>
      </c>
      <c r="C225" s="3" t="s">
        <v>68</v>
      </c>
      <c r="D225" s="3" t="s">
        <v>289</v>
      </c>
      <c r="E225" s="3" t="s">
        <v>702</v>
      </c>
      <c r="F225" s="3">
        <v>1760039.0</v>
      </c>
      <c r="G225" s="4">
        <v>46033.0</v>
      </c>
      <c r="H225" s="4">
        <v>46135.0</v>
      </c>
      <c r="I225" s="3" t="s">
        <v>835</v>
      </c>
      <c r="J225" s="3" t="s">
        <v>836</v>
      </c>
      <c r="K225" s="3" t="s">
        <v>837</v>
      </c>
      <c r="L225" s="3">
        <v>0.6955</v>
      </c>
      <c r="M225" s="3">
        <v>17387.5</v>
      </c>
      <c r="N225" s="3">
        <v>2.0</v>
      </c>
      <c r="O225" s="3">
        <v>117260.0</v>
      </c>
      <c r="P225" s="3" t="s">
        <v>838</v>
      </c>
      <c r="Q225" s="3">
        <v>1326176.0</v>
      </c>
      <c r="R225" s="3"/>
      <c r="S225" s="3">
        <v>12171.25</v>
      </c>
      <c r="T225" s="3" t="s">
        <v>31</v>
      </c>
      <c r="U225" s="3">
        <v>12171.25</v>
      </c>
      <c r="V225" s="5">
        <f>(DATE(2026,2,3)-'RICE_Insured Farms_with PPI Pol'!$G225)+IF('RICE_Insured Farms_with PPI Pol'!$H225&lt;&gt;'RICE_Insured Farms_with PPI Pol'!$G225,18,0)</f>
        <v>41</v>
      </c>
      <c r="W225" s="3" t="str">
        <f t="array" ref="W225">IFS(V225&gt;120, "Harvested", V225&gt;=113, "Yellow Ripening", V225&gt;=101, "Dough Stage", V225&gt;=93, "Milking Stage", V225&gt;=86, "Flowering", V225&gt;=56, "Panicle Initiation/Booting", V225&lt;56, "Vegetative/Tillering")</f>
        <v>Vegetative/Tillering</v>
      </c>
    </row>
    <row r="226" ht="15.75" customHeight="1">
      <c r="A226" s="3">
        <v>225.0</v>
      </c>
      <c r="B226" s="3" t="s">
        <v>23</v>
      </c>
      <c r="C226" s="3" t="s">
        <v>68</v>
      </c>
      <c r="D226" s="3" t="s">
        <v>289</v>
      </c>
      <c r="E226" s="3" t="s">
        <v>685</v>
      </c>
      <c r="F226" s="3">
        <v>1760031.0</v>
      </c>
      <c r="G226" s="4">
        <v>46030.0</v>
      </c>
      <c r="H226" s="4">
        <v>46122.0</v>
      </c>
      <c r="I226" s="3" t="s">
        <v>839</v>
      </c>
      <c r="J226" s="3" t="s">
        <v>840</v>
      </c>
      <c r="K226" s="3" t="s">
        <v>569</v>
      </c>
      <c r="L226" s="3">
        <v>1.3428</v>
      </c>
      <c r="M226" s="3">
        <v>33570.0</v>
      </c>
      <c r="N226" s="3">
        <v>3.0</v>
      </c>
      <c r="O226" s="3">
        <v>356069.0</v>
      </c>
      <c r="P226" s="3" t="s">
        <v>841</v>
      </c>
      <c r="Q226" s="3">
        <v>1329711.0</v>
      </c>
      <c r="R226" s="3"/>
      <c r="S226" s="3">
        <v>26856.0</v>
      </c>
      <c r="T226" s="3" t="s">
        <v>37</v>
      </c>
      <c r="U226" s="3">
        <v>26856.0</v>
      </c>
      <c r="V226" s="5">
        <f>(DATE(2026,2,3)-'RICE_Insured Farms_with PPI Pol'!$G226)+IF('RICE_Insured Farms_with PPI Pol'!$H226&lt;&gt;'RICE_Insured Farms_with PPI Pol'!$G226,18,0)</f>
        <v>44</v>
      </c>
      <c r="W226" s="3" t="str">
        <f t="array" ref="W226">IFS(V226&gt;120, "Harvested", V226&gt;=113, "Yellow Ripening", V226&gt;=101, "Dough Stage", V226&gt;=93, "Milking Stage", V226&gt;=86, "Flowering", V226&gt;=56, "Panicle Initiation/Booting", V226&lt;56, "Vegetative/Tillering")</f>
        <v>Vegetative/Tillering</v>
      </c>
    </row>
    <row r="227" ht="15.75" customHeight="1">
      <c r="A227" s="3">
        <v>226.0</v>
      </c>
      <c r="B227" s="3" t="s">
        <v>23</v>
      </c>
      <c r="C227" s="3" t="s">
        <v>68</v>
      </c>
      <c r="D227" s="3" t="s">
        <v>420</v>
      </c>
      <c r="E227" s="3" t="s">
        <v>842</v>
      </c>
      <c r="F227" s="3">
        <v>1196993.0</v>
      </c>
      <c r="G227" s="4">
        <v>46021.0</v>
      </c>
      <c r="H227" s="4">
        <v>46123.0</v>
      </c>
      <c r="I227" s="3" t="s">
        <v>843</v>
      </c>
      <c r="J227" s="3" t="s">
        <v>524</v>
      </c>
      <c r="K227" s="3" t="s">
        <v>622</v>
      </c>
      <c r="L227" s="3">
        <v>0.3242</v>
      </c>
      <c r="M227" s="3">
        <v>8105.0</v>
      </c>
      <c r="N227" s="3">
        <v>3.0</v>
      </c>
      <c r="O227" s="3">
        <v>529633.0</v>
      </c>
      <c r="P227" s="3"/>
      <c r="Q227" s="3">
        <v>1327596.0</v>
      </c>
      <c r="R227" s="3"/>
      <c r="S227" s="3">
        <v>6484.0</v>
      </c>
      <c r="T227" s="3" t="s">
        <v>37</v>
      </c>
      <c r="U227" s="3">
        <v>6484.0</v>
      </c>
      <c r="V227" s="5">
        <f>(DATE(2026,2,3)-'RICE_Insured Farms_with PPI Pol'!$G227)+IF('RICE_Insured Farms_with PPI Pol'!$H227&lt;&gt;'RICE_Insured Farms_with PPI Pol'!$G227,18,0)</f>
        <v>53</v>
      </c>
      <c r="W227" s="3" t="str">
        <f t="array" ref="W227">IFS(V227&gt;120, "Harvested", V227&gt;=113, "Yellow Ripening", V227&gt;=101, "Dough Stage", V227&gt;=93, "Milking Stage", V227&gt;=86, "Flowering", V227&gt;=56, "Panicle Initiation/Booting", V227&lt;56, "Vegetative/Tillering")</f>
        <v>Vegetative/Tillering</v>
      </c>
    </row>
    <row r="228" ht="15.75" hidden="1" customHeight="1">
      <c r="A228" s="3">
        <v>227.0</v>
      </c>
      <c r="B228" s="3" t="s">
        <v>23</v>
      </c>
      <c r="C228" s="3" t="s">
        <v>68</v>
      </c>
      <c r="D228" s="3" t="s">
        <v>262</v>
      </c>
      <c r="E228" s="3" t="s">
        <v>405</v>
      </c>
      <c r="F228" s="3">
        <v>1739592.0</v>
      </c>
      <c r="G228" s="4">
        <v>46033.0</v>
      </c>
      <c r="H228" s="4">
        <v>46135.0</v>
      </c>
      <c r="I228" s="3" t="s">
        <v>844</v>
      </c>
      <c r="J228" s="3" t="s">
        <v>845</v>
      </c>
      <c r="K228" s="3" t="s">
        <v>846</v>
      </c>
      <c r="L228" s="3">
        <v>0.2427</v>
      </c>
      <c r="M228" s="3">
        <v>6067.5</v>
      </c>
      <c r="N228" s="3">
        <v>2.0</v>
      </c>
      <c r="O228" s="3">
        <v>389477.0</v>
      </c>
      <c r="P228" s="3"/>
      <c r="Q228" s="3">
        <v>1279979.0</v>
      </c>
      <c r="R228" s="3"/>
      <c r="S228" s="3">
        <v>4247.25</v>
      </c>
      <c r="T228" s="3" t="s">
        <v>31</v>
      </c>
      <c r="U228" s="3">
        <v>4247.25</v>
      </c>
      <c r="V228" s="5">
        <f>(DATE(2026,2,3)-'RICE_Insured Farms_with PPI Pol'!$G228)+IF('RICE_Insured Farms_with PPI Pol'!$H228&lt;&gt;'RICE_Insured Farms_with PPI Pol'!$G228,18,0)</f>
        <v>41</v>
      </c>
      <c r="W228" s="3" t="str">
        <f t="array" ref="W228">IFS(V228&gt;120, "Harvested", V228&gt;=113, "Yellow Ripening", V228&gt;=101, "Dough Stage", V228&gt;=93, "Milking Stage", V228&gt;=86, "Flowering", V228&gt;=56, "Panicle Initiation/Booting", V228&lt;56, "Vegetative/Tillering")</f>
        <v>Vegetative/Tillering</v>
      </c>
    </row>
    <row r="229" ht="15.75" customHeight="1">
      <c r="A229" s="3">
        <v>228.0</v>
      </c>
      <c r="B229" s="3" t="s">
        <v>23</v>
      </c>
      <c r="C229" s="3" t="s">
        <v>68</v>
      </c>
      <c r="D229" s="3" t="s">
        <v>289</v>
      </c>
      <c r="E229" s="3" t="s">
        <v>352</v>
      </c>
      <c r="F229" s="3">
        <v>1760018.0</v>
      </c>
      <c r="G229" s="4">
        <v>46018.0</v>
      </c>
      <c r="H229" s="4">
        <v>46120.0</v>
      </c>
      <c r="I229" s="3" t="s">
        <v>429</v>
      </c>
      <c r="J229" s="3" t="s">
        <v>847</v>
      </c>
      <c r="K229" s="3" t="s">
        <v>223</v>
      </c>
      <c r="L229" s="3">
        <v>0.6838</v>
      </c>
      <c r="M229" s="3">
        <v>17095.0</v>
      </c>
      <c r="N229" s="3">
        <v>3.0</v>
      </c>
      <c r="O229" s="3">
        <v>493707.0</v>
      </c>
      <c r="P229" s="3"/>
      <c r="Q229" s="3">
        <v>1318935.0</v>
      </c>
      <c r="R229" s="3"/>
      <c r="S229" s="3">
        <v>13676.0</v>
      </c>
      <c r="T229" s="3" t="s">
        <v>37</v>
      </c>
      <c r="U229" s="3">
        <v>13676.0</v>
      </c>
      <c r="V229" s="5">
        <f>(DATE(2026,2,3)-'RICE_Insured Farms_with PPI Pol'!$G229)+IF('RICE_Insured Farms_with PPI Pol'!$H229&lt;&gt;'RICE_Insured Farms_with PPI Pol'!$G229,18,0)</f>
        <v>56</v>
      </c>
      <c r="W229" s="3" t="str">
        <f t="array" ref="W229">IFS(V229&gt;120, "Harvested", V229&gt;=113, "Yellow Ripening", V229&gt;=101, "Dough Stage", V229&gt;=93, "Milking Stage", V229&gt;=86, "Flowering", V229&gt;=56, "Panicle Initiation/Booting", V229&lt;56, "Vegetative/Tillering")</f>
        <v>Panicle Initiation/Booting</v>
      </c>
    </row>
    <row r="230" ht="15.75" hidden="1" customHeight="1">
      <c r="A230" s="3">
        <v>229.0</v>
      </c>
      <c r="B230" s="3" t="s">
        <v>23</v>
      </c>
      <c r="C230" s="3" t="s">
        <v>68</v>
      </c>
      <c r="D230" s="3" t="s">
        <v>289</v>
      </c>
      <c r="E230" s="3" t="s">
        <v>848</v>
      </c>
      <c r="F230" s="3">
        <v>1760003.0</v>
      </c>
      <c r="G230" s="4">
        <v>46034.0</v>
      </c>
      <c r="H230" s="4">
        <v>46136.0</v>
      </c>
      <c r="I230" s="3" t="s">
        <v>429</v>
      </c>
      <c r="J230" s="3" t="s">
        <v>849</v>
      </c>
      <c r="K230" s="3" t="s">
        <v>850</v>
      </c>
      <c r="L230" s="3">
        <v>0.2861</v>
      </c>
      <c r="M230" s="3">
        <v>7152.5</v>
      </c>
      <c r="N230" s="3">
        <v>2.0</v>
      </c>
      <c r="O230" s="3">
        <v>416535.0</v>
      </c>
      <c r="P230" s="3" t="s">
        <v>851</v>
      </c>
      <c r="Q230" s="3">
        <v>1327161.0</v>
      </c>
      <c r="R230" s="3"/>
      <c r="S230" s="3">
        <v>5006.75</v>
      </c>
      <c r="T230" s="3" t="s">
        <v>31</v>
      </c>
      <c r="U230" s="3">
        <v>5006.75</v>
      </c>
      <c r="V230" s="5">
        <f>(DATE(2026,2,3)-'RICE_Insured Farms_with PPI Pol'!$G230)+IF('RICE_Insured Farms_with PPI Pol'!$H230&lt;&gt;'RICE_Insured Farms_with PPI Pol'!$G230,18,0)</f>
        <v>40</v>
      </c>
      <c r="W230" s="3" t="str">
        <f t="array" ref="W230">IFS(V230&gt;120, "Harvested", V230&gt;=113, "Yellow Ripening", V230&gt;=101, "Dough Stage", V230&gt;=93, "Milking Stage", V230&gt;=86, "Flowering", V230&gt;=56, "Panicle Initiation/Booting", V230&lt;56, "Vegetative/Tillering")</f>
        <v>Vegetative/Tillering</v>
      </c>
    </row>
    <row r="231" ht="15.75" hidden="1" customHeight="1">
      <c r="A231" s="3">
        <v>230.0</v>
      </c>
      <c r="B231" s="3" t="s">
        <v>23</v>
      </c>
      <c r="C231" s="3" t="s">
        <v>68</v>
      </c>
      <c r="D231" s="3" t="s">
        <v>289</v>
      </c>
      <c r="E231" s="3" t="s">
        <v>848</v>
      </c>
      <c r="F231" s="3">
        <v>1760003.0</v>
      </c>
      <c r="G231" s="4">
        <v>46034.0</v>
      </c>
      <c r="H231" s="4">
        <v>46136.0</v>
      </c>
      <c r="I231" s="3" t="s">
        <v>429</v>
      </c>
      <c r="J231" s="3" t="s">
        <v>852</v>
      </c>
      <c r="K231" s="3" t="s">
        <v>850</v>
      </c>
      <c r="L231" s="3">
        <v>0.8713</v>
      </c>
      <c r="M231" s="3">
        <v>21782.5</v>
      </c>
      <c r="N231" s="3">
        <v>2.0</v>
      </c>
      <c r="O231" s="3">
        <v>192733.0</v>
      </c>
      <c r="P231" s="3" t="s">
        <v>853</v>
      </c>
      <c r="Q231" s="3">
        <v>1148118.0</v>
      </c>
      <c r="R231" s="3"/>
      <c r="S231" s="3">
        <v>15247.75</v>
      </c>
      <c r="T231" s="3" t="s">
        <v>31</v>
      </c>
      <c r="U231" s="3">
        <v>15247.75</v>
      </c>
      <c r="V231" s="5">
        <f>(DATE(2026,2,3)-'RICE_Insured Farms_with PPI Pol'!$G231)+IF('RICE_Insured Farms_with PPI Pol'!$H231&lt;&gt;'RICE_Insured Farms_with PPI Pol'!$G231,18,0)</f>
        <v>40</v>
      </c>
      <c r="W231" s="3" t="str">
        <f t="array" ref="W231">IFS(V231&gt;120, "Harvested", V231&gt;=113, "Yellow Ripening", V231&gt;=101, "Dough Stage", V231&gt;=93, "Milking Stage", V231&gt;=86, "Flowering", V231&gt;=56, "Panicle Initiation/Booting", V231&lt;56, "Vegetative/Tillering")</f>
        <v>Vegetative/Tillering</v>
      </c>
    </row>
    <row r="232" ht="15.75" hidden="1" customHeight="1">
      <c r="A232" s="3">
        <v>231.0</v>
      </c>
      <c r="B232" s="3" t="s">
        <v>23</v>
      </c>
      <c r="C232" s="3" t="s">
        <v>68</v>
      </c>
      <c r="D232" s="3" t="s">
        <v>420</v>
      </c>
      <c r="E232" s="3" t="s">
        <v>421</v>
      </c>
      <c r="F232" s="3">
        <v>1196999.0</v>
      </c>
      <c r="G232" s="4">
        <v>46058.0</v>
      </c>
      <c r="H232" s="4">
        <v>46160.0</v>
      </c>
      <c r="I232" s="3" t="s">
        <v>854</v>
      </c>
      <c r="J232" s="3" t="s">
        <v>855</v>
      </c>
      <c r="K232" s="3" t="s">
        <v>548</v>
      </c>
      <c r="L232" s="3">
        <v>0.6341</v>
      </c>
      <c r="M232" s="3">
        <v>15852.5</v>
      </c>
      <c r="N232" s="3">
        <v>1.0</v>
      </c>
      <c r="O232" s="3">
        <v>323974.0</v>
      </c>
      <c r="P232" s="3" t="s">
        <v>856</v>
      </c>
      <c r="Q232" s="3">
        <v>1331842.0</v>
      </c>
      <c r="R232" s="3"/>
      <c r="S232" s="3">
        <v>9511.5</v>
      </c>
      <c r="T232" s="3" t="s">
        <v>62</v>
      </c>
      <c r="U232" s="3">
        <v>9511.5</v>
      </c>
      <c r="V232" s="5">
        <f>(DATE(2026,2,3)-'RICE_Insured Farms_with PPI Pol'!$G232)+IF('RICE_Insured Farms_with PPI Pol'!$H232&lt;&gt;'RICE_Insured Farms_with PPI Pol'!$G232,18,0)</f>
        <v>16</v>
      </c>
      <c r="W232" s="3" t="str">
        <f t="array" ref="W232">IFS(V232&gt;120, "Harvested", V232&gt;=113, "Yellow Ripening", V232&gt;=101, "Dough Stage", V232&gt;=93, "Milking Stage", V232&gt;=86, "Flowering", V232&gt;=56, "Panicle Initiation/Booting", V232&lt;56, "Vegetative/Tillering")</f>
        <v>Vegetative/Tillering</v>
      </c>
    </row>
    <row r="233" ht="15.75" hidden="1" customHeight="1">
      <c r="A233" s="3">
        <v>232.0</v>
      </c>
      <c r="B233" s="3" t="s">
        <v>23</v>
      </c>
      <c r="C233" s="3" t="s">
        <v>68</v>
      </c>
      <c r="D233" s="3" t="s">
        <v>679</v>
      </c>
      <c r="E233" s="3" t="s">
        <v>680</v>
      </c>
      <c r="F233" s="3">
        <v>1175382.0</v>
      </c>
      <c r="G233" s="4">
        <v>46034.0</v>
      </c>
      <c r="H233" s="4">
        <v>46136.0</v>
      </c>
      <c r="I233" s="3" t="s">
        <v>325</v>
      </c>
      <c r="J233" s="3" t="s">
        <v>857</v>
      </c>
      <c r="K233" s="3" t="s">
        <v>801</v>
      </c>
      <c r="L233" s="3">
        <v>0.2307</v>
      </c>
      <c r="M233" s="3">
        <v>5767.5</v>
      </c>
      <c r="N233" s="3">
        <v>2.0</v>
      </c>
      <c r="O233" s="3">
        <v>15529.0</v>
      </c>
      <c r="P233" s="3"/>
      <c r="Q233" s="3">
        <v>1341968.0</v>
      </c>
      <c r="R233" s="3"/>
      <c r="S233" s="3">
        <v>4037.25</v>
      </c>
      <c r="T233" s="3" t="s">
        <v>31</v>
      </c>
      <c r="U233" s="3">
        <v>4037.25</v>
      </c>
      <c r="V233" s="5">
        <f>(DATE(2026,2,3)-'RICE_Insured Farms_with PPI Pol'!$G233)+IF('RICE_Insured Farms_with PPI Pol'!$H233&lt;&gt;'RICE_Insured Farms_with PPI Pol'!$G233,18,0)</f>
        <v>40</v>
      </c>
      <c r="W233" s="3" t="str">
        <f t="array" ref="W233">IFS(V233&gt;120, "Harvested", V233&gt;=113, "Yellow Ripening", V233&gt;=101, "Dough Stage", V233&gt;=93, "Milking Stage", V233&gt;=86, "Flowering", V233&gt;=56, "Panicle Initiation/Booting", V233&lt;56, "Vegetative/Tillering")</f>
        <v>Vegetative/Tillering</v>
      </c>
    </row>
    <row r="234" ht="15.75" hidden="1" customHeight="1">
      <c r="A234" s="3">
        <v>233.0</v>
      </c>
      <c r="B234" s="3" t="s">
        <v>23</v>
      </c>
      <c r="C234" s="3" t="s">
        <v>68</v>
      </c>
      <c r="D234" s="3" t="s">
        <v>262</v>
      </c>
      <c r="E234" s="3" t="s">
        <v>263</v>
      </c>
      <c r="F234" s="3">
        <v>1739586.0</v>
      </c>
      <c r="G234" s="4">
        <v>46027.0</v>
      </c>
      <c r="H234" s="4">
        <v>46129.0</v>
      </c>
      <c r="I234" s="3" t="s">
        <v>858</v>
      </c>
      <c r="J234" s="3" t="s">
        <v>859</v>
      </c>
      <c r="K234" s="3" t="s">
        <v>860</v>
      </c>
      <c r="L234" s="3">
        <v>1.1302</v>
      </c>
      <c r="M234" s="3">
        <v>28255.0</v>
      </c>
      <c r="N234" s="3">
        <v>2.0</v>
      </c>
      <c r="O234" s="3">
        <v>225535.0</v>
      </c>
      <c r="P234" s="3" t="s">
        <v>861</v>
      </c>
      <c r="Q234" s="3">
        <v>1219441.0</v>
      </c>
      <c r="R234" s="3"/>
      <c r="S234" s="3">
        <v>19778.5</v>
      </c>
      <c r="T234" s="3" t="s">
        <v>31</v>
      </c>
      <c r="U234" s="3">
        <v>19778.5</v>
      </c>
      <c r="V234" s="5">
        <f>(DATE(2026,2,3)-'RICE_Insured Farms_with PPI Pol'!$G234)+IF('RICE_Insured Farms_with PPI Pol'!$H234&lt;&gt;'RICE_Insured Farms_with PPI Pol'!$G234,18,0)</f>
        <v>47</v>
      </c>
      <c r="W234" s="3" t="str">
        <f t="array" ref="W234">IFS(V234&gt;120, "Harvested", V234&gt;=113, "Yellow Ripening", V234&gt;=101, "Dough Stage", V234&gt;=93, "Milking Stage", V234&gt;=86, "Flowering", V234&gt;=56, "Panicle Initiation/Booting", V234&lt;56, "Vegetative/Tillering")</f>
        <v>Vegetative/Tillering</v>
      </c>
    </row>
    <row r="235" ht="15.75" hidden="1" customHeight="1">
      <c r="A235" s="3">
        <v>234.0</v>
      </c>
      <c r="B235" s="3" t="s">
        <v>23</v>
      </c>
      <c r="C235" s="3" t="s">
        <v>68</v>
      </c>
      <c r="D235" s="3" t="s">
        <v>289</v>
      </c>
      <c r="E235" s="3" t="s">
        <v>743</v>
      </c>
      <c r="F235" s="3">
        <v>1760034.0</v>
      </c>
      <c r="G235" s="4">
        <v>46040.0</v>
      </c>
      <c r="H235" s="4">
        <v>46142.0</v>
      </c>
      <c r="I235" s="3" t="s">
        <v>862</v>
      </c>
      <c r="J235" s="3" t="s">
        <v>863</v>
      </c>
      <c r="K235" s="3" t="s">
        <v>864</v>
      </c>
      <c r="L235" s="3">
        <v>0.9786</v>
      </c>
      <c r="M235" s="3">
        <v>24465.0</v>
      </c>
      <c r="N235" s="3">
        <v>2.0</v>
      </c>
      <c r="O235" s="3">
        <v>328995.0</v>
      </c>
      <c r="P235" s="3"/>
      <c r="Q235" s="3">
        <v>1079346.0</v>
      </c>
      <c r="R235" s="3"/>
      <c r="S235" s="3">
        <v>17125.5</v>
      </c>
      <c r="T235" s="3" t="s">
        <v>31</v>
      </c>
      <c r="U235" s="3">
        <v>17125.5</v>
      </c>
      <c r="V235" s="5">
        <f>(DATE(2026,2,3)-'RICE_Insured Farms_with PPI Pol'!$G235)+IF('RICE_Insured Farms_with PPI Pol'!$H235&lt;&gt;'RICE_Insured Farms_with PPI Pol'!$G235,18,0)</f>
        <v>34</v>
      </c>
      <c r="W235" s="3" t="str">
        <f t="array" ref="W235">IFS(V235&gt;120, "Harvested", V235&gt;=113, "Yellow Ripening", V235&gt;=101, "Dough Stage", V235&gt;=93, "Milking Stage", V235&gt;=86, "Flowering", V235&gt;=56, "Panicle Initiation/Booting", V235&lt;56, "Vegetative/Tillering")</f>
        <v>Vegetative/Tillering</v>
      </c>
    </row>
    <row r="236" ht="15.75" hidden="1" customHeight="1">
      <c r="A236" s="3">
        <v>235.0</v>
      </c>
      <c r="B236" s="3" t="s">
        <v>23</v>
      </c>
      <c r="C236" s="3" t="s">
        <v>68</v>
      </c>
      <c r="D236" s="3" t="s">
        <v>289</v>
      </c>
      <c r="E236" s="3" t="s">
        <v>743</v>
      </c>
      <c r="F236" s="3">
        <v>1760034.0</v>
      </c>
      <c r="G236" s="4">
        <v>46040.0</v>
      </c>
      <c r="H236" s="4">
        <v>46142.0</v>
      </c>
      <c r="I236" s="3" t="s">
        <v>862</v>
      </c>
      <c r="J236" s="3" t="s">
        <v>863</v>
      </c>
      <c r="K236" s="3" t="s">
        <v>864</v>
      </c>
      <c r="L236" s="3">
        <v>0.8923</v>
      </c>
      <c r="M236" s="3">
        <v>22307.5</v>
      </c>
      <c r="N236" s="3">
        <v>2.0</v>
      </c>
      <c r="O236" s="3">
        <v>328995.0</v>
      </c>
      <c r="P236" s="3"/>
      <c r="Q236" s="3">
        <v>1157313.0</v>
      </c>
      <c r="R236" s="3"/>
      <c r="S236" s="3">
        <v>15615.25</v>
      </c>
      <c r="T236" s="3" t="s">
        <v>31</v>
      </c>
      <c r="U236" s="3">
        <v>15615.25</v>
      </c>
      <c r="V236" s="5">
        <f>(DATE(2026,2,3)-'RICE_Insured Farms_with PPI Pol'!$G236)+IF('RICE_Insured Farms_with PPI Pol'!$H236&lt;&gt;'RICE_Insured Farms_with PPI Pol'!$G236,18,0)</f>
        <v>34</v>
      </c>
      <c r="W236" s="3" t="str">
        <f t="array" ref="W236">IFS(V236&gt;120, "Harvested", V236&gt;=113, "Yellow Ripening", V236&gt;=101, "Dough Stage", V236&gt;=93, "Milking Stage", V236&gt;=86, "Flowering", V236&gt;=56, "Panicle Initiation/Booting", V236&lt;56, "Vegetative/Tillering")</f>
        <v>Vegetative/Tillering</v>
      </c>
    </row>
    <row r="237" ht="15.75" hidden="1" customHeight="1">
      <c r="A237" s="3">
        <v>236.0</v>
      </c>
      <c r="B237" s="3" t="s">
        <v>23</v>
      </c>
      <c r="C237" s="3" t="s">
        <v>68</v>
      </c>
      <c r="D237" s="3" t="s">
        <v>289</v>
      </c>
      <c r="E237" s="3" t="s">
        <v>743</v>
      </c>
      <c r="F237" s="3">
        <v>1760034.0</v>
      </c>
      <c r="G237" s="4">
        <v>46040.0</v>
      </c>
      <c r="H237" s="4">
        <v>46142.0</v>
      </c>
      <c r="I237" s="3" t="s">
        <v>862</v>
      </c>
      <c r="J237" s="3" t="s">
        <v>865</v>
      </c>
      <c r="K237" s="3" t="s">
        <v>864</v>
      </c>
      <c r="L237" s="3">
        <v>0.3759</v>
      </c>
      <c r="M237" s="3">
        <v>9397.5</v>
      </c>
      <c r="N237" s="3">
        <v>2.0</v>
      </c>
      <c r="O237" s="3">
        <v>441628.0</v>
      </c>
      <c r="P237" s="3" t="s">
        <v>866</v>
      </c>
      <c r="Q237" s="3">
        <v>1079350.0</v>
      </c>
      <c r="R237" s="3"/>
      <c r="S237" s="3">
        <v>6578.25</v>
      </c>
      <c r="T237" s="3" t="s">
        <v>31</v>
      </c>
      <c r="U237" s="3">
        <v>6578.25</v>
      </c>
      <c r="V237" s="5">
        <f>(DATE(2026,2,3)-'RICE_Insured Farms_with PPI Pol'!$G237)+IF('RICE_Insured Farms_with PPI Pol'!$H237&lt;&gt;'RICE_Insured Farms_with PPI Pol'!$G237,18,0)</f>
        <v>34</v>
      </c>
      <c r="W237" s="3" t="str">
        <f t="array" ref="W237">IFS(V237&gt;120, "Harvested", V237&gt;=113, "Yellow Ripening", V237&gt;=101, "Dough Stage", V237&gt;=93, "Milking Stage", V237&gt;=86, "Flowering", V237&gt;=56, "Panicle Initiation/Booting", V237&lt;56, "Vegetative/Tillering")</f>
        <v>Vegetative/Tillering</v>
      </c>
    </row>
    <row r="238" ht="15.75" hidden="1" customHeight="1">
      <c r="A238" s="3">
        <v>237.0</v>
      </c>
      <c r="B238" s="3" t="s">
        <v>23</v>
      </c>
      <c r="C238" s="3" t="s">
        <v>68</v>
      </c>
      <c r="D238" s="3" t="s">
        <v>289</v>
      </c>
      <c r="E238" s="3" t="s">
        <v>743</v>
      </c>
      <c r="F238" s="3">
        <v>1760034.0</v>
      </c>
      <c r="G238" s="4">
        <v>46040.0</v>
      </c>
      <c r="H238" s="4">
        <v>46142.0</v>
      </c>
      <c r="I238" s="3" t="s">
        <v>862</v>
      </c>
      <c r="J238" s="3" t="s">
        <v>867</v>
      </c>
      <c r="K238" s="3" t="s">
        <v>864</v>
      </c>
      <c r="L238" s="3">
        <v>1.7306</v>
      </c>
      <c r="M238" s="3">
        <v>43265.0</v>
      </c>
      <c r="N238" s="3">
        <v>2.0</v>
      </c>
      <c r="O238" s="3">
        <v>441629.0</v>
      </c>
      <c r="P238" s="3" t="s">
        <v>868</v>
      </c>
      <c r="Q238" s="3">
        <v>1148163.0</v>
      </c>
      <c r="R238" s="3"/>
      <c r="S238" s="3">
        <v>30285.5</v>
      </c>
      <c r="T238" s="3" t="s">
        <v>31</v>
      </c>
      <c r="U238" s="3">
        <v>30285.5</v>
      </c>
      <c r="V238" s="5">
        <f>(DATE(2026,2,3)-'RICE_Insured Farms_with PPI Pol'!$G238)+IF('RICE_Insured Farms_with PPI Pol'!$H238&lt;&gt;'RICE_Insured Farms_with PPI Pol'!$G238,18,0)</f>
        <v>34</v>
      </c>
      <c r="W238" s="3" t="str">
        <f t="array" ref="W238">IFS(V238&gt;120, "Harvested", V238&gt;=113, "Yellow Ripening", V238&gt;=101, "Dough Stage", V238&gt;=93, "Milking Stage", V238&gt;=86, "Flowering", V238&gt;=56, "Panicle Initiation/Booting", V238&lt;56, "Vegetative/Tillering")</f>
        <v>Vegetative/Tillering</v>
      </c>
    </row>
    <row r="239" ht="15.75" customHeight="1">
      <c r="A239" s="3">
        <v>238.0</v>
      </c>
      <c r="B239" s="3" t="s">
        <v>23</v>
      </c>
      <c r="C239" s="3" t="s">
        <v>68</v>
      </c>
      <c r="D239" s="3" t="s">
        <v>289</v>
      </c>
      <c r="E239" s="3" t="s">
        <v>848</v>
      </c>
      <c r="F239" s="3">
        <v>1760002.0</v>
      </c>
      <c r="G239" s="4">
        <v>46022.0</v>
      </c>
      <c r="H239" s="4">
        <v>46124.0</v>
      </c>
      <c r="I239" s="3" t="s">
        <v>869</v>
      </c>
      <c r="J239" s="3" t="s">
        <v>870</v>
      </c>
      <c r="K239" s="3" t="s">
        <v>871</v>
      </c>
      <c r="L239" s="3">
        <v>0.6158</v>
      </c>
      <c r="M239" s="3">
        <v>15395.0</v>
      </c>
      <c r="N239" s="3">
        <v>3.0</v>
      </c>
      <c r="O239" s="3">
        <v>119420.0</v>
      </c>
      <c r="P239" s="3" t="s">
        <v>872</v>
      </c>
      <c r="Q239" s="3">
        <v>623964.0</v>
      </c>
      <c r="R239" s="3"/>
      <c r="S239" s="3">
        <v>12316.0</v>
      </c>
      <c r="T239" s="3" t="s">
        <v>37</v>
      </c>
      <c r="U239" s="3">
        <v>12316.0</v>
      </c>
      <c r="V239" s="5">
        <f>(DATE(2026,2,3)-'RICE_Insured Farms_with PPI Pol'!$G239)+IF('RICE_Insured Farms_with PPI Pol'!$H239&lt;&gt;'RICE_Insured Farms_with PPI Pol'!$G239,18,0)</f>
        <v>52</v>
      </c>
      <c r="W239" s="3" t="str">
        <f t="array" ref="W239">IFS(V239&gt;120, "Harvested", V239&gt;=113, "Yellow Ripening", V239&gt;=101, "Dough Stage", V239&gt;=93, "Milking Stage", V239&gt;=86, "Flowering", V239&gt;=56, "Panicle Initiation/Booting", V239&lt;56, "Vegetative/Tillering")</f>
        <v>Vegetative/Tillering</v>
      </c>
    </row>
    <row r="240" ht="15.75" hidden="1" customHeight="1">
      <c r="A240" s="3">
        <v>239.0</v>
      </c>
      <c r="B240" s="3" t="s">
        <v>23</v>
      </c>
      <c r="C240" s="3" t="s">
        <v>121</v>
      </c>
      <c r="D240" s="3" t="s">
        <v>122</v>
      </c>
      <c r="E240" s="3" t="s">
        <v>655</v>
      </c>
      <c r="F240" s="3">
        <v>1760509.0</v>
      </c>
      <c r="G240" s="4">
        <v>46028.0</v>
      </c>
      <c r="H240" s="4">
        <v>46148.0</v>
      </c>
      <c r="I240" s="3" t="s">
        <v>873</v>
      </c>
      <c r="J240" s="3" t="s">
        <v>874</v>
      </c>
      <c r="K240" s="3" t="s">
        <v>875</v>
      </c>
      <c r="L240" s="3">
        <v>1.9036</v>
      </c>
      <c r="M240" s="3">
        <v>47590.0</v>
      </c>
      <c r="N240" s="3">
        <v>1.0</v>
      </c>
      <c r="O240" s="3">
        <v>393361.0</v>
      </c>
      <c r="P240" s="3" t="s">
        <v>876</v>
      </c>
      <c r="Q240" s="3">
        <v>1273242.0</v>
      </c>
      <c r="R240" s="3" t="s">
        <v>877</v>
      </c>
      <c r="S240" s="3">
        <v>28554.0</v>
      </c>
      <c r="T240" s="3" t="s">
        <v>62</v>
      </c>
      <c r="U240" s="3">
        <v>28554.0</v>
      </c>
      <c r="V240" s="5">
        <f>(DATE(2026,2,3)-'RICE_Insured Farms_with PPI Pol'!$G240)+IF('RICE_Insured Farms_with PPI Pol'!$H240&lt;&gt;'RICE_Insured Farms_with PPI Pol'!$G240,18,0)</f>
        <v>46</v>
      </c>
      <c r="W240" s="3" t="str">
        <f t="array" ref="W240">IFS(V240&gt;120, "Harvested", V240&gt;=113, "Yellow Ripening", V240&gt;=101, "Dough Stage", V240&gt;=93, "Milking Stage", V240&gt;=86, "Flowering", V240&gt;=56, "Panicle Initiation/Booting", V240&lt;56, "Vegetative/Tillering")</f>
        <v>Vegetative/Tillering</v>
      </c>
    </row>
    <row r="241" ht="15.75" customHeight="1">
      <c r="A241" s="3">
        <v>240.0</v>
      </c>
      <c r="B241" s="3" t="s">
        <v>23</v>
      </c>
      <c r="C241" s="3" t="s">
        <v>68</v>
      </c>
      <c r="D241" s="3" t="s">
        <v>289</v>
      </c>
      <c r="E241" s="3" t="s">
        <v>848</v>
      </c>
      <c r="F241" s="3">
        <v>1760039.0</v>
      </c>
      <c r="G241" s="4">
        <v>46032.0</v>
      </c>
      <c r="H241" s="4">
        <v>46124.0</v>
      </c>
      <c r="I241" s="3" t="s">
        <v>510</v>
      </c>
      <c r="J241" s="3" t="s">
        <v>878</v>
      </c>
      <c r="K241" s="3" t="s">
        <v>879</v>
      </c>
      <c r="L241" s="3">
        <v>0.7441</v>
      </c>
      <c r="M241" s="3">
        <v>18602.5</v>
      </c>
      <c r="N241" s="3">
        <v>3.0</v>
      </c>
      <c r="O241" s="3">
        <v>15888.0</v>
      </c>
      <c r="P241" s="3" t="s">
        <v>880</v>
      </c>
      <c r="Q241" s="3">
        <v>1327168.0</v>
      </c>
      <c r="R241" s="3"/>
      <c r="S241" s="3">
        <v>14882.0</v>
      </c>
      <c r="T241" s="3" t="s">
        <v>37</v>
      </c>
      <c r="U241" s="3">
        <v>14882.0</v>
      </c>
      <c r="V241" s="5">
        <f>(DATE(2026,2,3)-'RICE_Insured Farms_with PPI Pol'!$G241)+IF('RICE_Insured Farms_with PPI Pol'!$H241&lt;&gt;'RICE_Insured Farms_with PPI Pol'!$G241,18,0)</f>
        <v>42</v>
      </c>
      <c r="W241" s="3" t="str">
        <f t="array" ref="W241">IFS(V241&gt;120, "Harvested", V241&gt;=113, "Yellow Ripening", V241&gt;=101, "Dough Stage", V241&gt;=93, "Milking Stage", V241&gt;=86, "Flowering", V241&gt;=56, "Panicle Initiation/Booting", V241&lt;56, "Vegetative/Tillering")</f>
        <v>Vegetative/Tillering</v>
      </c>
    </row>
    <row r="242" ht="15.75" hidden="1" customHeight="1">
      <c r="A242" s="3">
        <v>241.0</v>
      </c>
      <c r="B242" s="3" t="s">
        <v>23</v>
      </c>
      <c r="C242" s="3" t="s">
        <v>68</v>
      </c>
      <c r="D242" s="3" t="s">
        <v>289</v>
      </c>
      <c r="E242" s="3" t="s">
        <v>352</v>
      </c>
      <c r="F242" s="3">
        <v>1760050.0</v>
      </c>
      <c r="G242" s="4">
        <v>46025.0</v>
      </c>
      <c r="H242" s="4">
        <v>46127.0</v>
      </c>
      <c r="I242" s="3" t="s">
        <v>881</v>
      </c>
      <c r="J242" s="3" t="s">
        <v>504</v>
      </c>
      <c r="K242" s="3" t="s">
        <v>882</v>
      </c>
      <c r="L242" s="3">
        <v>0.3258</v>
      </c>
      <c r="M242" s="3">
        <v>8145.0</v>
      </c>
      <c r="N242" s="3">
        <v>2.0</v>
      </c>
      <c r="O242" s="3">
        <v>305529.0</v>
      </c>
      <c r="P242" s="3" t="s">
        <v>883</v>
      </c>
      <c r="Q242" s="3">
        <v>1331460.0</v>
      </c>
      <c r="R242" s="3"/>
      <c r="S242" s="3">
        <v>5701.5</v>
      </c>
      <c r="T242" s="3" t="s">
        <v>31</v>
      </c>
      <c r="U242" s="3">
        <v>5701.5</v>
      </c>
      <c r="V242" s="5">
        <f>(DATE(2026,2,3)-'RICE_Insured Farms_with PPI Pol'!$G242)+IF('RICE_Insured Farms_with PPI Pol'!$H242&lt;&gt;'RICE_Insured Farms_with PPI Pol'!$G242,18,0)</f>
        <v>49</v>
      </c>
      <c r="W242" s="3" t="str">
        <f t="array" ref="W242">IFS(V242&gt;120, "Harvested", V242&gt;=113, "Yellow Ripening", V242&gt;=101, "Dough Stage", V242&gt;=93, "Milking Stage", V242&gt;=86, "Flowering", V242&gt;=56, "Panicle Initiation/Booting", V242&lt;56, "Vegetative/Tillering")</f>
        <v>Vegetative/Tillering</v>
      </c>
    </row>
    <row r="243" ht="15.75" hidden="1" customHeight="1">
      <c r="A243" s="3">
        <v>242.0</v>
      </c>
      <c r="B243" s="3" t="s">
        <v>23</v>
      </c>
      <c r="C243" s="3" t="s">
        <v>68</v>
      </c>
      <c r="D243" s="3" t="s">
        <v>289</v>
      </c>
      <c r="E243" s="3" t="s">
        <v>352</v>
      </c>
      <c r="F243" s="3">
        <v>1760050.0</v>
      </c>
      <c r="G243" s="4">
        <v>46025.0</v>
      </c>
      <c r="H243" s="4">
        <v>46127.0</v>
      </c>
      <c r="I243" s="3" t="s">
        <v>881</v>
      </c>
      <c r="J243" s="3" t="s">
        <v>504</v>
      </c>
      <c r="K243" s="3" t="s">
        <v>882</v>
      </c>
      <c r="L243" s="3">
        <v>0.591</v>
      </c>
      <c r="M243" s="3">
        <v>14775.0</v>
      </c>
      <c r="N243" s="3">
        <v>2.0</v>
      </c>
      <c r="O243" s="3">
        <v>305529.0</v>
      </c>
      <c r="P243" s="3" t="s">
        <v>883</v>
      </c>
      <c r="Q243" s="3">
        <v>1331463.0</v>
      </c>
      <c r="R243" s="3"/>
      <c r="S243" s="3">
        <v>10342.5</v>
      </c>
      <c r="T243" s="3" t="s">
        <v>31</v>
      </c>
      <c r="U243" s="3">
        <v>10342.5</v>
      </c>
      <c r="V243" s="5">
        <f>(DATE(2026,2,3)-'RICE_Insured Farms_with PPI Pol'!$G243)+IF('RICE_Insured Farms_with PPI Pol'!$H243&lt;&gt;'RICE_Insured Farms_with PPI Pol'!$G243,18,0)</f>
        <v>49</v>
      </c>
      <c r="W243" s="3" t="str">
        <f t="array" ref="W243">IFS(V243&gt;120, "Harvested", V243&gt;=113, "Yellow Ripening", V243&gt;=101, "Dough Stage", V243&gt;=93, "Milking Stage", V243&gt;=86, "Flowering", V243&gt;=56, "Panicle Initiation/Booting", V243&lt;56, "Vegetative/Tillering")</f>
        <v>Vegetative/Tillering</v>
      </c>
    </row>
    <row r="244" ht="15.75" customHeight="1">
      <c r="A244" s="3">
        <v>243.0</v>
      </c>
      <c r="B244" s="3" t="s">
        <v>23</v>
      </c>
      <c r="C244" s="3" t="s">
        <v>68</v>
      </c>
      <c r="D244" s="3" t="s">
        <v>289</v>
      </c>
      <c r="E244" s="3" t="s">
        <v>685</v>
      </c>
      <c r="F244" s="3">
        <v>1760005.0</v>
      </c>
      <c r="G244" s="4">
        <v>46021.0</v>
      </c>
      <c r="H244" s="4">
        <v>46123.0</v>
      </c>
      <c r="I244" s="3" t="s">
        <v>884</v>
      </c>
      <c r="J244" s="3" t="s">
        <v>852</v>
      </c>
      <c r="K244" s="3" t="s">
        <v>540</v>
      </c>
      <c r="L244" s="3">
        <v>2.0</v>
      </c>
      <c r="M244" s="3">
        <v>50000.0</v>
      </c>
      <c r="N244" s="3">
        <v>3.0</v>
      </c>
      <c r="O244" s="3">
        <v>295330.0</v>
      </c>
      <c r="P244" s="3" t="s">
        <v>885</v>
      </c>
      <c r="Q244" s="3">
        <v>1141260.0</v>
      </c>
      <c r="R244" s="3"/>
      <c r="S244" s="3">
        <v>40000.0</v>
      </c>
      <c r="T244" s="3" t="s">
        <v>37</v>
      </c>
      <c r="U244" s="3">
        <v>40000.0</v>
      </c>
      <c r="V244" s="5">
        <f>(DATE(2026,2,3)-'RICE_Insured Farms_with PPI Pol'!$G244)+IF('RICE_Insured Farms_with PPI Pol'!$H244&lt;&gt;'RICE_Insured Farms_with PPI Pol'!$G244,18,0)</f>
        <v>53</v>
      </c>
      <c r="W244" s="3" t="str">
        <f t="array" ref="W244">IFS(V244&gt;120, "Harvested", V244&gt;=113, "Yellow Ripening", V244&gt;=101, "Dough Stage", V244&gt;=93, "Milking Stage", V244&gt;=86, "Flowering", V244&gt;=56, "Panicle Initiation/Booting", V244&lt;56, "Vegetative/Tillering")</f>
        <v>Vegetative/Tillering</v>
      </c>
    </row>
    <row r="245" ht="15.75" hidden="1" customHeight="1">
      <c r="A245" s="3">
        <v>244.0</v>
      </c>
      <c r="B245" s="3" t="s">
        <v>756</v>
      </c>
      <c r="C245" s="3" t="s">
        <v>121</v>
      </c>
      <c r="D245" s="3" t="s">
        <v>886</v>
      </c>
      <c r="E245" s="3" t="s">
        <v>594</v>
      </c>
      <c r="F245" s="3">
        <v>1741660.0</v>
      </c>
      <c r="G245" s="4">
        <v>46058.0</v>
      </c>
      <c r="H245" s="4">
        <v>46178.0</v>
      </c>
      <c r="I245" s="3" t="s">
        <v>887</v>
      </c>
      <c r="J245" s="3" t="s">
        <v>888</v>
      </c>
      <c r="K245" s="3" t="s">
        <v>889</v>
      </c>
      <c r="L245" s="3">
        <v>4.8884</v>
      </c>
      <c r="M245" s="3">
        <v>200000.0</v>
      </c>
      <c r="N245" s="3">
        <v>0.0</v>
      </c>
      <c r="O245" s="3">
        <v>49436.0</v>
      </c>
      <c r="P245" s="3" t="s">
        <v>890</v>
      </c>
      <c r="Q245" s="3">
        <v>1201666.0</v>
      </c>
      <c r="R245" s="3"/>
      <c r="S245" s="3">
        <v>120000.0</v>
      </c>
      <c r="T245" s="3" t="s">
        <v>191</v>
      </c>
      <c r="U245" s="3">
        <v>120000.0</v>
      </c>
      <c r="V245" s="5">
        <f>(DATE(2026,2,3)-'RICE_Insured Farms_with PPI Pol'!$G245)+IF('RICE_Insured Farms_with PPI Pol'!$H245&lt;&gt;'RICE_Insured Farms_with PPI Pol'!$G245,18,0)</f>
        <v>16</v>
      </c>
      <c r="W245" s="3" t="str">
        <f t="array" ref="W245">IFS(V245&gt;120, "Harvested", V245&gt;=113, "Yellow Ripening", V245&gt;=101, "Dough Stage", V245&gt;=93, "Milking Stage", V245&gt;=86, "Flowering", V245&gt;=56, "Panicle Initiation/Booting", V245&lt;56, "Vegetative/Tillering")</f>
        <v>Vegetative/Tillering</v>
      </c>
    </row>
    <row r="246" ht="15.75" customHeight="1">
      <c r="A246" s="3">
        <v>245.0</v>
      </c>
      <c r="B246" s="3" t="s">
        <v>23</v>
      </c>
      <c r="C246" s="3" t="s">
        <v>68</v>
      </c>
      <c r="D246" s="3" t="s">
        <v>289</v>
      </c>
      <c r="E246" s="3" t="s">
        <v>774</v>
      </c>
      <c r="F246" s="3">
        <v>1760027.0</v>
      </c>
      <c r="G246" s="4">
        <v>46021.0</v>
      </c>
      <c r="H246" s="4">
        <v>46123.0</v>
      </c>
      <c r="I246" s="3" t="s">
        <v>891</v>
      </c>
      <c r="J246" s="3" t="s">
        <v>892</v>
      </c>
      <c r="K246" s="3" t="s">
        <v>893</v>
      </c>
      <c r="L246" s="3">
        <v>0.5339</v>
      </c>
      <c r="M246" s="3">
        <v>13347.5</v>
      </c>
      <c r="N246" s="3">
        <v>3.0</v>
      </c>
      <c r="O246" s="3">
        <v>153623.0</v>
      </c>
      <c r="P246" s="3" t="s">
        <v>894</v>
      </c>
      <c r="Q246" s="3">
        <v>1326276.0</v>
      </c>
      <c r="R246" s="3"/>
      <c r="S246" s="3">
        <v>10678.0</v>
      </c>
      <c r="T246" s="3" t="s">
        <v>37</v>
      </c>
      <c r="U246" s="3">
        <v>10678.0</v>
      </c>
      <c r="V246" s="5">
        <f>(DATE(2026,2,3)-'RICE_Insured Farms_with PPI Pol'!$G246)+IF('RICE_Insured Farms_with PPI Pol'!$H246&lt;&gt;'RICE_Insured Farms_with PPI Pol'!$G246,18,0)</f>
        <v>53</v>
      </c>
      <c r="W246" s="3" t="str">
        <f t="array" ref="W246">IFS(V246&gt;120, "Harvested", V246&gt;=113, "Yellow Ripening", V246&gt;=101, "Dough Stage", V246&gt;=93, "Milking Stage", V246&gt;=86, "Flowering", V246&gt;=56, "Panicle Initiation/Booting", V246&lt;56, "Vegetative/Tillering")</f>
        <v>Vegetative/Tillering</v>
      </c>
    </row>
    <row r="247" ht="15.75" hidden="1" customHeight="1">
      <c r="A247" s="3">
        <v>246.0</v>
      </c>
      <c r="B247" s="3" t="s">
        <v>23</v>
      </c>
      <c r="C247" s="3" t="s">
        <v>68</v>
      </c>
      <c r="D247" s="3" t="s">
        <v>289</v>
      </c>
      <c r="E247" s="3" t="s">
        <v>895</v>
      </c>
      <c r="F247" s="3">
        <v>1760050.0</v>
      </c>
      <c r="G247" s="4">
        <v>46042.0</v>
      </c>
      <c r="H247" s="4">
        <v>46144.0</v>
      </c>
      <c r="I247" s="3" t="s">
        <v>896</v>
      </c>
      <c r="J247" s="3" t="s">
        <v>897</v>
      </c>
      <c r="K247" s="3" t="s">
        <v>898</v>
      </c>
      <c r="L247" s="3">
        <v>0.9356</v>
      </c>
      <c r="M247" s="3">
        <v>23390.0</v>
      </c>
      <c r="N247" s="3">
        <v>2.0</v>
      </c>
      <c r="O247" s="3">
        <v>242988.0</v>
      </c>
      <c r="P247" s="3" t="s">
        <v>899</v>
      </c>
      <c r="Q247" s="3">
        <v>1324361.0</v>
      </c>
      <c r="R247" s="3"/>
      <c r="S247" s="3">
        <v>16373.0</v>
      </c>
      <c r="T247" s="3" t="s">
        <v>31</v>
      </c>
      <c r="U247" s="3">
        <v>16373.0</v>
      </c>
      <c r="V247" s="5">
        <f>(DATE(2026,2,3)-'RICE_Insured Farms_with PPI Pol'!$G247)+IF('RICE_Insured Farms_with PPI Pol'!$H247&lt;&gt;'RICE_Insured Farms_with PPI Pol'!$G247,18,0)</f>
        <v>32</v>
      </c>
      <c r="W247" s="3" t="str">
        <f t="array" ref="W247">IFS(V247&gt;120, "Harvested", V247&gt;=113, "Yellow Ripening", V247&gt;=101, "Dough Stage", V247&gt;=93, "Milking Stage", V247&gt;=86, "Flowering", V247&gt;=56, "Panicle Initiation/Booting", V247&lt;56, "Vegetative/Tillering")</f>
        <v>Vegetative/Tillering</v>
      </c>
    </row>
    <row r="248" ht="15.75" customHeight="1">
      <c r="A248" s="3">
        <v>247.0</v>
      </c>
      <c r="B248" s="3" t="s">
        <v>23</v>
      </c>
      <c r="C248" s="3" t="s">
        <v>68</v>
      </c>
      <c r="D248" s="3" t="s">
        <v>262</v>
      </c>
      <c r="E248" s="3" t="s">
        <v>273</v>
      </c>
      <c r="F248" s="3">
        <v>1739582.0</v>
      </c>
      <c r="G248" s="4">
        <v>46014.0</v>
      </c>
      <c r="H248" s="4">
        <v>46116.0</v>
      </c>
      <c r="I248" s="3" t="s">
        <v>900</v>
      </c>
      <c r="J248" s="3" t="s">
        <v>901</v>
      </c>
      <c r="K248" s="3" t="s">
        <v>902</v>
      </c>
      <c r="L248" s="3">
        <v>0.5973</v>
      </c>
      <c r="M248" s="3">
        <v>14932.5</v>
      </c>
      <c r="N248" s="3">
        <v>3.0</v>
      </c>
      <c r="O248" s="3">
        <v>420035.0</v>
      </c>
      <c r="P248" s="3" t="s">
        <v>903</v>
      </c>
      <c r="Q248" s="3">
        <v>1185160.0</v>
      </c>
      <c r="R248" s="3"/>
      <c r="S248" s="3">
        <v>11946.0</v>
      </c>
      <c r="T248" s="3" t="s">
        <v>37</v>
      </c>
      <c r="U248" s="3">
        <v>11946.0</v>
      </c>
      <c r="V248" s="5">
        <f>(DATE(2026,2,3)-'RICE_Insured Farms_with PPI Pol'!$G248)+IF('RICE_Insured Farms_with PPI Pol'!$H248&lt;&gt;'RICE_Insured Farms_with PPI Pol'!$G248,18,0)</f>
        <v>60</v>
      </c>
      <c r="W248" s="3" t="str">
        <f t="array" ref="W248">IFS(V248&gt;120, "Harvested", V248&gt;=113, "Yellow Ripening", V248&gt;=101, "Dough Stage", V248&gt;=93, "Milking Stage", V248&gt;=86, "Flowering", V248&gt;=56, "Panicle Initiation/Booting", V248&lt;56, "Vegetative/Tillering")</f>
        <v>Panicle Initiation/Booting</v>
      </c>
    </row>
    <row r="249" ht="15.75" customHeight="1">
      <c r="A249" s="3">
        <v>248.0</v>
      </c>
      <c r="B249" s="3" t="s">
        <v>23</v>
      </c>
      <c r="C249" s="3" t="s">
        <v>68</v>
      </c>
      <c r="D249" s="3" t="s">
        <v>262</v>
      </c>
      <c r="E249" s="3" t="s">
        <v>273</v>
      </c>
      <c r="F249" s="3">
        <v>1739582.0</v>
      </c>
      <c r="G249" s="4">
        <v>46014.0</v>
      </c>
      <c r="H249" s="4">
        <v>46116.0</v>
      </c>
      <c r="I249" s="3" t="s">
        <v>900</v>
      </c>
      <c r="J249" s="3" t="s">
        <v>901</v>
      </c>
      <c r="K249" s="3" t="s">
        <v>902</v>
      </c>
      <c r="L249" s="3">
        <v>0.4</v>
      </c>
      <c r="M249" s="3">
        <v>10000.0</v>
      </c>
      <c r="N249" s="3">
        <v>3.0</v>
      </c>
      <c r="O249" s="3">
        <v>420035.0</v>
      </c>
      <c r="P249" s="3" t="s">
        <v>903</v>
      </c>
      <c r="Q249" s="3">
        <v>898961.0</v>
      </c>
      <c r="R249" s="3"/>
      <c r="S249" s="3">
        <v>8000.0</v>
      </c>
      <c r="T249" s="3" t="s">
        <v>37</v>
      </c>
      <c r="U249" s="3">
        <v>8000.0</v>
      </c>
      <c r="V249" s="5">
        <f>(DATE(2026,2,3)-'RICE_Insured Farms_with PPI Pol'!$G249)+IF('RICE_Insured Farms_with PPI Pol'!$H249&lt;&gt;'RICE_Insured Farms_with PPI Pol'!$G249,18,0)</f>
        <v>60</v>
      </c>
      <c r="W249" s="3" t="str">
        <f t="array" ref="W249">IFS(V249&gt;120, "Harvested", V249&gt;=113, "Yellow Ripening", V249&gt;=101, "Dough Stage", V249&gt;=93, "Milking Stage", V249&gt;=86, "Flowering", V249&gt;=56, "Panicle Initiation/Booting", V249&lt;56, "Vegetative/Tillering")</f>
        <v>Panicle Initiation/Booting</v>
      </c>
    </row>
    <row r="250" ht="15.75" customHeight="1">
      <c r="A250" s="3">
        <v>249.0</v>
      </c>
      <c r="B250" s="3" t="s">
        <v>23</v>
      </c>
      <c r="C250" s="3" t="s">
        <v>68</v>
      </c>
      <c r="D250" s="3" t="s">
        <v>262</v>
      </c>
      <c r="E250" s="3" t="s">
        <v>263</v>
      </c>
      <c r="F250" s="3">
        <v>1739588.0</v>
      </c>
      <c r="G250" s="4">
        <v>46020.0</v>
      </c>
      <c r="H250" s="4">
        <v>46115.0</v>
      </c>
      <c r="I250" s="3" t="s">
        <v>904</v>
      </c>
      <c r="J250" s="3" t="s">
        <v>905</v>
      </c>
      <c r="K250" s="3" t="s">
        <v>906</v>
      </c>
      <c r="L250" s="3">
        <v>0.9912</v>
      </c>
      <c r="M250" s="3">
        <v>24780.0</v>
      </c>
      <c r="N250" s="3">
        <v>3.0</v>
      </c>
      <c r="O250" s="3">
        <v>225507.0</v>
      </c>
      <c r="P250" s="3" t="s">
        <v>907</v>
      </c>
      <c r="Q250" s="3">
        <v>769441.0</v>
      </c>
      <c r="R250" s="3"/>
      <c r="S250" s="3">
        <v>19824.0</v>
      </c>
      <c r="T250" s="3" t="s">
        <v>37</v>
      </c>
      <c r="U250" s="3">
        <v>19824.0</v>
      </c>
      <c r="V250" s="5">
        <f>(DATE(2026,2,3)-'RICE_Insured Farms_with PPI Pol'!$G250)+IF('RICE_Insured Farms_with PPI Pol'!$H250&lt;&gt;'RICE_Insured Farms_with PPI Pol'!$G250,18,0)</f>
        <v>54</v>
      </c>
      <c r="W250" s="3" t="str">
        <f t="array" ref="W250">IFS(V250&gt;120, "Harvested", V250&gt;=113, "Yellow Ripening", V250&gt;=101, "Dough Stage", V250&gt;=93, "Milking Stage", V250&gt;=86, "Flowering", V250&gt;=56, "Panicle Initiation/Booting", V250&lt;56, "Vegetative/Tillering")</f>
        <v>Vegetative/Tillering</v>
      </c>
    </row>
    <row r="251" ht="15.75" hidden="1" customHeight="1">
      <c r="A251" s="3">
        <v>250.0</v>
      </c>
      <c r="B251" s="3" t="s">
        <v>23</v>
      </c>
      <c r="C251" s="3" t="s">
        <v>68</v>
      </c>
      <c r="D251" s="3" t="s">
        <v>420</v>
      </c>
      <c r="E251" s="3" t="s">
        <v>421</v>
      </c>
      <c r="F251" s="3">
        <v>1196998.0</v>
      </c>
      <c r="G251" s="4">
        <v>46038.0</v>
      </c>
      <c r="H251" s="4">
        <v>46140.0</v>
      </c>
      <c r="I251" s="3" t="s">
        <v>908</v>
      </c>
      <c r="J251" s="3" t="s">
        <v>909</v>
      </c>
      <c r="K251" s="3" t="s">
        <v>910</v>
      </c>
      <c r="L251" s="3">
        <v>0.2107</v>
      </c>
      <c r="M251" s="3">
        <v>5267.5</v>
      </c>
      <c r="N251" s="3">
        <v>2.0</v>
      </c>
      <c r="O251" s="3">
        <v>368675.0</v>
      </c>
      <c r="P251" s="3" t="s">
        <v>911</v>
      </c>
      <c r="Q251" s="3">
        <v>1331820.0</v>
      </c>
      <c r="R251" s="3"/>
      <c r="S251" s="3">
        <v>3687.25</v>
      </c>
      <c r="T251" s="3" t="s">
        <v>31</v>
      </c>
      <c r="U251" s="3">
        <v>3687.25</v>
      </c>
      <c r="V251" s="5">
        <f>(DATE(2026,2,3)-'RICE_Insured Farms_with PPI Pol'!$G251)+IF('RICE_Insured Farms_with PPI Pol'!$H251&lt;&gt;'RICE_Insured Farms_with PPI Pol'!$G251,18,0)</f>
        <v>36</v>
      </c>
      <c r="W251" s="3" t="str">
        <f t="array" ref="W251">IFS(V251&gt;120, "Harvested", V251&gt;=113, "Yellow Ripening", V251&gt;=101, "Dough Stage", V251&gt;=93, "Milking Stage", V251&gt;=86, "Flowering", V251&gt;=56, "Panicle Initiation/Booting", V251&lt;56, "Vegetative/Tillering")</f>
        <v>Vegetative/Tillering</v>
      </c>
    </row>
    <row r="252" ht="15.75" hidden="1" customHeight="1">
      <c r="A252" s="3">
        <v>251.0</v>
      </c>
      <c r="B252" s="3" t="s">
        <v>23</v>
      </c>
      <c r="C252" s="3" t="s">
        <v>68</v>
      </c>
      <c r="D252" s="3" t="s">
        <v>289</v>
      </c>
      <c r="E252" s="3" t="s">
        <v>685</v>
      </c>
      <c r="F252" s="3">
        <v>1760004.0</v>
      </c>
      <c r="G252" s="4">
        <v>46032.0</v>
      </c>
      <c r="H252" s="4">
        <v>46134.0</v>
      </c>
      <c r="I252" s="3" t="s">
        <v>353</v>
      </c>
      <c r="J252" s="3" t="s">
        <v>912</v>
      </c>
      <c r="K252" s="3" t="s">
        <v>834</v>
      </c>
      <c r="L252" s="3">
        <v>0.8544</v>
      </c>
      <c r="M252" s="3">
        <v>21360.0</v>
      </c>
      <c r="N252" s="3">
        <v>2.0</v>
      </c>
      <c r="O252" s="3">
        <v>293849.0</v>
      </c>
      <c r="P252" s="3" t="s">
        <v>913</v>
      </c>
      <c r="Q252" s="3">
        <v>1141243.0</v>
      </c>
      <c r="R252" s="3"/>
      <c r="S252" s="3">
        <v>14952.0</v>
      </c>
      <c r="T252" s="3" t="s">
        <v>31</v>
      </c>
      <c r="U252" s="3">
        <v>14952.0</v>
      </c>
      <c r="V252" s="5">
        <f>(DATE(2026,2,3)-'RICE_Insured Farms_with PPI Pol'!$G252)+IF('RICE_Insured Farms_with PPI Pol'!$H252&lt;&gt;'RICE_Insured Farms_with PPI Pol'!$G252,18,0)</f>
        <v>42</v>
      </c>
      <c r="W252" s="3" t="str">
        <f t="array" ref="W252">IFS(V252&gt;120, "Harvested", V252&gt;=113, "Yellow Ripening", V252&gt;=101, "Dough Stage", V252&gt;=93, "Milking Stage", V252&gt;=86, "Flowering", V252&gt;=56, "Panicle Initiation/Booting", V252&lt;56, "Vegetative/Tillering")</f>
        <v>Vegetative/Tillering</v>
      </c>
    </row>
    <row r="253" ht="15.75" hidden="1" customHeight="1">
      <c r="A253" s="3">
        <v>252.0</v>
      </c>
      <c r="B253" s="3" t="s">
        <v>23</v>
      </c>
      <c r="C253" s="3" t="s">
        <v>68</v>
      </c>
      <c r="D253" s="3" t="s">
        <v>679</v>
      </c>
      <c r="E253" s="3" t="s">
        <v>680</v>
      </c>
      <c r="F253" s="3">
        <v>1175382.0</v>
      </c>
      <c r="G253" s="4">
        <v>46029.0</v>
      </c>
      <c r="H253" s="4">
        <v>46131.0</v>
      </c>
      <c r="I253" s="3" t="s">
        <v>823</v>
      </c>
      <c r="J253" s="3" t="s">
        <v>914</v>
      </c>
      <c r="K253" s="3" t="s">
        <v>915</v>
      </c>
      <c r="L253" s="3">
        <v>0.5173</v>
      </c>
      <c r="M253" s="3">
        <v>12932.5</v>
      </c>
      <c r="N253" s="3">
        <v>2.0</v>
      </c>
      <c r="O253" s="3">
        <v>433953.0</v>
      </c>
      <c r="P253" s="3" t="s">
        <v>916</v>
      </c>
      <c r="Q253" s="3">
        <v>1338546.0</v>
      </c>
      <c r="R253" s="3"/>
      <c r="S253" s="3">
        <v>9052.75</v>
      </c>
      <c r="T253" s="3" t="s">
        <v>31</v>
      </c>
      <c r="U253" s="3">
        <v>9052.75</v>
      </c>
      <c r="V253" s="5">
        <f>(DATE(2026,2,3)-'RICE_Insured Farms_with PPI Pol'!$G253)+IF('RICE_Insured Farms_with PPI Pol'!$H253&lt;&gt;'RICE_Insured Farms_with PPI Pol'!$G253,18,0)</f>
        <v>45</v>
      </c>
      <c r="W253" s="3" t="str">
        <f t="array" ref="W253">IFS(V253&gt;120, "Harvested", V253&gt;=113, "Yellow Ripening", V253&gt;=101, "Dough Stage", V253&gt;=93, "Milking Stage", V253&gt;=86, "Flowering", V253&gt;=56, "Panicle Initiation/Booting", V253&lt;56, "Vegetative/Tillering")</f>
        <v>Vegetative/Tillering</v>
      </c>
    </row>
    <row r="254" ht="15.75" hidden="1" customHeight="1">
      <c r="A254" s="3">
        <v>253.0</v>
      </c>
      <c r="B254" s="3" t="s">
        <v>23</v>
      </c>
      <c r="C254" s="3" t="s">
        <v>68</v>
      </c>
      <c r="D254" s="3" t="s">
        <v>262</v>
      </c>
      <c r="E254" s="3" t="s">
        <v>273</v>
      </c>
      <c r="F254" s="3">
        <v>1739595.0</v>
      </c>
      <c r="G254" s="4">
        <v>46032.0</v>
      </c>
      <c r="H254" s="4">
        <v>46134.0</v>
      </c>
      <c r="I254" s="3" t="s">
        <v>917</v>
      </c>
      <c r="J254" s="3" t="s">
        <v>918</v>
      </c>
      <c r="K254" s="3" t="s">
        <v>600</v>
      </c>
      <c r="L254" s="3">
        <v>0.5194</v>
      </c>
      <c r="M254" s="3">
        <v>12985.0</v>
      </c>
      <c r="N254" s="3">
        <v>2.0</v>
      </c>
      <c r="O254" s="3">
        <v>187461.0</v>
      </c>
      <c r="P254" s="3"/>
      <c r="Q254" s="3">
        <v>1164976.0</v>
      </c>
      <c r="R254" s="3"/>
      <c r="S254" s="3">
        <v>9089.5</v>
      </c>
      <c r="T254" s="3" t="s">
        <v>31</v>
      </c>
      <c r="U254" s="3">
        <v>9089.5</v>
      </c>
      <c r="V254" s="5">
        <f>(DATE(2026,2,3)-'RICE_Insured Farms_with PPI Pol'!$G254)+IF('RICE_Insured Farms_with PPI Pol'!$H254&lt;&gt;'RICE_Insured Farms_with PPI Pol'!$G254,18,0)</f>
        <v>42</v>
      </c>
      <c r="W254" s="3" t="str">
        <f t="array" ref="W254">IFS(V254&gt;120, "Harvested", V254&gt;=113, "Yellow Ripening", V254&gt;=101, "Dough Stage", V254&gt;=93, "Milking Stage", V254&gt;=86, "Flowering", V254&gt;=56, "Panicle Initiation/Booting", V254&lt;56, "Vegetative/Tillering")</f>
        <v>Vegetative/Tillering</v>
      </c>
    </row>
    <row r="255" ht="15.75" hidden="1" customHeight="1">
      <c r="A255" s="3">
        <v>254.0</v>
      </c>
      <c r="B255" s="3" t="s">
        <v>23</v>
      </c>
      <c r="C255" s="3" t="s">
        <v>919</v>
      </c>
      <c r="D255" s="3" t="s">
        <v>920</v>
      </c>
      <c r="E255" s="3" t="s">
        <v>921</v>
      </c>
      <c r="F255" s="3">
        <v>1184281.0</v>
      </c>
      <c r="G255" s="4">
        <v>46037.0</v>
      </c>
      <c r="H255" s="4">
        <v>46157.0</v>
      </c>
      <c r="I255" s="3" t="s">
        <v>922</v>
      </c>
      <c r="J255" s="3" t="s">
        <v>923</v>
      </c>
      <c r="K255" s="3" t="s">
        <v>458</v>
      </c>
      <c r="L255" s="3">
        <v>0.2525</v>
      </c>
      <c r="M255" s="3">
        <v>6312.5</v>
      </c>
      <c r="N255" s="3">
        <v>1.0</v>
      </c>
      <c r="O255" s="3">
        <v>531763.0</v>
      </c>
      <c r="P255" s="3" t="s">
        <v>924</v>
      </c>
      <c r="Q255" s="3">
        <v>1334630.0</v>
      </c>
      <c r="R255" s="3"/>
      <c r="S255" s="3">
        <v>3787.5</v>
      </c>
      <c r="T255" s="3" t="s">
        <v>62</v>
      </c>
      <c r="U255" s="3">
        <v>3787.5</v>
      </c>
      <c r="V255" s="5">
        <f>(DATE(2026,2,3)-'RICE_Insured Farms_with PPI Pol'!$G255)+IF('RICE_Insured Farms_with PPI Pol'!$H255&lt;&gt;'RICE_Insured Farms_with PPI Pol'!$G255,18,0)</f>
        <v>37</v>
      </c>
      <c r="W255" s="3" t="str">
        <f t="array" ref="W255">IFS(V255&gt;120, "Harvested", V255&gt;=113, "Yellow Ripening", V255&gt;=101, "Dough Stage", V255&gt;=93, "Milking Stage", V255&gt;=86, "Flowering", V255&gt;=56, "Panicle Initiation/Booting", V255&lt;56, "Vegetative/Tillering")</f>
        <v>Vegetative/Tillering</v>
      </c>
    </row>
    <row r="256" ht="15.75" hidden="1" customHeight="1">
      <c r="A256" s="3">
        <v>255.0</v>
      </c>
      <c r="B256" s="3" t="s">
        <v>23</v>
      </c>
      <c r="C256" s="3" t="s">
        <v>68</v>
      </c>
      <c r="D256" s="3" t="s">
        <v>289</v>
      </c>
      <c r="E256" s="3" t="s">
        <v>786</v>
      </c>
      <c r="F256" s="3">
        <v>1760030.0</v>
      </c>
      <c r="G256" s="4">
        <v>46029.0</v>
      </c>
      <c r="H256" s="4">
        <v>46131.0</v>
      </c>
      <c r="I256" s="3" t="s">
        <v>925</v>
      </c>
      <c r="J256" s="3" t="s">
        <v>926</v>
      </c>
      <c r="K256" s="3" t="s">
        <v>927</v>
      </c>
      <c r="L256" s="3">
        <v>0.6605</v>
      </c>
      <c r="M256" s="3">
        <v>16512.5</v>
      </c>
      <c r="N256" s="3">
        <v>2.0</v>
      </c>
      <c r="O256" s="3">
        <v>468367.0</v>
      </c>
      <c r="P256" s="3" t="s">
        <v>928</v>
      </c>
      <c r="Q256" s="3">
        <v>1335704.0</v>
      </c>
      <c r="R256" s="3"/>
      <c r="S256" s="3">
        <v>11558.75</v>
      </c>
      <c r="T256" s="3" t="s">
        <v>31</v>
      </c>
      <c r="U256" s="3">
        <v>11558.75</v>
      </c>
      <c r="V256" s="5">
        <f>(DATE(2026,2,3)-'RICE_Insured Farms_with PPI Pol'!$G256)+IF('RICE_Insured Farms_with PPI Pol'!$H256&lt;&gt;'RICE_Insured Farms_with PPI Pol'!$G256,18,0)</f>
        <v>45</v>
      </c>
      <c r="W256" s="3" t="str">
        <f t="array" ref="W256">IFS(V256&gt;120, "Harvested", V256&gt;=113, "Yellow Ripening", V256&gt;=101, "Dough Stage", V256&gt;=93, "Milking Stage", V256&gt;=86, "Flowering", V256&gt;=56, "Panicle Initiation/Booting", V256&lt;56, "Vegetative/Tillering")</f>
        <v>Vegetative/Tillering</v>
      </c>
    </row>
    <row r="257" ht="15.75" hidden="1" customHeight="1">
      <c r="A257" s="3">
        <v>256.0</v>
      </c>
      <c r="B257" s="3" t="s">
        <v>23</v>
      </c>
      <c r="C257" s="3" t="s">
        <v>68</v>
      </c>
      <c r="D257" s="3" t="s">
        <v>289</v>
      </c>
      <c r="E257" s="3" t="s">
        <v>290</v>
      </c>
      <c r="F257" s="3">
        <v>1760040.0</v>
      </c>
      <c r="G257" s="4">
        <v>46029.0</v>
      </c>
      <c r="H257" s="4">
        <v>46131.0</v>
      </c>
      <c r="I257" s="3" t="s">
        <v>929</v>
      </c>
      <c r="J257" s="3" t="s">
        <v>930</v>
      </c>
      <c r="K257" s="3" t="s">
        <v>628</v>
      </c>
      <c r="L257" s="3">
        <v>0.5973</v>
      </c>
      <c r="M257" s="3">
        <v>14932.5</v>
      </c>
      <c r="N257" s="3">
        <v>2.0</v>
      </c>
      <c r="O257" s="3">
        <v>222062.0</v>
      </c>
      <c r="P257" s="3" t="s">
        <v>931</v>
      </c>
      <c r="Q257" s="3">
        <v>1326145.0</v>
      </c>
      <c r="R257" s="3"/>
      <c r="S257" s="3">
        <v>10452.75</v>
      </c>
      <c r="T257" s="3" t="s">
        <v>31</v>
      </c>
      <c r="U257" s="3">
        <v>10452.75</v>
      </c>
      <c r="V257" s="5">
        <f>(DATE(2026,2,3)-'RICE_Insured Farms_with PPI Pol'!$G257)+IF('RICE_Insured Farms_with PPI Pol'!$H257&lt;&gt;'RICE_Insured Farms_with PPI Pol'!$G257,18,0)</f>
        <v>45</v>
      </c>
      <c r="W257" s="3" t="str">
        <f t="array" ref="W257">IFS(V257&gt;120, "Harvested", V257&gt;=113, "Yellow Ripening", V257&gt;=101, "Dough Stage", V257&gt;=93, "Milking Stage", V257&gt;=86, "Flowering", V257&gt;=56, "Panicle Initiation/Booting", V257&lt;56, "Vegetative/Tillering")</f>
        <v>Vegetative/Tillering</v>
      </c>
    </row>
    <row r="258" ht="15.75" hidden="1" customHeight="1">
      <c r="A258" s="3">
        <v>257.0</v>
      </c>
      <c r="B258" s="3" t="s">
        <v>23</v>
      </c>
      <c r="C258" s="3" t="s">
        <v>68</v>
      </c>
      <c r="D258" s="3" t="s">
        <v>289</v>
      </c>
      <c r="E258" s="3" t="s">
        <v>363</v>
      </c>
      <c r="F258" s="3">
        <v>1760059.0</v>
      </c>
      <c r="G258" s="4">
        <v>46039.0</v>
      </c>
      <c r="H258" s="4">
        <v>46141.0</v>
      </c>
      <c r="I258" s="3" t="s">
        <v>932</v>
      </c>
      <c r="J258" s="3" t="s">
        <v>933</v>
      </c>
      <c r="K258" s="3" t="s">
        <v>934</v>
      </c>
      <c r="L258" s="3">
        <v>0.3957</v>
      </c>
      <c r="M258" s="3">
        <v>9892.5</v>
      </c>
      <c r="N258" s="3">
        <v>2.0</v>
      </c>
      <c r="O258" s="3">
        <v>323018.0</v>
      </c>
      <c r="P258" s="3"/>
      <c r="Q258" s="3">
        <v>1338955.0</v>
      </c>
      <c r="R258" s="3"/>
      <c r="S258" s="3">
        <v>6924.75</v>
      </c>
      <c r="T258" s="3" t="s">
        <v>31</v>
      </c>
      <c r="U258" s="3">
        <v>6924.75</v>
      </c>
      <c r="V258" s="5">
        <f>(DATE(2026,2,3)-'RICE_Insured Farms_with PPI Pol'!$G258)+IF('RICE_Insured Farms_with PPI Pol'!$H258&lt;&gt;'RICE_Insured Farms_with PPI Pol'!$G258,18,0)</f>
        <v>35</v>
      </c>
      <c r="W258" s="3" t="str">
        <f t="array" ref="W258">IFS(V258&gt;120, "Harvested", V258&gt;=113, "Yellow Ripening", V258&gt;=101, "Dough Stage", V258&gt;=93, "Milking Stage", V258&gt;=86, "Flowering", V258&gt;=56, "Panicle Initiation/Booting", V258&lt;56, "Vegetative/Tillering")</f>
        <v>Vegetative/Tillering</v>
      </c>
    </row>
    <row r="259" ht="15.75" customHeight="1">
      <c r="A259" s="3">
        <v>258.0</v>
      </c>
      <c r="B259" s="3" t="s">
        <v>23</v>
      </c>
      <c r="C259" s="3" t="s">
        <v>68</v>
      </c>
      <c r="D259" s="3" t="s">
        <v>262</v>
      </c>
      <c r="E259" s="3" t="s">
        <v>405</v>
      </c>
      <c r="F259" s="3">
        <v>1739582.0</v>
      </c>
      <c r="G259" s="4">
        <v>46013.0</v>
      </c>
      <c r="H259" s="4">
        <v>46115.0</v>
      </c>
      <c r="I259" s="3" t="s">
        <v>935</v>
      </c>
      <c r="J259" s="3" t="s">
        <v>936</v>
      </c>
      <c r="K259" s="3" t="s">
        <v>937</v>
      </c>
      <c r="L259" s="3">
        <v>0.3568</v>
      </c>
      <c r="M259" s="3">
        <v>8920.0</v>
      </c>
      <c r="N259" s="3">
        <v>3.0</v>
      </c>
      <c r="O259" s="3">
        <v>187497.0</v>
      </c>
      <c r="P259" s="3"/>
      <c r="Q259" s="3">
        <v>1219487.0</v>
      </c>
      <c r="R259" s="3"/>
      <c r="S259" s="3">
        <v>7136.0</v>
      </c>
      <c r="T259" s="3" t="s">
        <v>37</v>
      </c>
      <c r="U259" s="3">
        <v>7136.0</v>
      </c>
      <c r="V259" s="5">
        <f>(DATE(2026,2,3)-'RICE_Insured Farms_with PPI Pol'!$G259)+IF('RICE_Insured Farms_with PPI Pol'!$H259&lt;&gt;'RICE_Insured Farms_with PPI Pol'!$G259,18,0)</f>
        <v>61</v>
      </c>
      <c r="W259" s="3" t="str">
        <f t="array" ref="W259">IFS(V259&gt;120, "Harvested", V259&gt;=113, "Yellow Ripening", V259&gt;=101, "Dough Stage", V259&gt;=93, "Milking Stage", V259&gt;=86, "Flowering", V259&gt;=56, "Panicle Initiation/Booting", V259&lt;56, "Vegetative/Tillering")</f>
        <v>Panicle Initiation/Booting</v>
      </c>
    </row>
    <row r="260" ht="15.75" customHeight="1">
      <c r="A260" s="3">
        <v>259.0</v>
      </c>
      <c r="B260" s="3" t="s">
        <v>23</v>
      </c>
      <c r="C260" s="3" t="s">
        <v>68</v>
      </c>
      <c r="D260" s="3" t="s">
        <v>262</v>
      </c>
      <c r="E260" s="3" t="s">
        <v>405</v>
      </c>
      <c r="F260" s="3">
        <v>1739582.0</v>
      </c>
      <c r="G260" s="4">
        <v>46013.0</v>
      </c>
      <c r="H260" s="4">
        <v>46115.0</v>
      </c>
      <c r="I260" s="3" t="s">
        <v>935</v>
      </c>
      <c r="J260" s="3" t="s">
        <v>936</v>
      </c>
      <c r="K260" s="3" t="s">
        <v>937</v>
      </c>
      <c r="L260" s="3">
        <v>0.6029</v>
      </c>
      <c r="M260" s="3">
        <v>15072.5</v>
      </c>
      <c r="N260" s="3">
        <v>3.0</v>
      </c>
      <c r="O260" s="3">
        <v>187497.0</v>
      </c>
      <c r="P260" s="3"/>
      <c r="Q260" s="3">
        <v>1314968.0</v>
      </c>
      <c r="R260" s="3"/>
      <c r="S260" s="3">
        <v>12058.0</v>
      </c>
      <c r="T260" s="3" t="s">
        <v>37</v>
      </c>
      <c r="U260" s="3">
        <v>12058.0</v>
      </c>
      <c r="V260" s="5">
        <f>(DATE(2026,2,3)-'RICE_Insured Farms_with PPI Pol'!$G260)+IF('RICE_Insured Farms_with PPI Pol'!$H260&lt;&gt;'RICE_Insured Farms_with PPI Pol'!$G260,18,0)</f>
        <v>61</v>
      </c>
      <c r="W260" s="3" t="str">
        <f t="array" ref="W260">IFS(V260&gt;120, "Harvested", V260&gt;=113, "Yellow Ripening", V260&gt;=101, "Dough Stage", V260&gt;=93, "Milking Stage", V260&gt;=86, "Flowering", V260&gt;=56, "Panicle Initiation/Booting", V260&lt;56, "Vegetative/Tillering")</f>
        <v>Panicle Initiation/Booting</v>
      </c>
    </row>
    <row r="261" ht="15.75" customHeight="1">
      <c r="A261" s="3">
        <v>260.0</v>
      </c>
      <c r="B261" s="3" t="s">
        <v>23</v>
      </c>
      <c r="C261" s="3" t="s">
        <v>68</v>
      </c>
      <c r="D261" s="3" t="s">
        <v>262</v>
      </c>
      <c r="E261" s="3" t="s">
        <v>405</v>
      </c>
      <c r="F261" s="3">
        <v>1739582.0</v>
      </c>
      <c r="G261" s="4">
        <v>46013.0</v>
      </c>
      <c r="H261" s="4">
        <v>46115.0</v>
      </c>
      <c r="I261" s="3" t="s">
        <v>935</v>
      </c>
      <c r="J261" s="3" t="s">
        <v>936</v>
      </c>
      <c r="K261" s="3" t="s">
        <v>937</v>
      </c>
      <c r="L261" s="3">
        <v>0.6029</v>
      </c>
      <c r="M261" s="3">
        <v>15072.5</v>
      </c>
      <c r="N261" s="3">
        <v>3.0</v>
      </c>
      <c r="O261" s="3">
        <v>187497.0</v>
      </c>
      <c r="P261" s="3"/>
      <c r="Q261" s="3">
        <v>1314968.0</v>
      </c>
      <c r="R261" s="3"/>
      <c r="S261" s="3">
        <v>12058.0</v>
      </c>
      <c r="T261" s="3" t="s">
        <v>37</v>
      </c>
      <c r="U261" s="3">
        <v>12058.0</v>
      </c>
      <c r="V261" s="5">
        <f>(DATE(2026,2,3)-'RICE_Insured Farms_with PPI Pol'!$G261)+IF('RICE_Insured Farms_with PPI Pol'!$H261&lt;&gt;'RICE_Insured Farms_with PPI Pol'!$G261,18,0)</f>
        <v>61</v>
      </c>
      <c r="W261" s="3" t="str">
        <f t="array" ref="W261">IFS(V261&gt;120, "Harvested", V261&gt;=113, "Yellow Ripening", V261&gt;=101, "Dough Stage", V261&gt;=93, "Milking Stage", V261&gt;=86, "Flowering", V261&gt;=56, "Panicle Initiation/Booting", V261&lt;56, "Vegetative/Tillering")</f>
        <v>Panicle Initiation/Booting</v>
      </c>
    </row>
    <row r="262" ht="15.75" customHeight="1">
      <c r="A262" s="3">
        <v>261.0</v>
      </c>
      <c r="B262" s="3" t="s">
        <v>23</v>
      </c>
      <c r="C262" s="3" t="s">
        <v>68</v>
      </c>
      <c r="D262" s="3" t="s">
        <v>262</v>
      </c>
      <c r="E262" s="3" t="s">
        <v>405</v>
      </c>
      <c r="F262" s="3">
        <v>1739582.0</v>
      </c>
      <c r="G262" s="4">
        <v>46013.0</v>
      </c>
      <c r="H262" s="4">
        <v>46115.0</v>
      </c>
      <c r="I262" s="3" t="s">
        <v>935</v>
      </c>
      <c r="J262" s="3" t="s">
        <v>936</v>
      </c>
      <c r="K262" s="3" t="s">
        <v>937</v>
      </c>
      <c r="L262" s="3">
        <v>0.4</v>
      </c>
      <c r="M262" s="3">
        <v>10000.0</v>
      </c>
      <c r="N262" s="3">
        <v>3.0</v>
      </c>
      <c r="O262" s="3">
        <v>187497.0</v>
      </c>
      <c r="P262" s="3"/>
      <c r="Q262" s="3">
        <v>1314970.0</v>
      </c>
      <c r="R262" s="3"/>
      <c r="S262" s="3">
        <v>8000.0</v>
      </c>
      <c r="T262" s="3" t="s">
        <v>37</v>
      </c>
      <c r="U262" s="3">
        <v>8000.0</v>
      </c>
      <c r="V262" s="5">
        <f>(DATE(2026,2,3)-'RICE_Insured Farms_with PPI Pol'!$G262)+IF('RICE_Insured Farms_with PPI Pol'!$H262&lt;&gt;'RICE_Insured Farms_with PPI Pol'!$G262,18,0)</f>
        <v>61</v>
      </c>
      <c r="W262" s="3" t="str">
        <f t="array" ref="W262">IFS(V262&gt;120, "Harvested", V262&gt;=113, "Yellow Ripening", V262&gt;=101, "Dough Stage", V262&gt;=93, "Milking Stage", V262&gt;=86, "Flowering", V262&gt;=56, "Panicle Initiation/Booting", V262&lt;56, "Vegetative/Tillering")</f>
        <v>Panicle Initiation/Booting</v>
      </c>
    </row>
    <row r="263" ht="15.75" customHeight="1">
      <c r="A263" s="3">
        <v>262.0</v>
      </c>
      <c r="B263" s="3" t="s">
        <v>23</v>
      </c>
      <c r="C263" s="3" t="s">
        <v>68</v>
      </c>
      <c r="D263" s="3" t="s">
        <v>262</v>
      </c>
      <c r="E263" s="3" t="s">
        <v>273</v>
      </c>
      <c r="F263" s="3">
        <v>1739585.0</v>
      </c>
      <c r="G263" s="4">
        <v>46015.0</v>
      </c>
      <c r="H263" s="4">
        <v>46117.0</v>
      </c>
      <c r="I263" s="3" t="s">
        <v>938</v>
      </c>
      <c r="J263" s="3" t="s">
        <v>939</v>
      </c>
      <c r="K263" s="3" t="s">
        <v>161</v>
      </c>
      <c r="L263" s="3">
        <v>0.6512</v>
      </c>
      <c r="M263" s="3">
        <v>16280.0</v>
      </c>
      <c r="N263" s="3">
        <v>3.0</v>
      </c>
      <c r="O263" s="3">
        <v>151433.0</v>
      </c>
      <c r="P263" s="3" t="s">
        <v>940</v>
      </c>
      <c r="Q263" s="3">
        <v>1277248.0</v>
      </c>
      <c r="R263" s="3"/>
      <c r="S263" s="3">
        <v>13024.0</v>
      </c>
      <c r="T263" s="3" t="s">
        <v>37</v>
      </c>
      <c r="U263" s="3">
        <v>13024.0</v>
      </c>
      <c r="V263" s="5">
        <f>(DATE(2026,2,3)-'RICE_Insured Farms_with PPI Pol'!$G263)+IF('RICE_Insured Farms_with PPI Pol'!$H263&lt;&gt;'RICE_Insured Farms_with PPI Pol'!$G263,18,0)</f>
        <v>59</v>
      </c>
      <c r="W263" s="3" t="str">
        <f t="array" ref="W263">IFS(V263&gt;120, "Harvested", V263&gt;=113, "Yellow Ripening", V263&gt;=101, "Dough Stage", V263&gt;=93, "Milking Stage", V263&gt;=86, "Flowering", V263&gt;=56, "Panicle Initiation/Booting", V263&lt;56, "Vegetative/Tillering")</f>
        <v>Panicle Initiation/Booting</v>
      </c>
    </row>
    <row r="264" ht="15.75" hidden="1" customHeight="1">
      <c r="A264" s="3">
        <v>263.0</v>
      </c>
      <c r="B264" s="3" t="s">
        <v>23</v>
      </c>
      <c r="C264" s="3" t="s">
        <v>68</v>
      </c>
      <c r="D264" s="3" t="s">
        <v>289</v>
      </c>
      <c r="E264" s="3" t="s">
        <v>352</v>
      </c>
      <c r="F264" s="3">
        <v>1760050.0</v>
      </c>
      <c r="G264" s="4">
        <v>46035.0</v>
      </c>
      <c r="H264" s="4">
        <v>46137.0</v>
      </c>
      <c r="I264" s="3" t="s">
        <v>941</v>
      </c>
      <c r="J264" s="3" t="s">
        <v>753</v>
      </c>
      <c r="K264" s="3" t="s">
        <v>688</v>
      </c>
      <c r="L264" s="3">
        <v>0.5032</v>
      </c>
      <c r="M264" s="3">
        <v>12580.0</v>
      </c>
      <c r="N264" s="3">
        <v>2.0</v>
      </c>
      <c r="O264" s="3">
        <v>195604.0</v>
      </c>
      <c r="P264" s="3" t="s">
        <v>942</v>
      </c>
      <c r="Q264" s="3">
        <v>1331678.0</v>
      </c>
      <c r="R264" s="3"/>
      <c r="S264" s="3">
        <v>8806.0</v>
      </c>
      <c r="T264" s="3" t="s">
        <v>31</v>
      </c>
      <c r="U264" s="3">
        <v>8806.0</v>
      </c>
      <c r="V264" s="5">
        <f>(DATE(2026,2,3)-'RICE_Insured Farms_with PPI Pol'!$G264)+IF('RICE_Insured Farms_with PPI Pol'!$H264&lt;&gt;'RICE_Insured Farms_with PPI Pol'!$G264,18,0)</f>
        <v>39</v>
      </c>
      <c r="W264" s="3" t="str">
        <f t="array" ref="W264">IFS(V264&gt;120, "Harvested", V264&gt;=113, "Yellow Ripening", V264&gt;=101, "Dough Stage", V264&gt;=93, "Milking Stage", V264&gt;=86, "Flowering", V264&gt;=56, "Panicle Initiation/Booting", V264&lt;56, "Vegetative/Tillering")</f>
        <v>Vegetative/Tillering</v>
      </c>
    </row>
    <row r="265" ht="15.75" hidden="1" customHeight="1">
      <c r="A265" s="3">
        <v>264.0</v>
      </c>
      <c r="B265" s="3" t="s">
        <v>23</v>
      </c>
      <c r="C265" s="3" t="s">
        <v>68</v>
      </c>
      <c r="D265" s="3" t="s">
        <v>289</v>
      </c>
      <c r="E265" s="3" t="s">
        <v>352</v>
      </c>
      <c r="F265" s="3">
        <v>1760053.0</v>
      </c>
      <c r="G265" s="4">
        <v>46029.0</v>
      </c>
      <c r="H265" s="4">
        <v>46131.0</v>
      </c>
      <c r="I265" s="3" t="s">
        <v>943</v>
      </c>
      <c r="J265" s="3" t="s">
        <v>944</v>
      </c>
      <c r="K265" s="3" t="s">
        <v>834</v>
      </c>
      <c r="L265" s="3">
        <v>0.3615</v>
      </c>
      <c r="M265" s="3">
        <v>9037.5</v>
      </c>
      <c r="N265" s="3">
        <v>2.0</v>
      </c>
      <c r="O265" s="3">
        <v>480219.0</v>
      </c>
      <c r="P265" s="3"/>
      <c r="Q265" s="3">
        <v>1285622.0</v>
      </c>
      <c r="R265" s="3"/>
      <c r="S265" s="3">
        <v>6326.25</v>
      </c>
      <c r="T265" s="3" t="s">
        <v>31</v>
      </c>
      <c r="U265" s="3">
        <v>6326.25</v>
      </c>
      <c r="V265" s="5">
        <f>(DATE(2026,2,3)-'RICE_Insured Farms_with PPI Pol'!$G265)+IF('RICE_Insured Farms_with PPI Pol'!$H265&lt;&gt;'RICE_Insured Farms_with PPI Pol'!$G265,18,0)</f>
        <v>45</v>
      </c>
      <c r="W265" s="3" t="str">
        <f t="array" ref="W265">IFS(V265&gt;120, "Harvested", V265&gt;=113, "Yellow Ripening", V265&gt;=101, "Dough Stage", V265&gt;=93, "Milking Stage", V265&gt;=86, "Flowering", V265&gt;=56, "Panicle Initiation/Booting", V265&lt;56, "Vegetative/Tillering")</f>
        <v>Vegetative/Tillering</v>
      </c>
    </row>
    <row r="266" ht="15.75" hidden="1" customHeight="1">
      <c r="A266" s="3">
        <v>418.0</v>
      </c>
      <c r="B266" s="3" t="s">
        <v>23</v>
      </c>
      <c r="C266" s="3" t="s">
        <v>24</v>
      </c>
      <c r="D266" s="3" t="s">
        <v>25</v>
      </c>
      <c r="E266" s="3" t="s">
        <v>781</v>
      </c>
      <c r="F266" s="3">
        <v>1760497.0</v>
      </c>
      <c r="G266" s="4">
        <v>46014.0</v>
      </c>
      <c r="H266" s="4">
        <v>46110.0</v>
      </c>
      <c r="I266" s="3" t="s">
        <v>945</v>
      </c>
      <c r="J266" s="3" t="s">
        <v>234</v>
      </c>
      <c r="K266" s="3" t="s">
        <v>946</v>
      </c>
      <c r="L266" s="3">
        <v>1.2494</v>
      </c>
      <c r="M266" s="3">
        <v>31235.0</v>
      </c>
      <c r="N266" s="3">
        <v>4.0</v>
      </c>
      <c r="O266" s="3">
        <v>98353.0</v>
      </c>
      <c r="P266" s="3" t="s">
        <v>947</v>
      </c>
      <c r="Q266" s="3">
        <v>602926.0</v>
      </c>
      <c r="R266" s="3"/>
      <c r="S266" s="3">
        <v>24988.0</v>
      </c>
      <c r="T266" s="3" t="s">
        <v>56</v>
      </c>
      <c r="U266" s="3">
        <v>24988.0</v>
      </c>
      <c r="V266" s="5">
        <f>(DATE(2026,2,3)-'RICE_Insured Farms_with PPI Pol'!$G266)+IF('RICE_Insured Farms_with PPI Pol'!$H266&lt;&gt;'RICE_Insured Farms_with PPI Pol'!$G266,18,0)</f>
        <v>60</v>
      </c>
      <c r="W266" s="3" t="str">
        <f t="array" ref="W266">IFS(V266&gt;120, "Harvested", V266&gt;=113, "Yellow Ripening", V266&gt;=101, "Dough Stage", V266&gt;=93, "Milking Stage", V266&gt;=86, "Flowering", V266&gt;=56, "Panicle Initiation/Booting", V266&lt;56, "Vegetative/Tillering")</f>
        <v>Panicle Initiation/Booting</v>
      </c>
    </row>
    <row r="267" ht="15.75" hidden="1" customHeight="1">
      <c r="A267" s="3">
        <v>266.0</v>
      </c>
      <c r="B267" s="3" t="s">
        <v>23</v>
      </c>
      <c r="C267" s="3" t="s">
        <v>68</v>
      </c>
      <c r="D267" s="3" t="s">
        <v>420</v>
      </c>
      <c r="E267" s="3" t="s">
        <v>689</v>
      </c>
      <c r="F267" s="3">
        <v>1197000.0</v>
      </c>
      <c r="G267" s="4">
        <v>46026.0</v>
      </c>
      <c r="H267" s="4">
        <v>46128.0</v>
      </c>
      <c r="I267" s="3" t="s">
        <v>948</v>
      </c>
      <c r="J267" s="3" t="s">
        <v>949</v>
      </c>
      <c r="K267" s="3" t="s">
        <v>950</v>
      </c>
      <c r="L267" s="3">
        <v>0.2185</v>
      </c>
      <c r="M267" s="3">
        <v>5462.5</v>
      </c>
      <c r="N267" s="3">
        <v>2.0</v>
      </c>
      <c r="O267" s="3">
        <v>296209.0</v>
      </c>
      <c r="P267" s="3" t="s">
        <v>951</v>
      </c>
      <c r="Q267" s="3">
        <v>1327675.0</v>
      </c>
      <c r="R267" s="3"/>
      <c r="S267" s="3">
        <v>3823.75</v>
      </c>
      <c r="T267" s="3" t="s">
        <v>31</v>
      </c>
      <c r="U267" s="3">
        <v>3823.75</v>
      </c>
      <c r="V267" s="5">
        <f>(DATE(2026,2,3)-'RICE_Insured Farms_with PPI Pol'!$G267)+IF('RICE_Insured Farms_with PPI Pol'!$H267&lt;&gt;'RICE_Insured Farms_with PPI Pol'!$G267,18,0)</f>
        <v>48</v>
      </c>
      <c r="W267" s="3" t="str">
        <f t="array" ref="W267">IFS(V267&gt;120, "Harvested", V267&gt;=113, "Yellow Ripening", V267&gt;=101, "Dough Stage", V267&gt;=93, "Milking Stage", V267&gt;=86, "Flowering", V267&gt;=56, "Panicle Initiation/Booting", V267&lt;56, "Vegetative/Tillering")</f>
        <v>Vegetative/Tillering</v>
      </c>
    </row>
    <row r="268" ht="15.75" hidden="1" customHeight="1">
      <c r="A268" s="3">
        <v>267.0</v>
      </c>
      <c r="B268" s="3" t="s">
        <v>23</v>
      </c>
      <c r="C268" s="3" t="s">
        <v>68</v>
      </c>
      <c r="D268" s="3" t="s">
        <v>420</v>
      </c>
      <c r="E268" s="3" t="s">
        <v>689</v>
      </c>
      <c r="F268" s="3">
        <v>1197000.0</v>
      </c>
      <c r="G268" s="4">
        <v>46027.0</v>
      </c>
      <c r="H268" s="4">
        <v>46129.0</v>
      </c>
      <c r="I268" s="3" t="s">
        <v>948</v>
      </c>
      <c r="J268" s="3" t="s">
        <v>952</v>
      </c>
      <c r="K268" s="3" t="s">
        <v>600</v>
      </c>
      <c r="L268" s="3">
        <v>0.1275</v>
      </c>
      <c r="M268" s="3">
        <v>3187.5</v>
      </c>
      <c r="N268" s="3">
        <v>2.0</v>
      </c>
      <c r="O268" s="3">
        <v>455801.0</v>
      </c>
      <c r="P268" s="3" t="s">
        <v>953</v>
      </c>
      <c r="Q268" s="3">
        <v>1327680.0</v>
      </c>
      <c r="R268" s="3"/>
      <c r="S268" s="3">
        <v>2231.25</v>
      </c>
      <c r="T268" s="3" t="s">
        <v>31</v>
      </c>
      <c r="U268" s="3">
        <v>2231.25</v>
      </c>
      <c r="V268" s="5">
        <f>(DATE(2026,2,3)-'RICE_Insured Farms_with PPI Pol'!$G268)+IF('RICE_Insured Farms_with PPI Pol'!$H268&lt;&gt;'RICE_Insured Farms_with PPI Pol'!$G268,18,0)</f>
        <v>47</v>
      </c>
      <c r="W268" s="3" t="str">
        <f t="array" ref="W268">IFS(V268&gt;120, "Harvested", V268&gt;=113, "Yellow Ripening", V268&gt;=101, "Dough Stage", V268&gt;=93, "Milking Stage", V268&gt;=86, "Flowering", V268&gt;=56, "Panicle Initiation/Booting", V268&lt;56, "Vegetative/Tillering")</f>
        <v>Vegetative/Tillering</v>
      </c>
    </row>
    <row r="269" ht="15.75" hidden="1" customHeight="1">
      <c r="A269" s="3">
        <v>268.0</v>
      </c>
      <c r="B269" s="3" t="s">
        <v>23</v>
      </c>
      <c r="C269" s="3" t="s">
        <v>68</v>
      </c>
      <c r="D269" s="3" t="s">
        <v>262</v>
      </c>
      <c r="E269" s="3" t="s">
        <v>273</v>
      </c>
      <c r="F269" s="3">
        <v>1739585.0</v>
      </c>
      <c r="G269" s="4">
        <v>46025.0</v>
      </c>
      <c r="H269" s="4">
        <v>46127.0</v>
      </c>
      <c r="I269" s="3" t="s">
        <v>954</v>
      </c>
      <c r="J269" s="3" t="s">
        <v>955</v>
      </c>
      <c r="K269" s="3" t="s">
        <v>794</v>
      </c>
      <c r="L269" s="3">
        <v>0.1979</v>
      </c>
      <c r="M269" s="3">
        <v>4947.5</v>
      </c>
      <c r="N269" s="3">
        <v>2.0</v>
      </c>
      <c r="O269" s="3">
        <v>72305.0</v>
      </c>
      <c r="P269" s="3" t="s">
        <v>956</v>
      </c>
      <c r="Q269" s="3">
        <v>1279962.0</v>
      </c>
      <c r="R269" s="3"/>
      <c r="S269" s="3">
        <v>3463.25</v>
      </c>
      <c r="T269" s="3" t="s">
        <v>31</v>
      </c>
      <c r="U269" s="3">
        <v>3463.25</v>
      </c>
      <c r="V269" s="5">
        <f>(DATE(2026,2,3)-'RICE_Insured Farms_with PPI Pol'!$G269)+IF('RICE_Insured Farms_with PPI Pol'!$H269&lt;&gt;'RICE_Insured Farms_with PPI Pol'!$G269,18,0)</f>
        <v>49</v>
      </c>
      <c r="W269" s="3" t="str">
        <f t="array" ref="W269">IFS(V269&gt;120, "Harvested", V269&gt;=113, "Yellow Ripening", V269&gt;=101, "Dough Stage", V269&gt;=93, "Milking Stage", V269&gt;=86, "Flowering", V269&gt;=56, "Panicle Initiation/Booting", V269&lt;56, "Vegetative/Tillering")</f>
        <v>Vegetative/Tillering</v>
      </c>
    </row>
    <row r="270" ht="15.75" customHeight="1">
      <c r="A270" s="3">
        <v>269.0</v>
      </c>
      <c r="B270" s="3" t="s">
        <v>23</v>
      </c>
      <c r="C270" s="3" t="s">
        <v>68</v>
      </c>
      <c r="D270" s="3" t="s">
        <v>289</v>
      </c>
      <c r="E270" s="3" t="s">
        <v>507</v>
      </c>
      <c r="F270" s="3">
        <v>1760031.0</v>
      </c>
      <c r="G270" s="4">
        <v>46022.0</v>
      </c>
      <c r="H270" s="4">
        <v>46124.0</v>
      </c>
      <c r="I270" s="3" t="s">
        <v>957</v>
      </c>
      <c r="J270" s="3" t="s">
        <v>958</v>
      </c>
      <c r="K270" s="3" t="s">
        <v>622</v>
      </c>
      <c r="L270" s="3">
        <v>0.8009</v>
      </c>
      <c r="M270" s="3">
        <v>20022.5</v>
      </c>
      <c r="N270" s="3">
        <v>3.0</v>
      </c>
      <c r="O270" s="3">
        <v>490523.0</v>
      </c>
      <c r="P270" s="3"/>
      <c r="Q270" s="3">
        <v>1200513.0</v>
      </c>
      <c r="R270" s="3"/>
      <c r="S270" s="3">
        <v>16018.0</v>
      </c>
      <c r="T270" s="3" t="s">
        <v>37</v>
      </c>
      <c r="U270" s="3">
        <v>16018.0</v>
      </c>
      <c r="V270" s="5">
        <f>(DATE(2026,2,3)-'RICE_Insured Farms_with PPI Pol'!$G270)+IF('RICE_Insured Farms_with PPI Pol'!$H270&lt;&gt;'RICE_Insured Farms_with PPI Pol'!$G270,18,0)</f>
        <v>52</v>
      </c>
      <c r="W270" s="3" t="str">
        <f t="array" ref="W270">IFS(V270&gt;120, "Harvested", V270&gt;=113, "Yellow Ripening", V270&gt;=101, "Dough Stage", V270&gt;=93, "Milking Stage", V270&gt;=86, "Flowering", V270&gt;=56, "Panicle Initiation/Booting", V270&lt;56, "Vegetative/Tillering")</f>
        <v>Vegetative/Tillering</v>
      </c>
    </row>
    <row r="271" ht="15.75" hidden="1" customHeight="1">
      <c r="A271" s="3">
        <v>270.0</v>
      </c>
      <c r="B271" s="3" t="s">
        <v>23</v>
      </c>
      <c r="C271" s="3" t="s">
        <v>121</v>
      </c>
      <c r="D271" s="3" t="s">
        <v>122</v>
      </c>
      <c r="E271" s="3" t="s">
        <v>655</v>
      </c>
      <c r="F271" s="3">
        <v>1760509.0</v>
      </c>
      <c r="G271" s="4">
        <v>46011.0</v>
      </c>
      <c r="H271" s="4">
        <v>46131.0</v>
      </c>
      <c r="I271" s="3" t="s">
        <v>959</v>
      </c>
      <c r="J271" s="3" t="s">
        <v>960</v>
      </c>
      <c r="K271" s="3" t="s">
        <v>961</v>
      </c>
      <c r="L271" s="3">
        <v>3.0</v>
      </c>
      <c r="M271" s="3">
        <v>75000.0</v>
      </c>
      <c r="N271" s="3">
        <v>2.0</v>
      </c>
      <c r="O271" s="3">
        <v>53905.0</v>
      </c>
      <c r="P271" s="3" t="s">
        <v>962</v>
      </c>
      <c r="Q271" s="3">
        <v>1335612.0</v>
      </c>
      <c r="R271" s="3"/>
      <c r="S271" s="3">
        <v>52500.0</v>
      </c>
      <c r="T271" s="3" t="s">
        <v>31</v>
      </c>
      <c r="U271" s="3">
        <v>52500.0</v>
      </c>
      <c r="V271" s="5">
        <f>(DATE(2026,2,3)-'RICE_Insured Farms_with PPI Pol'!$G271)+IF('RICE_Insured Farms_with PPI Pol'!$H271&lt;&gt;'RICE_Insured Farms_with PPI Pol'!$G271,18,0)</f>
        <v>63</v>
      </c>
      <c r="W271" s="3" t="str">
        <f t="array" ref="W271">IFS(V271&gt;120, "Harvested", V271&gt;=113, "Yellow Ripening", V271&gt;=101, "Dough Stage", V271&gt;=93, "Milking Stage", V271&gt;=86, "Flowering", V271&gt;=56, "Panicle Initiation/Booting", V271&lt;56, "Vegetative/Tillering")</f>
        <v>Panicle Initiation/Booting</v>
      </c>
    </row>
    <row r="272" ht="15.75" hidden="1" customHeight="1">
      <c r="A272" s="3">
        <v>271.0</v>
      </c>
      <c r="B272" s="3" t="s">
        <v>23</v>
      </c>
      <c r="C272" s="3" t="s">
        <v>68</v>
      </c>
      <c r="D272" s="3" t="s">
        <v>420</v>
      </c>
      <c r="E272" s="3" t="s">
        <v>421</v>
      </c>
      <c r="F272" s="3">
        <v>1197001.0</v>
      </c>
      <c r="G272" s="4">
        <v>46042.0</v>
      </c>
      <c r="H272" s="4">
        <v>46144.0</v>
      </c>
      <c r="I272" s="3" t="s">
        <v>963</v>
      </c>
      <c r="J272" s="3" t="s">
        <v>964</v>
      </c>
      <c r="K272" s="3" t="s">
        <v>965</v>
      </c>
      <c r="L272" s="3">
        <v>0.4793</v>
      </c>
      <c r="M272" s="3">
        <v>11982.5</v>
      </c>
      <c r="N272" s="3">
        <v>2.0</v>
      </c>
      <c r="O272" s="3">
        <v>510729.0</v>
      </c>
      <c r="P272" s="3"/>
      <c r="Q272" s="3">
        <v>1337911.0</v>
      </c>
      <c r="R272" s="3"/>
      <c r="S272" s="3">
        <v>8387.75</v>
      </c>
      <c r="T272" s="3" t="s">
        <v>31</v>
      </c>
      <c r="U272" s="3">
        <v>8387.75</v>
      </c>
      <c r="V272" s="5">
        <f>(DATE(2026,2,3)-'RICE_Insured Farms_with PPI Pol'!$G272)+IF('RICE_Insured Farms_with PPI Pol'!$H272&lt;&gt;'RICE_Insured Farms_with PPI Pol'!$G272,18,0)</f>
        <v>32</v>
      </c>
      <c r="W272" s="3" t="str">
        <f t="array" ref="W272">IFS(V272&gt;120, "Harvested", V272&gt;=113, "Yellow Ripening", V272&gt;=101, "Dough Stage", V272&gt;=93, "Milking Stage", V272&gt;=86, "Flowering", V272&gt;=56, "Panicle Initiation/Booting", V272&lt;56, "Vegetative/Tillering")</f>
        <v>Vegetative/Tillering</v>
      </c>
    </row>
    <row r="273" ht="15.75" hidden="1" customHeight="1">
      <c r="A273" s="3">
        <v>272.0</v>
      </c>
      <c r="B273" s="3" t="s">
        <v>23</v>
      </c>
      <c r="C273" s="3" t="s">
        <v>68</v>
      </c>
      <c r="D273" s="3" t="s">
        <v>289</v>
      </c>
      <c r="E273" s="3" t="s">
        <v>786</v>
      </c>
      <c r="F273" s="3">
        <v>1760044.0</v>
      </c>
      <c r="G273" s="4">
        <v>46027.0</v>
      </c>
      <c r="H273" s="4">
        <v>46129.0</v>
      </c>
      <c r="I273" s="3" t="s">
        <v>805</v>
      </c>
      <c r="J273" s="3" t="s">
        <v>966</v>
      </c>
      <c r="K273" s="3" t="s">
        <v>147</v>
      </c>
      <c r="L273" s="3">
        <v>0.648</v>
      </c>
      <c r="M273" s="3">
        <v>16200.0</v>
      </c>
      <c r="N273" s="3">
        <v>2.0</v>
      </c>
      <c r="O273" s="3">
        <v>532066.0</v>
      </c>
      <c r="P273" s="3"/>
      <c r="Q273" s="3">
        <v>1335794.0</v>
      </c>
      <c r="R273" s="3"/>
      <c r="S273" s="3">
        <v>11340.0</v>
      </c>
      <c r="T273" s="3" t="s">
        <v>31</v>
      </c>
      <c r="U273" s="3">
        <v>11340.0</v>
      </c>
      <c r="V273" s="5">
        <f>(DATE(2026,2,3)-'RICE_Insured Farms_with PPI Pol'!$G273)+IF('RICE_Insured Farms_with PPI Pol'!$H273&lt;&gt;'RICE_Insured Farms_with PPI Pol'!$G273,18,0)</f>
        <v>47</v>
      </c>
      <c r="W273" s="3" t="str">
        <f t="array" ref="W273">IFS(V273&gt;120, "Harvested", V273&gt;=113, "Yellow Ripening", V273&gt;=101, "Dough Stage", V273&gt;=93, "Milking Stage", V273&gt;=86, "Flowering", V273&gt;=56, "Panicle Initiation/Booting", V273&lt;56, "Vegetative/Tillering")</f>
        <v>Vegetative/Tillering</v>
      </c>
    </row>
    <row r="274" ht="15.75" hidden="1" customHeight="1">
      <c r="A274" s="3">
        <v>273.0</v>
      </c>
      <c r="B274" s="3" t="s">
        <v>23</v>
      </c>
      <c r="C274" s="3" t="s">
        <v>68</v>
      </c>
      <c r="D274" s="3" t="s">
        <v>262</v>
      </c>
      <c r="E274" s="3" t="s">
        <v>273</v>
      </c>
      <c r="F274" s="3">
        <v>1739593.0</v>
      </c>
      <c r="G274" s="4">
        <v>46031.0</v>
      </c>
      <c r="H274" s="4">
        <v>46133.0</v>
      </c>
      <c r="I274" s="3" t="s">
        <v>494</v>
      </c>
      <c r="J274" s="3" t="s">
        <v>967</v>
      </c>
      <c r="K274" s="3" t="s">
        <v>968</v>
      </c>
      <c r="L274" s="3">
        <v>1.0587</v>
      </c>
      <c r="M274" s="3">
        <v>26467.5</v>
      </c>
      <c r="N274" s="3">
        <v>2.0</v>
      </c>
      <c r="O274" s="3">
        <v>187504.0</v>
      </c>
      <c r="P274" s="3" t="s">
        <v>969</v>
      </c>
      <c r="Q274" s="3">
        <v>1342006.0</v>
      </c>
      <c r="R274" s="3"/>
      <c r="S274" s="3">
        <v>18527.25</v>
      </c>
      <c r="T274" s="3" t="s">
        <v>31</v>
      </c>
      <c r="U274" s="3">
        <v>18527.25</v>
      </c>
      <c r="V274" s="5">
        <f>(DATE(2026,2,3)-'RICE_Insured Farms_with PPI Pol'!$G274)+IF('RICE_Insured Farms_with PPI Pol'!$H274&lt;&gt;'RICE_Insured Farms_with PPI Pol'!$G274,18,0)</f>
        <v>43</v>
      </c>
      <c r="W274" s="3" t="str">
        <f t="array" ref="W274">IFS(V274&gt;120, "Harvested", V274&gt;=113, "Yellow Ripening", V274&gt;=101, "Dough Stage", V274&gt;=93, "Milking Stage", V274&gt;=86, "Flowering", V274&gt;=56, "Panicle Initiation/Booting", V274&lt;56, "Vegetative/Tillering")</f>
        <v>Vegetative/Tillering</v>
      </c>
    </row>
    <row r="275" ht="15.75" hidden="1" customHeight="1">
      <c r="A275" s="3">
        <v>274.0</v>
      </c>
      <c r="B275" s="3" t="s">
        <v>23</v>
      </c>
      <c r="C275" s="3" t="s">
        <v>68</v>
      </c>
      <c r="D275" s="3" t="s">
        <v>769</v>
      </c>
      <c r="E275" s="3" t="s">
        <v>770</v>
      </c>
      <c r="F275" s="3">
        <v>1742303.0</v>
      </c>
      <c r="G275" s="4">
        <v>46027.0</v>
      </c>
      <c r="H275" s="4">
        <v>46129.0</v>
      </c>
      <c r="I275" s="3" t="s">
        <v>970</v>
      </c>
      <c r="J275" s="3" t="s">
        <v>971</v>
      </c>
      <c r="K275" s="3" t="s">
        <v>972</v>
      </c>
      <c r="L275" s="3">
        <v>0.413</v>
      </c>
      <c r="M275" s="3">
        <v>10325.0</v>
      </c>
      <c r="N275" s="3">
        <v>2.0</v>
      </c>
      <c r="O275" s="3">
        <v>9341.0</v>
      </c>
      <c r="P275" s="3" t="s">
        <v>973</v>
      </c>
      <c r="Q275" s="3">
        <v>991426.0</v>
      </c>
      <c r="R275" s="3"/>
      <c r="S275" s="3">
        <v>7227.5</v>
      </c>
      <c r="T275" s="3" t="s">
        <v>31</v>
      </c>
      <c r="U275" s="3">
        <v>7227.5</v>
      </c>
      <c r="V275" s="5">
        <f>(DATE(2026,2,3)-'RICE_Insured Farms_with PPI Pol'!$G275)+IF('RICE_Insured Farms_with PPI Pol'!$H275&lt;&gt;'RICE_Insured Farms_with PPI Pol'!$G275,18,0)</f>
        <v>47</v>
      </c>
      <c r="W275" s="3" t="str">
        <f t="array" ref="W275">IFS(V275&gt;120, "Harvested", V275&gt;=113, "Yellow Ripening", V275&gt;=101, "Dough Stage", V275&gt;=93, "Milking Stage", V275&gt;=86, "Flowering", V275&gt;=56, "Panicle Initiation/Booting", V275&lt;56, "Vegetative/Tillering")</f>
        <v>Vegetative/Tillering</v>
      </c>
    </row>
    <row r="276" ht="15.75" hidden="1" customHeight="1">
      <c r="A276" s="3">
        <v>275.0</v>
      </c>
      <c r="B276" s="3" t="s">
        <v>23</v>
      </c>
      <c r="C276" s="3" t="s">
        <v>68</v>
      </c>
      <c r="D276" s="3" t="s">
        <v>289</v>
      </c>
      <c r="E276" s="3" t="s">
        <v>786</v>
      </c>
      <c r="F276" s="3">
        <v>1760044.0</v>
      </c>
      <c r="G276" s="4">
        <v>46030.0</v>
      </c>
      <c r="H276" s="4">
        <v>46132.0</v>
      </c>
      <c r="I276" s="3" t="s">
        <v>974</v>
      </c>
      <c r="J276" s="3" t="s">
        <v>249</v>
      </c>
      <c r="K276" s="3" t="s">
        <v>803</v>
      </c>
      <c r="L276" s="3">
        <v>0.7667</v>
      </c>
      <c r="M276" s="3">
        <v>19167.5</v>
      </c>
      <c r="N276" s="3">
        <v>2.0</v>
      </c>
      <c r="O276" s="3">
        <v>512021.0</v>
      </c>
      <c r="P276" s="3" t="s">
        <v>975</v>
      </c>
      <c r="Q276" s="3">
        <v>1335801.0</v>
      </c>
      <c r="R276" s="3"/>
      <c r="S276" s="3">
        <v>13417.25</v>
      </c>
      <c r="T276" s="3" t="s">
        <v>31</v>
      </c>
      <c r="U276" s="3">
        <v>13417.25</v>
      </c>
      <c r="V276" s="5">
        <f>(DATE(2026,2,3)-'RICE_Insured Farms_with PPI Pol'!$G276)+IF('RICE_Insured Farms_with PPI Pol'!$H276&lt;&gt;'RICE_Insured Farms_with PPI Pol'!$G276,18,0)</f>
        <v>44</v>
      </c>
      <c r="W276" s="3" t="str">
        <f t="array" ref="W276">IFS(V276&gt;120, "Harvested", V276&gt;=113, "Yellow Ripening", V276&gt;=101, "Dough Stage", V276&gt;=93, "Milking Stage", V276&gt;=86, "Flowering", V276&gt;=56, "Panicle Initiation/Booting", V276&lt;56, "Vegetative/Tillering")</f>
        <v>Vegetative/Tillering</v>
      </c>
    </row>
    <row r="277" ht="15.75" hidden="1" customHeight="1">
      <c r="A277" s="3">
        <v>276.0</v>
      </c>
      <c r="B277" s="3" t="s">
        <v>23</v>
      </c>
      <c r="C277" s="3" t="s">
        <v>121</v>
      </c>
      <c r="D277" s="3" t="s">
        <v>122</v>
      </c>
      <c r="E277" s="3" t="s">
        <v>655</v>
      </c>
      <c r="F277" s="3">
        <v>1760509.0</v>
      </c>
      <c r="G277" s="4">
        <v>46034.0</v>
      </c>
      <c r="H277" s="4">
        <v>46129.0</v>
      </c>
      <c r="I277" s="3" t="s">
        <v>976</v>
      </c>
      <c r="J277" s="3" t="s">
        <v>977</v>
      </c>
      <c r="K277" s="3" t="s">
        <v>978</v>
      </c>
      <c r="L277" s="3">
        <v>1.6792</v>
      </c>
      <c r="M277" s="3">
        <v>41980.0</v>
      </c>
      <c r="N277" s="3">
        <v>2.0</v>
      </c>
      <c r="O277" s="3">
        <v>309504.0</v>
      </c>
      <c r="P277" s="3" t="s">
        <v>979</v>
      </c>
      <c r="Q277" s="3">
        <v>1335729.0</v>
      </c>
      <c r="R277" s="3"/>
      <c r="S277" s="3">
        <v>29386.0</v>
      </c>
      <c r="T277" s="3" t="s">
        <v>31</v>
      </c>
      <c r="U277" s="3">
        <v>29386.0</v>
      </c>
      <c r="V277" s="5">
        <f>(DATE(2026,2,3)-'RICE_Insured Farms_with PPI Pol'!$G277)+IF('RICE_Insured Farms_with PPI Pol'!$H277&lt;&gt;'RICE_Insured Farms_with PPI Pol'!$G277,18,0)</f>
        <v>40</v>
      </c>
      <c r="W277" s="3" t="str">
        <f t="array" ref="W277">IFS(V277&gt;120, "Harvested", V277&gt;=113, "Yellow Ripening", V277&gt;=101, "Dough Stage", V277&gt;=93, "Milking Stage", V277&gt;=86, "Flowering", V277&gt;=56, "Panicle Initiation/Booting", V277&lt;56, "Vegetative/Tillering")</f>
        <v>Vegetative/Tillering</v>
      </c>
    </row>
    <row r="278" ht="15.75" hidden="1" customHeight="1">
      <c r="A278" s="3">
        <v>277.0</v>
      </c>
      <c r="B278" s="3" t="s">
        <v>23</v>
      </c>
      <c r="C278" s="3" t="s">
        <v>68</v>
      </c>
      <c r="D278" s="3" t="s">
        <v>289</v>
      </c>
      <c r="E278" s="3" t="s">
        <v>352</v>
      </c>
      <c r="F278" s="3">
        <v>1760047.0</v>
      </c>
      <c r="G278" s="4">
        <v>46044.0</v>
      </c>
      <c r="H278" s="4">
        <v>46146.0</v>
      </c>
      <c r="I278" s="3" t="s">
        <v>980</v>
      </c>
      <c r="J278" s="3" t="s">
        <v>981</v>
      </c>
      <c r="K278" s="3" t="s">
        <v>982</v>
      </c>
      <c r="L278" s="3">
        <v>0.357</v>
      </c>
      <c r="M278" s="3">
        <v>8925.0</v>
      </c>
      <c r="N278" s="3">
        <v>2.0</v>
      </c>
      <c r="O278" s="3">
        <v>170574.0</v>
      </c>
      <c r="P278" s="3" t="s">
        <v>983</v>
      </c>
      <c r="Q278" s="3">
        <v>1331717.0</v>
      </c>
      <c r="R278" s="3"/>
      <c r="S278" s="3">
        <v>6247.5</v>
      </c>
      <c r="T278" s="3" t="s">
        <v>31</v>
      </c>
      <c r="U278" s="3">
        <v>6247.5</v>
      </c>
      <c r="V278" s="5">
        <f>(DATE(2026,2,3)-'RICE_Insured Farms_with PPI Pol'!$G278)+IF('RICE_Insured Farms_with PPI Pol'!$H278&lt;&gt;'RICE_Insured Farms_with PPI Pol'!$G278,18,0)</f>
        <v>30</v>
      </c>
      <c r="W278" s="3" t="str">
        <f t="array" ref="W278">IFS(V278&gt;120, "Harvested", V278&gt;=113, "Yellow Ripening", V278&gt;=101, "Dough Stage", V278&gt;=93, "Milking Stage", V278&gt;=86, "Flowering", V278&gt;=56, "Panicle Initiation/Booting", V278&lt;56, "Vegetative/Tillering")</f>
        <v>Vegetative/Tillering</v>
      </c>
    </row>
    <row r="279" ht="15.75" hidden="1" customHeight="1">
      <c r="A279" s="3">
        <v>278.0</v>
      </c>
      <c r="B279" s="3" t="s">
        <v>23</v>
      </c>
      <c r="C279" s="3" t="s">
        <v>68</v>
      </c>
      <c r="D279" s="3" t="s">
        <v>769</v>
      </c>
      <c r="E279" s="3" t="s">
        <v>770</v>
      </c>
      <c r="F279" s="3">
        <v>1742303.0</v>
      </c>
      <c r="G279" s="4">
        <v>46027.0</v>
      </c>
      <c r="H279" s="4">
        <v>46129.0</v>
      </c>
      <c r="I279" s="3" t="s">
        <v>984</v>
      </c>
      <c r="J279" s="3" t="s">
        <v>985</v>
      </c>
      <c r="K279" s="3" t="s">
        <v>986</v>
      </c>
      <c r="L279" s="3">
        <v>0.4602</v>
      </c>
      <c r="M279" s="3">
        <v>11505.0</v>
      </c>
      <c r="N279" s="3">
        <v>2.0</v>
      </c>
      <c r="O279" s="3">
        <v>323811.0</v>
      </c>
      <c r="P279" s="3" t="s">
        <v>987</v>
      </c>
      <c r="Q279" s="3">
        <v>1333128.0</v>
      </c>
      <c r="R279" s="3"/>
      <c r="S279" s="3">
        <v>8053.5</v>
      </c>
      <c r="T279" s="3" t="s">
        <v>31</v>
      </c>
      <c r="U279" s="3">
        <v>8053.5</v>
      </c>
      <c r="V279" s="5">
        <f>(DATE(2026,2,3)-'RICE_Insured Farms_with PPI Pol'!$G279)+IF('RICE_Insured Farms_with PPI Pol'!$H279&lt;&gt;'RICE_Insured Farms_with PPI Pol'!$G279,18,0)</f>
        <v>47</v>
      </c>
      <c r="W279" s="3" t="str">
        <f t="array" ref="W279">IFS(V279&gt;120, "Harvested", V279&gt;=113, "Yellow Ripening", V279&gt;=101, "Dough Stage", V279&gt;=93, "Milking Stage", V279&gt;=86, "Flowering", V279&gt;=56, "Panicle Initiation/Booting", V279&lt;56, "Vegetative/Tillering")</f>
        <v>Vegetative/Tillering</v>
      </c>
    </row>
    <row r="280" ht="15.75" customHeight="1">
      <c r="A280" s="3">
        <v>279.0</v>
      </c>
      <c r="B280" s="3" t="s">
        <v>23</v>
      </c>
      <c r="C280" s="3" t="s">
        <v>68</v>
      </c>
      <c r="D280" s="3" t="s">
        <v>289</v>
      </c>
      <c r="E280" s="3" t="s">
        <v>352</v>
      </c>
      <c r="F280" s="3">
        <v>1760048.0</v>
      </c>
      <c r="G280" s="4">
        <v>46022.0</v>
      </c>
      <c r="H280" s="4">
        <v>46124.0</v>
      </c>
      <c r="I280" s="3" t="s">
        <v>988</v>
      </c>
      <c r="J280" s="3" t="s">
        <v>989</v>
      </c>
      <c r="K280" s="3" t="s">
        <v>990</v>
      </c>
      <c r="L280" s="3">
        <v>0.9077</v>
      </c>
      <c r="M280" s="3">
        <v>22692.5</v>
      </c>
      <c r="N280" s="3">
        <v>3.0</v>
      </c>
      <c r="O280" s="3">
        <v>437423.0</v>
      </c>
      <c r="P280" s="3"/>
      <c r="Q280" s="3">
        <v>1287406.0</v>
      </c>
      <c r="R280" s="3"/>
      <c r="S280" s="3">
        <v>18154.0</v>
      </c>
      <c r="T280" s="3" t="s">
        <v>37</v>
      </c>
      <c r="U280" s="3">
        <v>18154.0</v>
      </c>
      <c r="V280" s="5">
        <f>(DATE(2026,2,3)-'RICE_Insured Farms_with PPI Pol'!$G280)+IF('RICE_Insured Farms_with PPI Pol'!$H280&lt;&gt;'RICE_Insured Farms_with PPI Pol'!$G280,18,0)</f>
        <v>52</v>
      </c>
      <c r="W280" s="3" t="str">
        <f t="array" ref="W280">IFS(V280&gt;120, "Harvested", V280&gt;=113, "Yellow Ripening", V280&gt;=101, "Dough Stage", V280&gt;=93, "Milking Stage", V280&gt;=86, "Flowering", V280&gt;=56, "Panicle Initiation/Booting", V280&lt;56, "Vegetative/Tillering")</f>
        <v>Vegetative/Tillering</v>
      </c>
    </row>
    <row r="281" ht="15.75" hidden="1" customHeight="1">
      <c r="A281" s="3">
        <v>280.0</v>
      </c>
      <c r="B281" s="3" t="s">
        <v>23</v>
      </c>
      <c r="C281" s="3" t="s">
        <v>68</v>
      </c>
      <c r="D281" s="3" t="s">
        <v>69</v>
      </c>
      <c r="E281" s="3" t="s">
        <v>321</v>
      </c>
      <c r="F281" s="3">
        <v>1739641.0</v>
      </c>
      <c r="G281" s="4">
        <v>46032.0</v>
      </c>
      <c r="H281" s="4">
        <v>46134.0</v>
      </c>
      <c r="I281" s="3" t="s">
        <v>991</v>
      </c>
      <c r="J281" s="3" t="s">
        <v>992</v>
      </c>
      <c r="K281" s="3" t="s">
        <v>993</v>
      </c>
      <c r="L281" s="3">
        <v>0.5486</v>
      </c>
      <c r="M281" s="3">
        <v>13715.0</v>
      </c>
      <c r="N281" s="3">
        <v>2.0</v>
      </c>
      <c r="O281" s="3">
        <v>338709.0</v>
      </c>
      <c r="P281" s="3" t="s">
        <v>994</v>
      </c>
      <c r="Q281" s="3">
        <v>1275141.0</v>
      </c>
      <c r="R281" s="3"/>
      <c r="S281" s="3">
        <v>9600.5</v>
      </c>
      <c r="T281" s="3" t="s">
        <v>31</v>
      </c>
      <c r="U281" s="3">
        <v>9600.5</v>
      </c>
      <c r="V281" s="5">
        <f>(DATE(2026,2,3)-'RICE_Insured Farms_with PPI Pol'!$G281)+IF('RICE_Insured Farms_with PPI Pol'!$H281&lt;&gt;'RICE_Insured Farms_with PPI Pol'!$G281,18,0)</f>
        <v>42</v>
      </c>
      <c r="W281" s="3" t="str">
        <f t="array" ref="W281">IFS(V281&gt;120, "Harvested", V281&gt;=113, "Yellow Ripening", V281&gt;=101, "Dough Stage", V281&gt;=93, "Milking Stage", V281&gt;=86, "Flowering", V281&gt;=56, "Panicle Initiation/Booting", V281&lt;56, "Vegetative/Tillering")</f>
        <v>Vegetative/Tillering</v>
      </c>
    </row>
    <row r="282" ht="15.75" hidden="1" customHeight="1">
      <c r="A282" s="3">
        <v>425.0</v>
      </c>
      <c r="B282" s="3" t="s">
        <v>995</v>
      </c>
      <c r="C282" s="3" t="s">
        <v>24</v>
      </c>
      <c r="D282" s="3" t="s">
        <v>25</v>
      </c>
      <c r="E282" s="3" t="s">
        <v>637</v>
      </c>
      <c r="F282" s="3">
        <v>1760852.0</v>
      </c>
      <c r="G282" s="4">
        <v>46014.0</v>
      </c>
      <c r="H282" s="4">
        <v>46109.0</v>
      </c>
      <c r="I282" s="3" t="s">
        <v>250</v>
      </c>
      <c r="J282" s="3" t="s">
        <v>170</v>
      </c>
      <c r="K282" s="3" t="s">
        <v>996</v>
      </c>
      <c r="L282" s="3">
        <v>1.2175</v>
      </c>
      <c r="M282" s="3">
        <v>60000.0</v>
      </c>
      <c r="N282" s="3">
        <v>4.0</v>
      </c>
      <c r="O282" s="3">
        <v>1282.0</v>
      </c>
      <c r="P282" s="3" t="s">
        <v>997</v>
      </c>
      <c r="Q282" s="3">
        <v>717030.0</v>
      </c>
      <c r="R282" s="3"/>
      <c r="S282" s="3">
        <v>48000.0</v>
      </c>
      <c r="T282" s="3" t="s">
        <v>56</v>
      </c>
      <c r="U282" s="3">
        <v>48000.0</v>
      </c>
      <c r="V282" s="5">
        <f>(DATE(2026,2,3)-'RICE_Insured Farms_with PPI Pol'!$G282)+IF('RICE_Insured Farms_with PPI Pol'!$H282&lt;&gt;'RICE_Insured Farms_with PPI Pol'!$G282,18,0)</f>
        <v>60</v>
      </c>
      <c r="W282" s="3" t="str">
        <f t="array" ref="W282">IFS(V282&gt;120, "Harvested", V282&gt;=113, "Yellow Ripening", V282&gt;=101, "Dough Stage", V282&gt;=93, "Milking Stage", V282&gt;=86, "Flowering", V282&gt;=56, "Panicle Initiation/Booting", V282&lt;56, "Vegetative/Tillering")</f>
        <v>Panicle Initiation/Booting</v>
      </c>
    </row>
    <row r="283" ht="15.75" hidden="1" customHeight="1">
      <c r="A283" s="3">
        <v>426.0</v>
      </c>
      <c r="B283" s="3" t="s">
        <v>23</v>
      </c>
      <c r="C283" s="3" t="s">
        <v>24</v>
      </c>
      <c r="D283" s="3" t="s">
        <v>25</v>
      </c>
      <c r="E283" s="3" t="s">
        <v>663</v>
      </c>
      <c r="F283" s="3">
        <v>1760452.0</v>
      </c>
      <c r="G283" s="4">
        <v>46001.0</v>
      </c>
      <c r="H283" s="4">
        <v>46101.0</v>
      </c>
      <c r="I283" s="3" t="s">
        <v>998</v>
      </c>
      <c r="J283" s="3" t="s">
        <v>999</v>
      </c>
      <c r="K283" s="3" t="s">
        <v>1000</v>
      </c>
      <c r="L283" s="3">
        <v>0.76</v>
      </c>
      <c r="M283" s="3">
        <v>19000.0</v>
      </c>
      <c r="N283" s="3">
        <v>5.0</v>
      </c>
      <c r="O283" s="3">
        <v>233204.0</v>
      </c>
      <c r="P283" s="3" t="s">
        <v>1001</v>
      </c>
      <c r="Q283" s="3">
        <v>613381.0</v>
      </c>
      <c r="R283" s="3"/>
      <c r="S283" s="3">
        <v>17100.0</v>
      </c>
      <c r="T283" s="3" t="s">
        <v>1002</v>
      </c>
      <c r="U283" s="3">
        <v>17100.0</v>
      </c>
      <c r="V283" s="5">
        <f>(DATE(2026,2,3)-'RICE_Insured Farms_with PPI Pol'!$G283)+IF('RICE_Insured Farms_with PPI Pol'!$H283&lt;&gt;'RICE_Insured Farms_with PPI Pol'!$G283,18,0)</f>
        <v>73</v>
      </c>
      <c r="W283" s="3" t="str">
        <f t="array" ref="W283">IFS(V283&gt;120, "Harvested", V283&gt;=113, "Yellow Ripening", V283&gt;=101, "Dough Stage", V283&gt;=93, "Milking Stage", V283&gt;=86, "Flowering", V283&gt;=56, "Panicle Initiation/Booting", V283&lt;56, "Vegetative/Tillering")</f>
        <v>Panicle Initiation/Booting</v>
      </c>
    </row>
    <row r="284" ht="15.75" hidden="1" customHeight="1">
      <c r="A284" s="3">
        <v>283.0</v>
      </c>
      <c r="B284" s="3" t="s">
        <v>23</v>
      </c>
      <c r="C284" s="3" t="s">
        <v>68</v>
      </c>
      <c r="D284" s="3" t="s">
        <v>679</v>
      </c>
      <c r="E284" s="3" t="s">
        <v>680</v>
      </c>
      <c r="F284" s="3">
        <v>1175384.0</v>
      </c>
      <c r="G284" s="4">
        <v>46032.0</v>
      </c>
      <c r="H284" s="4">
        <v>46134.0</v>
      </c>
      <c r="I284" s="3" t="s">
        <v>1003</v>
      </c>
      <c r="J284" s="3" t="s">
        <v>676</v>
      </c>
      <c r="K284" s="3" t="s">
        <v>1004</v>
      </c>
      <c r="L284" s="3">
        <v>0.4572</v>
      </c>
      <c r="M284" s="3">
        <v>11430.0</v>
      </c>
      <c r="N284" s="3">
        <v>2.0</v>
      </c>
      <c r="O284" s="3">
        <v>330027.0</v>
      </c>
      <c r="P284" s="3" t="s">
        <v>1005</v>
      </c>
      <c r="Q284" s="3">
        <v>1320738.0</v>
      </c>
      <c r="R284" s="3"/>
      <c r="S284" s="3">
        <v>8001.0</v>
      </c>
      <c r="T284" s="3" t="s">
        <v>31</v>
      </c>
      <c r="U284" s="3">
        <v>8001.0</v>
      </c>
      <c r="V284" s="5">
        <f>(DATE(2026,2,3)-'RICE_Insured Farms_with PPI Pol'!$G284)+IF('RICE_Insured Farms_with PPI Pol'!$H284&lt;&gt;'RICE_Insured Farms_with PPI Pol'!$G284,18,0)</f>
        <v>42</v>
      </c>
      <c r="W284" s="3" t="str">
        <f t="array" ref="W284">IFS(V284&gt;120, "Harvested", V284&gt;=113, "Yellow Ripening", V284&gt;=101, "Dough Stage", V284&gt;=93, "Milking Stage", V284&gt;=86, "Flowering", V284&gt;=56, "Panicle Initiation/Booting", V284&lt;56, "Vegetative/Tillering")</f>
        <v>Vegetative/Tillering</v>
      </c>
    </row>
    <row r="285" ht="15.75" customHeight="1">
      <c r="A285" s="3">
        <v>284.0</v>
      </c>
      <c r="B285" s="3" t="s">
        <v>23</v>
      </c>
      <c r="C285" s="3" t="s">
        <v>68</v>
      </c>
      <c r="D285" s="3" t="s">
        <v>769</v>
      </c>
      <c r="E285" s="3" t="s">
        <v>770</v>
      </c>
      <c r="F285" s="3">
        <v>1742303.0</v>
      </c>
      <c r="G285" s="4">
        <v>46032.0</v>
      </c>
      <c r="H285" s="4">
        <v>46114.0</v>
      </c>
      <c r="I285" s="3" t="s">
        <v>1006</v>
      </c>
      <c r="J285" s="3" t="s">
        <v>332</v>
      </c>
      <c r="K285" s="3" t="s">
        <v>1007</v>
      </c>
      <c r="L285" s="3">
        <v>0.3814</v>
      </c>
      <c r="M285" s="3">
        <v>9535.0</v>
      </c>
      <c r="N285" s="3">
        <v>3.0</v>
      </c>
      <c r="O285" s="3">
        <v>113491.0</v>
      </c>
      <c r="P285" s="3"/>
      <c r="Q285" s="3">
        <v>1118088.0</v>
      </c>
      <c r="R285" s="3"/>
      <c r="S285" s="3">
        <v>7628.0</v>
      </c>
      <c r="T285" s="3" t="s">
        <v>37</v>
      </c>
      <c r="U285" s="3">
        <v>7628.0</v>
      </c>
      <c r="V285" s="5">
        <f>(DATE(2026,2,3)-'RICE_Insured Farms_with PPI Pol'!$G285)+IF('RICE_Insured Farms_with PPI Pol'!$H285&lt;&gt;'RICE_Insured Farms_with PPI Pol'!$G285,18,0)</f>
        <v>42</v>
      </c>
      <c r="W285" s="3" t="str">
        <f t="array" ref="W285">IFS(V285&gt;120, "Harvested", V285&gt;=113, "Yellow Ripening", V285&gt;=101, "Dough Stage", V285&gt;=93, "Milking Stage", V285&gt;=86, "Flowering", V285&gt;=56, "Panicle Initiation/Booting", V285&lt;56, "Vegetative/Tillering")</f>
        <v>Vegetative/Tillering</v>
      </c>
    </row>
    <row r="286" ht="15.75" hidden="1" customHeight="1">
      <c r="A286" s="3">
        <v>285.0</v>
      </c>
      <c r="B286" s="3" t="s">
        <v>23</v>
      </c>
      <c r="C286" s="3" t="s">
        <v>68</v>
      </c>
      <c r="D286" s="3" t="s">
        <v>420</v>
      </c>
      <c r="E286" s="3" t="s">
        <v>689</v>
      </c>
      <c r="F286" s="3">
        <v>1197001.0</v>
      </c>
      <c r="G286" s="4">
        <v>46035.0</v>
      </c>
      <c r="H286" s="4">
        <v>46137.0</v>
      </c>
      <c r="I286" s="3" t="s">
        <v>1008</v>
      </c>
      <c r="J286" s="3" t="s">
        <v>1009</v>
      </c>
      <c r="K286" s="3" t="s">
        <v>1010</v>
      </c>
      <c r="L286" s="3">
        <v>0.2105</v>
      </c>
      <c r="M286" s="3">
        <v>5262.5</v>
      </c>
      <c r="N286" s="3">
        <v>2.0</v>
      </c>
      <c r="O286" s="3">
        <v>480416.0</v>
      </c>
      <c r="P286" s="3"/>
      <c r="Q286" s="3">
        <v>1327688.0</v>
      </c>
      <c r="R286" s="3"/>
      <c r="S286" s="3">
        <v>3683.75</v>
      </c>
      <c r="T286" s="3" t="s">
        <v>31</v>
      </c>
      <c r="U286" s="3">
        <v>3683.75</v>
      </c>
      <c r="V286" s="5">
        <f>(DATE(2026,2,3)-'RICE_Insured Farms_with PPI Pol'!$G286)+IF('RICE_Insured Farms_with PPI Pol'!$H286&lt;&gt;'RICE_Insured Farms_with PPI Pol'!$G286,18,0)</f>
        <v>39</v>
      </c>
      <c r="W286" s="3" t="str">
        <f t="array" ref="W286">IFS(V286&gt;120, "Harvested", V286&gt;=113, "Yellow Ripening", V286&gt;=101, "Dough Stage", V286&gt;=93, "Milking Stage", V286&gt;=86, "Flowering", V286&gt;=56, "Panicle Initiation/Booting", V286&lt;56, "Vegetative/Tillering")</f>
        <v>Vegetative/Tillering</v>
      </c>
    </row>
    <row r="287" ht="15.75" hidden="1" customHeight="1">
      <c r="A287" s="3">
        <v>286.0</v>
      </c>
      <c r="B287" s="3" t="s">
        <v>23</v>
      </c>
      <c r="C287" s="3" t="s">
        <v>68</v>
      </c>
      <c r="D287" s="3" t="s">
        <v>420</v>
      </c>
      <c r="E287" s="3" t="s">
        <v>689</v>
      </c>
      <c r="F287" s="3">
        <v>1197003.0</v>
      </c>
      <c r="G287" s="4">
        <v>46035.0</v>
      </c>
      <c r="H287" s="4">
        <v>46137.0</v>
      </c>
      <c r="I287" s="3" t="s">
        <v>1008</v>
      </c>
      <c r="J287" s="3" t="s">
        <v>596</v>
      </c>
      <c r="K287" s="3" t="s">
        <v>1011</v>
      </c>
      <c r="L287" s="3">
        <v>0.2037</v>
      </c>
      <c r="M287" s="3">
        <v>5092.5</v>
      </c>
      <c r="N287" s="3">
        <v>2.0</v>
      </c>
      <c r="O287" s="3">
        <v>455834.0</v>
      </c>
      <c r="P287" s="3" t="s">
        <v>1012</v>
      </c>
      <c r="Q287" s="3">
        <v>1327645.0</v>
      </c>
      <c r="R287" s="3"/>
      <c r="S287" s="3">
        <v>3564.75</v>
      </c>
      <c r="T287" s="3" t="s">
        <v>31</v>
      </c>
      <c r="U287" s="3">
        <v>3564.75</v>
      </c>
      <c r="V287" s="5">
        <f>(DATE(2026,2,3)-'RICE_Insured Farms_with PPI Pol'!$G287)+IF('RICE_Insured Farms_with PPI Pol'!$H287&lt;&gt;'RICE_Insured Farms_with PPI Pol'!$G287,18,0)</f>
        <v>39</v>
      </c>
      <c r="W287" s="3" t="str">
        <f t="array" ref="W287">IFS(V287&gt;120, "Harvested", V287&gt;=113, "Yellow Ripening", V287&gt;=101, "Dough Stage", V287&gt;=93, "Milking Stage", V287&gt;=86, "Flowering", V287&gt;=56, "Panicle Initiation/Booting", V287&lt;56, "Vegetative/Tillering")</f>
        <v>Vegetative/Tillering</v>
      </c>
    </row>
    <row r="288" ht="15.75" hidden="1" customHeight="1">
      <c r="A288" s="3">
        <v>287.0</v>
      </c>
      <c r="B288" s="3" t="s">
        <v>23</v>
      </c>
      <c r="C288" s="3" t="s">
        <v>68</v>
      </c>
      <c r="D288" s="3" t="s">
        <v>262</v>
      </c>
      <c r="E288" s="3" t="s">
        <v>273</v>
      </c>
      <c r="F288" s="3">
        <v>1739594.0</v>
      </c>
      <c r="G288" s="4">
        <v>46034.0</v>
      </c>
      <c r="H288" s="4">
        <v>46136.0</v>
      </c>
      <c r="I288" s="3" t="s">
        <v>1013</v>
      </c>
      <c r="J288" s="3" t="s">
        <v>1014</v>
      </c>
      <c r="K288" s="3" t="s">
        <v>1015</v>
      </c>
      <c r="L288" s="3">
        <v>0.4395</v>
      </c>
      <c r="M288" s="3">
        <v>10987.5</v>
      </c>
      <c r="N288" s="3">
        <v>2.0</v>
      </c>
      <c r="O288" s="3">
        <v>534589.0</v>
      </c>
      <c r="P288" s="3" t="s">
        <v>1016</v>
      </c>
      <c r="Q288" s="3">
        <v>1342000.0</v>
      </c>
      <c r="R288" s="3"/>
      <c r="S288" s="3">
        <v>7691.25</v>
      </c>
      <c r="T288" s="3" t="s">
        <v>31</v>
      </c>
      <c r="U288" s="3">
        <v>7691.25</v>
      </c>
      <c r="V288" s="5">
        <f>(DATE(2026,2,3)-'RICE_Insured Farms_with PPI Pol'!$G288)+IF('RICE_Insured Farms_with PPI Pol'!$H288&lt;&gt;'RICE_Insured Farms_with PPI Pol'!$G288,18,0)</f>
        <v>40</v>
      </c>
      <c r="W288" s="3" t="str">
        <f t="array" ref="W288">IFS(V288&gt;120, "Harvested", V288&gt;=113, "Yellow Ripening", V288&gt;=101, "Dough Stage", V288&gt;=93, "Milking Stage", V288&gt;=86, "Flowering", V288&gt;=56, "Panicle Initiation/Booting", V288&lt;56, "Vegetative/Tillering")</f>
        <v>Vegetative/Tillering</v>
      </c>
    </row>
    <row r="289" ht="15.75" hidden="1" customHeight="1">
      <c r="A289" s="3">
        <v>288.0</v>
      </c>
      <c r="B289" s="3" t="s">
        <v>23</v>
      </c>
      <c r="C289" s="3" t="s">
        <v>121</v>
      </c>
      <c r="D289" s="3" t="s">
        <v>384</v>
      </c>
      <c r="E289" s="3" t="s">
        <v>385</v>
      </c>
      <c r="F289" s="3">
        <v>1742526.0</v>
      </c>
      <c r="G289" s="4">
        <v>46036.0</v>
      </c>
      <c r="H289" s="4">
        <v>46131.0</v>
      </c>
      <c r="I289" s="3" t="s">
        <v>1017</v>
      </c>
      <c r="J289" s="3" t="s">
        <v>365</v>
      </c>
      <c r="K289" s="3" t="s">
        <v>1018</v>
      </c>
      <c r="L289" s="3">
        <v>1.15</v>
      </c>
      <c r="M289" s="3">
        <v>28750.0</v>
      </c>
      <c r="N289" s="3">
        <v>2.0</v>
      </c>
      <c r="O289" s="3">
        <v>247189.0</v>
      </c>
      <c r="P289" s="3" t="s">
        <v>1019</v>
      </c>
      <c r="Q289" s="3">
        <v>1331776.0</v>
      </c>
      <c r="R289" s="3"/>
      <c r="S289" s="3">
        <v>20125.0</v>
      </c>
      <c r="T289" s="3" t="s">
        <v>31</v>
      </c>
      <c r="U289" s="3">
        <v>20125.0</v>
      </c>
      <c r="V289" s="5">
        <f>(DATE(2026,2,3)-'RICE_Insured Farms_with PPI Pol'!$G289)+IF('RICE_Insured Farms_with PPI Pol'!$H289&lt;&gt;'RICE_Insured Farms_with PPI Pol'!$G289,18,0)</f>
        <v>38</v>
      </c>
      <c r="W289" s="3" t="str">
        <f t="array" ref="W289">IFS(V289&gt;120, "Harvested", V289&gt;=113, "Yellow Ripening", V289&gt;=101, "Dough Stage", V289&gt;=93, "Milking Stage", V289&gt;=86, "Flowering", V289&gt;=56, "Panicle Initiation/Booting", V289&lt;56, "Vegetative/Tillering")</f>
        <v>Vegetative/Tillering</v>
      </c>
    </row>
    <row r="290" ht="15.75" customHeight="1">
      <c r="A290" s="3">
        <v>289.0</v>
      </c>
      <c r="B290" s="3" t="s">
        <v>23</v>
      </c>
      <c r="C290" s="3" t="s">
        <v>68</v>
      </c>
      <c r="D290" s="3" t="s">
        <v>289</v>
      </c>
      <c r="E290" s="3" t="s">
        <v>685</v>
      </c>
      <c r="F290" s="3">
        <v>1760018.0</v>
      </c>
      <c r="G290" s="4">
        <v>46021.0</v>
      </c>
      <c r="H290" s="4">
        <v>46123.0</v>
      </c>
      <c r="I290" s="3" t="s">
        <v>1020</v>
      </c>
      <c r="J290" s="3" t="s">
        <v>1021</v>
      </c>
      <c r="K290" s="3" t="s">
        <v>1022</v>
      </c>
      <c r="L290" s="3">
        <v>0.494</v>
      </c>
      <c r="M290" s="3">
        <v>12350.0</v>
      </c>
      <c r="N290" s="3">
        <v>3.0</v>
      </c>
      <c r="O290" s="3">
        <v>338076.0</v>
      </c>
      <c r="P290" s="3" t="s">
        <v>1023</v>
      </c>
      <c r="Q290" s="3">
        <v>1136178.0</v>
      </c>
      <c r="R290" s="3"/>
      <c r="S290" s="3">
        <v>9880.0</v>
      </c>
      <c r="T290" s="3" t="s">
        <v>37</v>
      </c>
      <c r="U290" s="3">
        <v>9880.0</v>
      </c>
      <c r="V290" s="5">
        <f>(DATE(2026,2,3)-'RICE_Insured Farms_with PPI Pol'!$G290)+IF('RICE_Insured Farms_with PPI Pol'!$H290&lt;&gt;'RICE_Insured Farms_with PPI Pol'!$G290,18,0)</f>
        <v>53</v>
      </c>
      <c r="W290" s="3" t="str">
        <f t="array" ref="W290">IFS(V290&gt;120, "Harvested", V290&gt;=113, "Yellow Ripening", V290&gt;=101, "Dough Stage", V290&gt;=93, "Milking Stage", V290&gt;=86, "Flowering", V290&gt;=56, "Panicle Initiation/Booting", V290&lt;56, "Vegetative/Tillering")</f>
        <v>Vegetative/Tillering</v>
      </c>
    </row>
    <row r="291" ht="15.75" customHeight="1">
      <c r="A291" s="3">
        <v>290.0</v>
      </c>
      <c r="B291" s="3" t="s">
        <v>23</v>
      </c>
      <c r="C291" s="3" t="s">
        <v>68</v>
      </c>
      <c r="D291" s="3" t="s">
        <v>289</v>
      </c>
      <c r="E291" s="3" t="s">
        <v>685</v>
      </c>
      <c r="F291" s="3">
        <v>1760004.0</v>
      </c>
      <c r="G291" s="4">
        <v>46020.0</v>
      </c>
      <c r="H291" s="4">
        <v>46122.0</v>
      </c>
      <c r="I291" s="3" t="s">
        <v>1024</v>
      </c>
      <c r="J291" s="3" t="s">
        <v>1025</v>
      </c>
      <c r="K291" s="3" t="s">
        <v>1026</v>
      </c>
      <c r="L291" s="3">
        <v>0.9961</v>
      </c>
      <c r="M291" s="3">
        <v>24902.5</v>
      </c>
      <c r="N291" s="3">
        <v>3.0</v>
      </c>
      <c r="O291" s="3">
        <v>307047.0</v>
      </c>
      <c r="P291" s="3"/>
      <c r="Q291" s="3">
        <v>1141264.0</v>
      </c>
      <c r="R291" s="3"/>
      <c r="S291" s="3">
        <v>19922.0</v>
      </c>
      <c r="T291" s="3" t="s">
        <v>37</v>
      </c>
      <c r="U291" s="3">
        <v>19922.0</v>
      </c>
      <c r="V291" s="5">
        <f>(DATE(2026,2,3)-'RICE_Insured Farms_with PPI Pol'!$G291)+IF('RICE_Insured Farms_with PPI Pol'!$H291&lt;&gt;'RICE_Insured Farms_with PPI Pol'!$G291,18,0)</f>
        <v>54</v>
      </c>
      <c r="W291" s="3" t="str">
        <f t="array" ref="W291">IFS(V291&gt;120, "Harvested", V291&gt;=113, "Yellow Ripening", V291&gt;=101, "Dough Stage", V291&gt;=93, "Milking Stage", V291&gt;=86, "Flowering", V291&gt;=56, "Panicle Initiation/Booting", V291&lt;56, "Vegetative/Tillering")</f>
        <v>Vegetative/Tillering</v>
      </c>
    </row>
    <row r="292" ht="15.75" hidden="1" customHeight="1">
      <c r="A292" s="3">
        <v>291.0</v>
      </c>
      <c r="B292" s="3" t="s">
        <v>23</v>
      </c>
      <c r="C292" s="3" t="s">
        <v>68</v>
      </c>
      <c r="D292" s="3" t="s">
        <v>289</v>
      </c>
      <c r="E292" s="3" t="s">
        <v>352</v>
      </c>
      <c r="F292" s="3">
        <v>1760047.0</v>
      </c>
      <c r="G292" s="4">
        <v>46044.0</v>
      </c>
      <c r="H292" s="4">
        <v>46146.0</v>
      </c>
      <c r="I292" s="3" t="s">
        <v>982</v>
      </c>
      <c r="J292" s="3" t="s">
        <v>1027</v>
      </c>
      <c r="K292" s="3" t="s">
        <v>1028</v>
      </c>
      <c r="L292" s="3">
        <v>0.213</v>
      </c>
      <c r="M292" s="3">
        <v>5325.0</v>
      </c>
      <c r="N292" s="3">
        <v>2.0</v>
      </c>
      <c r="O292" s="3">
        <v>170573.0</v>
      </c>
      <c r="P292" s="3" t="s">
        <v>1029</v>
      </c>
      <c r="Q292" s="3">
        <v>1151796.0</v>
      </c>
      <c r="R292" s="3"/>
      <c r="S292" s="3">
        <v>3727.5</v>
      </c>
      <c r="T292" s="3" t="s">
        <v>31</v>
      </c>
      <c r="U292" s="3">
        <v>3727.5</v>
      </c>
      <c r="V292" s="5">
        <f>(DATE(2026,2,3)-'RICE_Insured Farms_with PPI Pol'!$G292)+IF('RICE_Insured Farms_with PPI Pol'!$H292&lt;&gt;'RICE_Insured Farms_with PPI Pol'!$G292,18,0)</f>
        <v>30</v>
      </c>
      <c r="W292" s="3" t="str">
        <f t="array" ref="W292">IFS(V292&gt;120, "Harvested", V292&gt;=113, "Yellow Ripening", V292&gt;=101, "Dough Stage", V292&gt;=93, "Milking Stage", V292&gt;=86, "Flowering", V292&gt;=56, "Panicle Initiation/Booting", V292&lt;56, "Vegetative/Tillering")</f>
        <v>Vegetative/Tillering</v>
      </c>
    </row>
    <row r="293" ht="15.75" hidden="1" customHeight="1">
      <c r="A293" s="3">
        <v>292.0</v>
      </c>
      <c r="B293" s="3" t="s">
        <v>23</v>
      </c>
      <c r="C293" s="3" t="s">
        <v>68</v>
      </c>
      <c r="D293" s="3" t="s">
        <v>420</v>
      </c>
      <c r="E293" s="3" t="s">
        <v>689</v>
      </c>
      <c r="F293" s="3">
        <v>1197001.0</v>
      </c>
      <c r="G293" s="4">
        <v>46033.0</v>
      </c>
      <c r="H293" s="4">
        <v>46135.0</v>
      </c>
      <c r="I293" s="3" t="s">
        <v>1030</v>
      </c>
      <c r="J293" s="3" t="s">
        <v>1031</v>
      </c>
      <c r="K293" s="3" t="s">
        <v>1032</v>
      </c>
      <c r="L293" s="3">
        <v>0.3073</v>
      </c>
      <c r="M293" s="3">
        <v>7682.5</v>
      </c>
      <c r="N293" s="3">
        <v>2.0</v>
      </c>
      <c r="O293" s="3">
        <v>480412.0</v>
      </c>
      <c r="P293" s="3"/>
      <c r="Q293" s="3">
        <v>1327632.0</v>
      </c>
      <c r="R293" s="3"/>
      <c r="S293" s="3">
        <v>5377.75</v>
      </c>
      <c r="T293" s="3" t="s">
        <v>31</v>
      </c>
      <c r="U293" s="3">
        <v>5377.75</v>
      </c>
      <c r="V293" s="5">
        <f>(DATE(2026,2,3)-'RICE_Insured Farms_with PPI Pol'!$G293)+IF('RICE_Insured Farms_with PPI Pol'!$H293&lt;&gt;'RICE_Insured Farms_with PPI Pol'!$G293,18,0)</f>
        <v>41</v>
      </c>
      <c r="W293" s="3" t="str">
        <f t="array" ref="W293">IFS(V293&gt;120, "Harvested", V293&gt;=113, "Yellow Ripening", V293&gt;=101, "Dough Stage", V293&gt;=93, "Milking Stage", V293&gt;=86, "Flowering", V293&gt;=56, "Panicle Initiation/Booting", V293&lt;56, "Vegetative/Tillering")</f>
        <v>Vegetative/Tillering</v>
      </c>
    </row>
    <row r="294" ht="15.75" hidden="1" customHeight="1">
      <c r="A294" s="3">
        <v>293.0</v>
      </c>
      <c r="B294" s="3" t="s">
        <v>23</v>
      </c>
      <c r="C294" s="3" t="s">
        <v>68</v>
      </c>
      <c r="D294" s="3" t="s">
        <v>262</v>
      </c>
      <c r="E294" s="3" t="s">
        <v>273</v>
      </c>
      <c r="F294" s="3">
        <v>1739590.0</v>
      </c>
      <c r="G294" s="4">
        <v>46027.0</v>
      </c>
      <c r="H294" s="4">
        <v>46129.0</v>
      </c>
      <c r="I294" s="3" t="s">
        <v>1033</v>
      </c>
      <c r="J294" s="3" t="s">
        <v>1034</v>
      </c>
      <c r="K294" s="3" t="s">
        <v>1035</v>
      </c>
      <c r="L294" s="3">
        <v>0.2251</v>
      </c>
      <c r="M294" s="3">
        <v>5627.5</v>
      </c>
      <c r="N294" s="3">
        <v>2.0</v>
      </c>
      <c r="O294" s="3">
        <v>177252.0</v>
      </c>
      <c r="P294" s="3" t="s">
        <v>1036</v>
      </c>
      <c r="Q294" s="3">
        <v>1314973.0</v>
      </c>
      <c r="R294" s="3"/>
      <c r="S294" s="3">
        <v>3939.25</v>
      </c>
      <c r="T294" s="3" t="s">
        <v>31</v>
      </c>
      <c r="U294" s="3">
        <v>3939.25</v>
      </c>
      <c r="V294" s="5">
        <f>(DATE(2026,2,3)-'RICE_Insured Farms_with PPI Pol'!$G294)+IF('RICE_Insured Farms_with PPI Pol'!$H294&lt;&gt;'RICE_Insured Farms_with PPI Pol'!$G294,18,0)</f>
        <v>47</v>
      </c>
      <c r="W294" s="3" t="str">
        <f t="array" ref="W294">IFS(V294&gt;120, "Harvested", V294&gt;=113, "Yellow Ripening", V294&gt;=101, "Dough Stage", V294&gt;=93, "Milking Stage", V294&gt;=86, "Flowering", V294&gt;=56, "Panicle Initiation/Booting", V294&lt;56, "Vegetative/Tillering")</f>
        <v>Vegetative/Tillering</v>
      </c>
    </row>
    <row r="295" ht="15.75" hidden="1" customHeight="1">
      <c r="A295" s="3">
        <v>294.0</v>
      </c>
      <c r="B295" s="3" t="s">
        <v>23</v>
      </c>
      <c r="C295" s="3" t="s">
        <v>68</v>
      </c>
      <c r="D295" s="3" t="s">
        <v>289</v>
      </c>
      <c r="E295" s="3" t="s">
        <v>363</v>
      </c>
      <c r="F295" s="3">
        <v>1760059.0</v>
      </c>
      <c r="G295" s="4">
        <v>46036.0</v>
      </c>
      <c r="H295" s="4">
        <v>46138.0</v>
      </c>
      <c r="I295" s="3" t="s">
        <v>1037</v>
      </c>
      <c r="J295" s="3" t="s">
        <v>1038</v>
      </c>
      <c r="K295" s="3" t="s">
        <v>1039</v>
      </c>
      <c r="L295" s="3">
        <v>0.697</v>
      </c>
      <c r="M295" s="3">
        <v>17425.0</v>
      </c>
      <c r="N295" s="3">
        <v>2.0</v>
      </c>
      <c r="O295" s="3">
        <v>199429.0</v>
      </c>
      <c r="P295" s="3" t="s">
        <v>1040</v>
      </c>
      <c r="Q295" s="3">
        <v>1338716.0</v>
      </c>
      <c r="R295" s="3"/>
      <c r="S295" s="3">
        <v>12197.5</v>
      </c>
      <c r="T295" s="3" t="s">
        <v>31</v>
      </c>
      <c r="U295" s="3">
        <v>12197.5</v>
      </c>
      <c r="V295" s="5">
        <f>(DATE(2026,2,3)-'RICE_Insured Farms_with PPI Pol'!$G295)+IF('RICE_Insured Farms_with PPI Pol'!$H295&lt;&gt;'RICE_Insured Farms_with PPI Pol'!$G295,18,0)</f>
        <v>38</v>
      </c>
      <c r="W295" s="3" t="str">
        <f t="array" ref="W295">IFS(V295&gt;120, "Harvested", V295&gt;=113, "Yellow Ripening", V295&gt;=101, "Dough Stage", V295&gt;=93, "Milking Stage", V295&gt;=86, "Flowering", V295&gt;=56, "Panicle Initiation/Booting", V295&lt;56, "Vegetative/Tillering")</f>
        <v>Vegetative/Tillering</v>
      </c>
    </row>
    <row r="296" ht="15.75" hidden="1" customHeight="1">
      <c r="A296" s="3">
        <v>295.0</v>
      </c>
      <c r="B296" s="3" t="s">
        <v>23</v>
      </c>
      <c r="C296" s="3" t="s">
        <v>68</v>
      </c>
      <c r="D296" s="3" t="s">
        <v>289</v>
      </c>
      <c r="E296" s="3" t="s">
        <v>352</v>
      </c>
      <c r="F296" s="3">
        <v>1760051.0</v>
      </c>
      <c r="G296" s="4">
        <v>46034.0</v>
      </c>
      <c r="H296" s="4">
        <v>46136.0</v>
      </c>
      <c r="I296" s="3" t="s">
        <v>394</v>
      </c>
      <c r="J296" s="3" t="s">
        <v>423</v>
      </c>
      <c r="K296" s="3" t="s">
        <v>1041</v>
      </c>
      <c r="L296" s="3">
        <v>1.761</v>
      </c>
      <c r="M296" s="3">
        <v>44025.0</v>
      </c>
      <c r="N296" s="3">
        <v>2.0</v>
      </c>
      <c r="O296" s="3">
        <v>305333.0</v>
      </c>
      <c r="P296" s="3" t="s">
        <v>1042</v>
      </c>
      <c r="Q296" s="3">
        <v>1153120.0</v>
      </c>
      <c r="R296" s="3"/>
      <c r="S296" s="3">
        <v>30817.5</v>
      </c>
      <c r="T296" s="3" t="s">
        <v>31</v>
      </c>
      <c r="U296" s="3">
        <v>30817.5</v>
      </c>
      <c r="V296" s="5">
        <f>(DATE(2026,2,3)-'RICE_Insured Farms_with PPI Pol'!$G296)+IF('RICE_Insured Farms_with PPI Pol'!$H296&lt;&gt;'RICE_Insured Farms_with PPI Pol'!$G296,18,0)</f>
        <v>40</v>
      </c>
      <c r="W296" s="3" t="str">
        <f t="array" ref="W296">IFS(V296&gt;120, "Harvested", V296&gt;=113, "Yellow Ripening", V296&gt;=101, "Dough Stage", V296&gt;=93, "Milking Stage", V296&gt;=86, "Flowering", V296&gt;=56, "Panicle Initiation/Booting", V296&lt;56, "Vegetative/Tillering")</f>
        <v>Vegetative/Tillering</v>
      </c>
    </row>
    <row r="297" ht="15.75" customHeight="1">
      <c r="A297" s="3">
        <v>296.0</v>
      </c>
      <c r="B297" s="3" t="s">
        <v>23</v>
      </c>
      <c r="C297" s="3" t="s">
        <v>68</v>
      </c>
      <c r="D297" s="3" t="s">
        <v>289</v>
      </c>
      <c r="E297" s="3" t="s">
        <v>685</v>
      </c>
      <c r="F297" s="3">
        <v>1760005.0</v>
      </c>
      <c r="G297" s="4">
        <v>46020.0</v>
      </c>
      <c r="H297" s="4">
        <v>46122.0</v>
      </c>
      <c r="I297" s="3" t="s">
        <v>1043</v>
      </c>
      <c r="J297" s="3" t="s">
        <v>1044</v>
      </c>
      <c r="K297" s="3" t="s">
        <v>1045</v>
      </c>
      <c r="L297" s="3">
        <v>0.7931</v>
      </c>
      <c r="M297" s="3">
        <v>19827.5</v>
      </c>
      <c r="N297" s="3">
        <v>3.0</v>
      </c>
      <c r="O297" s="3">
        <v>239985.0</v>
      </c>
      <c r="P297" s="3"/>
      <c r="Q297" s="3">
        <v>694496.0</v>
      </c>
      <c r="R297" s="3"/>
      <c r="S297" s="3">
        <v>15862.0</v>
      </c>
      <c r="T297" s="3" t="s">
        <v>37</v>
      </c>
      <c r="U297" s="3">
        <v>15862.0</v>
      </c>
      <c r="V297" s="5">
        <f>(DATE(2026,2,3)-'RICE_Insured Farms_with PPI Pol'!$G297)+IF('RICE_Insured Farms_with PPI Pol'!$H297&lt;&gt;'RICE_Insured Farms_with PPI Pol'!$G297,18,0)</f>
        <v>54</v>
      </c>
      <c r="W297" s="3" t="str">
        <f t="array" ref="W297">IFS(V297&gt;120, "Harvested", V297&gt;=113, "Yellow Ripening", V297&gt;=101, "Dough Stage", V297&gt;=93, "Milking Stage", V297&gt;=86, "Flowering", V297&gt;=56, "Panicle Initiation/Booting", V297&lt;56, "Vegetative/Tillering")</f>
        <v>Vegetative/Tillering</v>
      </c>
    </row>
    <row r="298" ht="15.75" hidden="1" customHeight="1">
      <c r="A298" s="3">
        <v>297.0</v>
      </c>
      <c r="B298" s="3" t="s">
        <v>23</v>
      </c>
      <c r="C298" s="3" t="s">
        <v>68</v>
      </c>
      <c r="D298" s="3" t="s">
        <v>289</v>
      </c>
      <c r="E298" s="3" t="s">
        <v>290</v>
      </c>
      <c r="F298" s="3">
        <v>1760037.0</v>
      </c>
      <c r="G298" s="4">
        <v>46036.0</v>
      </c>
      <c r="H298" s="4">
        <v>46128.0</v>
      </c>
      <c r="I298" s="3" t="s">
        <v>1043</v>
      </c>
      <c r="J298" s="3" t="s">
        <v>1046</v>
      </c>
      <c r="K298" s="3" t="s">
        <v>1047</v>
      </c>
      <c r="L298" s="3">
        <v>1.2294</v>
      </c>
      <c r="M298" s="3">
        <v>30735.0</v>
      </c>
      <c r="N298" s="3">
        <v>2.0</v>
      </c>
      <c r="O298" s="3">
        <v>147076.0</v>
      </c>
      <c r="P298" s="3" t="s">
        <v>1048</v>
      </c>
      <c r="Q298" s="3">
        <v>1326141.0</v>
      </c>
      <c r="R298" s="3"/>
      <c r="S298" s="3">
        <v>21514.5</v>
      </c>
      <c r="T298" s="3" t="s">
        <v>31</v>
      </c>
      <c r="U298" s="3">
        <v>21514.5</v>
      </c>
      <c r="V298" s="5">
        <f>(DATE(2026,2,3)-'RICE_Insured Farms_with PPI Pol'!$G298)+IF('RICE_Insured Farms_with PPI Pol'!$H298&lt;&gt;'RICE_Insured Farms_with PPI Pol'!$G298,18,0)</f>
        <v>38</v>
      </c>
      <c r="W298" s="3" t="str">
        <f t="array" ref="W298">IFS(V298&gt;120, "Harvested", V298&gt;=113, "Yellow Ripening", V298&gt;=101, "Dough Stage", V298&gt;=93, "Milking Stage", V298&gt;=86, "Flowering", V298&gt;=56, "Panicle Initiation/Booting", V298&lt;56, "Vegetative/Tillering")</f>
        <v>Vegetative/Tillering</v>
      </c>
    </row>
    <row r="299" ht="15.75" hidden="1" customHeight="1">
      <c r="A299" s="3">
        <v>298.0</v>
      </c>
      <c r="B299" s="3" t="s">
        <v>23</v>
      </c>
      <c r="C299" s="3" t="s">
        <v>68</v>
      </c>
      <c r="D299" s="3" t="s">
        <v>69</v>
      </c>
      <c r="E299" s="3" t="s">
        <v>321</v>
      </c>
      <c r="F299" s="3">
        <v>1739658.0</v>
      </c>
      <c r="G299" s="4">
        <v>46029.0</v>
      </c>
      <c r="H299" s="4">
        <v>46131.0</v>
      </c>
      <c r="I299" s="3" t="s">
        <v>1049</v>
      </c>
      <c r="J299" s="3" t="s">
        <v>1050</v>
      </c>
      <c r="K299" s="3" t="s">
        <v>968</v>
      </c>
      <c r="L299" s="3">
        <v>0.6408</v>
      </c>
      <c r="M299" s="3">
        <v>16020.0</v>
      </c>
      <c r="N299" s="3">
        <v>2.0</v>
      </c>
      <c r="O299" s="3">
        <v>361254.0</v>
      </c>
      <c r="P299" s="3"/>
      <c r="Q299" s="3">
        <v>1331981.0</v>
      </c>
      <c r="R299" s="3"/>
      <c r="S299" s="3">
        <v>11214.0</v>
      </c>
      <c r="T299" s="3" t="s">
        <v>31</v>
      </c>
      <c r="U299" s="3">
        <v>11214.0</v>
      </c>
      <c r="V299" s="5">
        <f>(DATE(2026,2,3)-'RICE_Insured Farms_with PPI Pol'!$G299)+IF('RICE_Insured Farms_with PPI Pol'!$H299&lt;&gt;'RICE_Insured Farms_with PPI Pol'!$G299,18,0)</f>
        <v>45</v>
      </c>
      <c r="W299" s="3" t="str">
        <f t="array" ref="W299">IFS(V299&gt;120, "Harvested", V299&gt;=113, "Yellow Ripening", V299&gt;=101, "Dough Stage", V299&gt;=93, "Milking Stage", V299&gt;=86, "Flowering", V299&gt;=56, "Panicle Initiation/Booting", V299&lt;56, "Vegetative/Tillering")</f>
        <v>Vegetative/Tillering</v>
      </c>
    </row>
    <row r="300" ht="15.75" hidden="1" customHeight="1">
      <c r="A300" s="3">
        <v>299.0</v>
      </c>
      <c r="B300" s="3" t="s">
        <v>23</v>
      </c>
      <c r="C300" s="3" t="s">
        <v>68</v>
      </c>
      <c r="D300" s="3" t="s">
        <v>69</v>
      </c>
      <c r="E300" s="3" t="s">
        <v>321</v>
      </c>
      <c r="F300" s="3">
        <v>1739658.0</v>
      </c>
      <c r="G300" s="4">
        <v>46029.0</v>
      </c>
      <c r="H300" s="4">
        <v>46131.0</v>
      </c>
      <c r="I300" s="3" t="s">
        <v>1049</v>
      </c>
      <c r="J300" s="3" t="s">
        <v>1050</v>
      </c>
      <c r="K300" s="3" t="s">
        <v>968</v>
      </c>
      <c r="L300" s="3">
        <v>0.5674</v>
      </c>
      <c r="M300" s="3">
        <v>14185.0</v>
      </c>
      <c r="N300" s="3">
        <v>2.0</v>
      </c>
      <c r="O300" s="3">
        <v>361254.0</v>
      </c>
      <c r="P300" s="3"/>
      <c r="Q300" s="3">
        <v>1331984.0</v>
      </c>
      <c r="R300" s="3"/>
      <c r="S300" s="3">
        <v>9929.5</v>
      </c>
      <c r="T300" s="3" t="s">
        <v>31</v>
      </c>
      <c r="U300" s="3">
        <v>9929.5</v>
      </c>
      <c r="V300" s="5">
        <f>(DATE(2026,2,3)-'RICE_Insured Farms_with PPI Pol'!$G300)+IF('RICE_Insured Farms_with PPI Pol'!$H300&lt;&gt;'RICE_Insured Farms_with PPI Pol'!$G300,18,0)</f>
        <v>45</v>
      </c>
      <c r="W300" s="3" t="str">
        <f t="array" ref="W300">IFS(V300&gt;120, "Harvested", V300&gt;=113, "Yellow Ripening", V300&gt;=101, "Dough Stage", V300&gt;=93, "Milking Stage", V300&gt;=86, "Flowering", V300&gt;=56, "Panicle Initiation/Booting", V300&lt;56, "Vegetative/Tillering")</f>
        <v>Vegetative/Tillering</v>
      </c>
    </row>
    <row r="301" ht="15.75" customHeight="1">
      <c r="A301" s="3">
        <v>300.0</v>
      </c>
      <c r="B301" s="3" t="s">
        <v>23</v>
      </c>
      <c r="C301" s="3" t="s">
        <v>68</v>
      </c>
      <c r="D301" s="3" t="s">
        <v>262</v>
      </c>
      <c r="E301" s="3" t="s">
        <v>273</v>
      </c>
      <c r="F301" s="3">
        <v>1739582.0</v>
      </c>
      <c r="G301" s="4">
        <v>46010.0</v>
      </c>
      <c r="H301" s="4">
        <v>46112.0</v>
      </c>
      <c r="I301" s="3" t="s">
        <v>1051</v>
      </c>
      <c r="J301" s="3" t="s">
        <v>426</v>
      </c>
      <c r="K301" s="3" t="s">
        <v>737</v>
      </c>
      <c r="L301" s="3">
        <v>0.4</v>
      </c>
      <c r="M301" s="3">
        <v>10000.0</v>
      </c>
      <c r="N301" s="3">
        <v>3.0</v>
      </c>
      <c r="O301" s="3">
        <v>108771.0</v>
      </c>
      <c r="P301" s="3"/>
      <c r="Q301" s="3">
        <v>1338041.0</v>
      </c>
      <c r="R301" s="3"/>
      <c r="S301" s="3">
        <v>8000.0</v>
      </c>
      <c r="T301" s="3" t="s">
        <v>37</v>
      </c>
      <c r="U301" s="3">
        <v>8000.0</v>
      </c>
      <c r="V301" s="5">
        <f>(DATE(2026,2,3)-'RICE_Insured Farms_with PPI Pol'!$G301)+IF('RICE_Insured Farms_with PPI Pol'!$H301&lt;&gt;'RICE_Insured Farms_with PPI Pol'!$G301,18,0)</f>
        <v>64</v>
      </c>
      <c r="W301" s="3" t="str">
        <f t="array" ref="W301">IFS(V301&gt;120, "Harvested", V301&gt;=113, "Yellow Ripening", V301&gt;=101, "Dough Stage", V301&gt;=93, "Milking Stage", V301&gt;=86, "Flowering", V301&gt;=56, "Panicle Initiation/Booting", V301&lt;56, "Vegetative/Tillering")</f>
        <v>Panicle Initiation/Booting</v>
      </c>
    </row>
    <row r="302" ht="15.75" hidden="1" customHeight="1">
      <c r="A302" s="3">
        <v>433.0</v>
      </c>
      <c r="B302" s="3" t="s">
        <v>23</v>
      </c>
      <c r="C302" s="3" t="s">
        <v>24</v>
      </c>
      <c r="D302" s="3" t="s">
        <v>25</v>
      </c>
      <c r="E302" s="3" t="s">
        <v>781</v>
      </c>
      <c r="F302" s="3">
        <v>1760497.0</v>
      </c>
      <c r="G302" s="4">
        <v>46015.0</v>
      </c>
      <c r="H302" s="4">
        <v>46110.0</v>
      </c>
      <c r="I302" s="3" t="s">
        <v>1052</v>
      </c>
      <c r="J302" s="3" t="s">
        <v>1053</v>
      </c>
      <c r="K302" s="3" t="s">
        <v>1054</v>
      </c>
      <c r="L302" s="3">
        <v>0.6575</v>
      </c>
      <c r="M302" s="3">
        <v>16437.5</v>
      </c>
      <c r="N302" s="3">
        <v>4.0</v>
      </c>
      <c r="O302" s="3">
        <v>111328.0</v>
      </c>
      <c r="P302" s="3"/>
      <c r="Q302" s="3">
        <v>689094.0</v>
      </c>
      <c r="R302" s="3"/>
      <c r="S302" s="3">
        <v>13150.0</v>
      </c>
      <c r="T302" s="3" t="s">
        <v>56</v>
      </c>
      <c r="U302" s="3">
        <v>13150.0</v>
      </c>
      <c r="V302" s="5">
        <f>(DATE(2026,2,3)-'RICE_Insured Farms_with PPI Pol'!$G302)+IF('RICE_Insured Farms_with PPI Pol'!$H302&lt;&gt;'RICE_Insured Farms_with PPI Pol'!$G302,18,0)</f>
        <v>59</v>
      </c>
      <c r="W302" s="3" t="str">
        <f t="array" ref="W302">IFS(V302&gt;120, "Harvested", V302&gt;=113, "Yellow Ripening", V302&gt;=101, "Dough Stage", V302&gt;=93, "Milking Stage", V302&gt;=86, "Flowering", V302&gt;=56, "Panicle Initiation/Booting", V302&lt;56, "Vegetative/Tillering")</f>
        <v>Panicle Initiation/Booting</v>
      </c>
    </row>
    <row r="303" ht="15.75" hidden="1" customHeight="1">
      <c r="A303" s="3">
        <v>302.0</v>
      </c>
      <c r="B303" s="3" t="s">
        <v>23</v>
      </c>
      <c r="C303" s="3" t="s">
        <v>68</v>
      </c>
      <c r="D303" s="3" t="s">
        <v>679</v>
      </c>
      <c r="E303" s="3" t="s">
        <v>680</v>
      </c>
      <c r="F303" s="3">
        <v>1175383.0</v>
      </c>
      <c r="G303" s="4">
        <v>46033.0</v>
      </c>
      <c r="H303" s="4">
        <v>46135.0</v>
      </c>
      <c r="I303" s="3" t="s">
        <v>1055</v>
      </c>
      <c r="J303" s="3" t="s">
        <v>1056</v>
      </c>
      <c r="K303" s="3" t="s">
        <v>1057</v>
      </c>
      <c r="L303" s="3">
        <v>0.1205</v>
      </c>
      <c r="M303" s="3">
        <v>3012.5</v>
      </c>
      <c r="N303" s="3">
        <v>2.0</v>
      </c>
      <c r="O303" s="3">
        <v>295566.0</v>
      </c>
      <c r="P303" s="3" t="s">
        <v>1058</v>
      </c>
      <c r="Q303" s="3">
        <v>1214609.0</v>
      </c>
      <c r="R303" s="3"/>
      <c r="S303" s="3">
        <v>2108.75</v>
      </c>
      <c r="T303" s="3" t="s">
        <v>31</v>
      </c>
      <c r="U303" s="3">
        <v>2108.75</v>
      </c>
      <c r="V303" s="5">
        <f>(DATE(2026,2,3)-'RICE_Insured Farms_with PPI Pol'!$G303)+IF('RICE_Insured Farms_with PPI Pol'!$H303&lt;&gt;'RICE_Insured Farms_with PPI Pol'!$G303,18,0)</f>
        <v>41</v>
      </c>
      <c r="W303" s="3" t="str">
        <f t="array" ref="W303">IFS(V303&gt;120, "Harvested", V303&gt;=113, "Yellow Ripening", V303&gt;=101, "Dough Stage", V303&gt;=93, "Milking Stage", V303&gt;=86, "Flowering", V303&gt;=56, "Panicle Initiation/Booting", V303&lt;56, "Vegetative/Tillering")</f>
        <v>Vegetative/Tillering</v>
      </c>
    </row>
    <row r="304" ht="15.75" hidden="1" customHeight="1">
      <c r="A304" s="3">
        <v>303.0</v>
      </c>
      <c r="B304" s="3" t="s">
        <v>23</v>
      </c>
      <c r="C304" s="3" t="s">
        <v>68</v>
      </c>
      <c r="D304" s="3" t="s">
        <v>289</v>
      </c>
      <c r="E304" s="3" t="s">
        <v>363</v>
      </c>
      <c r="F304" s="3">
        <v>1760041.0</v>
      </c>
      <c r="G304" s="4">
        <v>46038.0</v>
      </c>
      <c r="H304" s="4">
        <v>46140.0</v>
      </c>
      <c r="I304" s="3" t="s">
        <v>1059</v>
      </c>
      <c r="J304" s="3" t="s">
        <v>547</v>
      </c>
      <c r="K304" s="3" t="s">
        <v>1060</v>
      </c>
      <c r="L304" s="3">
        <v>1.5021</v>
      </c>
      <c r="M304" s="3">
        <v>37552.5</v>
      </c>
      <c r="N304" s="3">
        <v>2.0</v>
      </c>
      <c r="O304" s="3">
        <v>187248.0</v>
      </c>
      <c r="P304" s="3" t="s">
        <v>1061</v>
      </c>
      <c r="Q304" s="3">
        <v>1151997.0</v>
      </c>
      <c r="R304" s="3"/>
      <c r="S304" s="3">
        <v>26286.75</v>
      </c>
      <c r="T304" s="3" t="s">
        <v>31</v>
      </c>
      <c r="U304" s="3">
        <v>26286.75</v>
      </c>
      <c r="V304" s="5">
        <f>(DATE(2026,2,3)-'RICE_Insured Farms_with PPI Pol'!$G304)+IF('RICE_Insured Farms_with PPI Pol'!$H304&lt;&gt;'RICE_Insured Farms_with PPI Pol'!$G304,18,0)</f>
        <v>36</v>
      </c>
      <c r="W304" s="3" t="str">
        <f t="array" ref="W304">IFS(V304&gt;120, "Harvested", V304&gt;=113, "Yellow Ripening", V304&gt;=101, "Dough Stage", V304&gt;=93, "Milking Stage", V304&gt;=86, "Flowering", V304&gt;=56, "Panicle Initiation/Booting", V304&lt;56, "Vegetative/Tillering")</f>
        <v>Vegetative/Tillering</v>
      </c>
    </row>
    <row r="305" ht="15.75" hidden="1" customHeight="1">
      <c r="A305" s="3">
        <v>304.0</v>
      </c>
      <c r="B305" s="3" t="s">
        <v>23</v>
      </c>
      <c r="C305" s="3" t="s">
        <v>68</v>
      </c>
      <c r="D305" s="3" t="s">
        <v>289</v>
      </c>
      <c r="E305" s="3" t="s">
        <v>363</v>
      </c>
      <c r="F305" s="3">
        <v>1760041.0</v>
      </c>
      <c r="G305" s="4">
        <v>46038.0</v>
      </c>
      <c r="H305" s="4">
        <v>46140.0</v>
      </c>
      <c r="I305" s="3" t="s">
        <v>1059</v>
      </c>
      <c r="J305" s="3" t="s">
        <v>1062</v>
      </c>
      <c r="K305" s="3" t="s">
        <v>1060</v>
      </c>
      <c r="L305" s="3">
        <v>1.0748</v>
      </c>
      <c r="M305" s="3">
        <v>26870.0</v>
      </c>
      <c r="N305" s="3">
        <v>2.0</v>
      </c>
      <c r="O305" s="3">
        <v>451708.0</v>
      </c>
      <c r="P305" s="3"/>
      <c r="Q305" s="3">
        <v>1152002.0</v>
      </c>
      <c r="R305" s="3"/>
      <c r="S305" s="3">
        <v>18809.0</v>
      </c>
      <c r="T305" s="3" t="s">
        <v>31</v>
      </c>
      <c r="U305" s="3">
        <v>18809.0</v>
      </c>
      <c r="V305" s="5">
        <f>(DATE(2026,2,3)-'RICE_Insured Farms_with PPI Pol'!$G305)+IF('RICE_Insured Farms_with PPI Pol'!$H305&lt;&gt;'RICE_Insured Farms_with PPI Pol'!$G305,18,0)</f>
        <v>36</v>
      </c>
      <c r="W305" s="3" t="str">
        <f t="array" ref="W305">IFS(V305&gt;120, "Harvested", V305&gt;=113, "Yellow Ripening", V305&gt;=101, "Dough Stage", V305&gt;=93, "Milking Stage", V305&gt;=86, "Flowering", V305&gt;=56, "Panicle Initiation/Booting", V305&lt;56, "Vegetative/Tillering")</f>
        <v>Vegetative/Tillering</v>
      </c>
    </row>
    <row r="306" ht="15.75" hidden="1" customHeight="1">
      <c r="A306" s="3">
        <v>305.0</v>
      </c>
      <c r="B306" s="3" t="s">
        <v>23</v>
      </c>
      <c r="C306" s="3" t="s">
        <v>68</v>
      </c>
      <c r="D306" s="3" t="s">
        <v>420</v>
      </c>
      <c r="E306" s="3" t="s">
        <v>689</v>
      </c>
      <c r="F306" s="3">
        <v>1197001.0</v>
      </c>
      <c r="G306" s="4">
        <v>46032.0</v>
      </c>
      <c r="H306" s="4">
        <v>46134.0</v>
      </c>
      <c r="I306" s="3" t="s">
        <v>658</v>
      </c>
      <c r="J306" s="3" t="s">
        <v>1063</v>
      </c>
      <c r="K306" s="3" t="s">
        <v>991</v>
      </c>
      <c r="L306" s="3">
        <v>0.2431</v>
      </c>
      <c r="M306" s="3">
        <v>6077.5</v>
      </c>
      <c r="N306" s="3">
        <v>2.0</v>
      </c>
      <c r="O306" s="3">
        <v>311757.0</v>
      </c>
      <c r="P306" s="3" t="s">
        <v>1064</v>
      </c>
      <c r="Q306" s="3">
        <v>1327623.0</v>
      </c>
      <c r="R306" s="3"/>
      <c r="S306" s="3">
        <v>4254.25</v>
      </c>
      <c r="T306" s="3" t="s">
        <v>31</v>
      </c>
      <c r="U306" s="3">
        <v>4254.25</v>
      </c>
      <c r="V306" s="5">
        <f>(DATE(2026,2,3)-'RICE_Insured Farms_with PPI Pol'!$G306)+IF('RICE_Insured Farms_with PPI Pol'!$H306&lt;&gt;'RICE_Insured Farms_with PPI Pol'!$G306,18,0)</f>
        <v>42</v>
      </c>
      <c r="W306" s="3" t="str">
        <f t="array" ref="W306">IFS(V306&gt;120, "Harvested", V306&gt;=113, "Yellow Ripening", V306&gt;=101, "Dough Stage", V306&gt;=93, "Milking Stage", V306&gt;=86, "Flowering", V306&gt;=56, "Panicle Initiation/Booting", V306&lt;56, "Vegetative/Tillering")</f>
        <v>Vegetative/Tillering</v>
      </c>
    </row>
    <row r="307" ht="15.75" hidden="1" customHeight="1">
      <c r="A307" s="3">
        <v>306.0</v>
      </c>
      <c r="B307" s="3" t="s">
        <v>23</v>
      </c>
      <c r="C307" s="3" t="s">
        <v>68</v>
      </c>
      <c r="D307" s="3" t="s">
        <v>420</v>
      </c>
      <c r="E307" s="3" t="s">
        <v>689</v>
      </c>
      <c r="F307" s="3">
        <v>1197001.0</v>
      </c>
      <c r="G307" s="4">
        <v>46031.0</v>
      </c>
      <c r="H307" s="4">
        <v>46133.0</v>
      </c>
      <c r="I307" s="3" t="s">
        <v>658</v>
      </c>
      <c r="J307" s="3" t="s">
        <v>1065</v>
      </c>
      <c r="K307" s="3" t="s">
        <v>1066</v>
      </c>
      <c r="L307" s="3">
        <v>0.1685</v>
      </c>
      <c r="M307" s="3">
        <v>4212.5</v>
      </c>
      <c r="N307" s="3">
        <v>2.0</v>
      </c>
      <c r="O307" s="3">
        <v>386914.0</v>
      </c>
      <c r="P307" s="3" t="s">
        <v>1067</v>
      </c>
      <c r="Q307" s="3">
        <v>1327637.0</v>
      </c>
      <c r="R307" s="3"/>
      <c r="S307" s="3">
        <v>2948.75</v>
      </c>
      <c r="T307" s="3" t="s">
        <v>31</v>
      </c>
      <c r="U307" s="3">
        <v>2948.75</v>
      </c>
      <c r="V307" s="5">
        <f>(DATE(2026,2,3)-'RICE_Insured Farms_with PPI Pol'!$G307)+IF('RICE_Insured Farms_with PPI Pol'!$H307&lt;&gt;'RICE_Insured Farms_with PPI Pol'!$G307,18,0)</f>
        <v>43</v>
      </c>
      <c r="W307" s="3" t="str">
        <f t="array" ref="W307">IFS(V307&gt;120, "Harvested", V307&gt;=113, "Yellow Ripening", V307&gt;=101, "Dough Stage", V307&gt;=93, "Milking Stage", V307&gt;=86, "Flowering", V307&gt;=56, "Panicle Initiation/Booting", V307&lt;56, "Vegetative/Tillering")</f>
        <v>Vegetative/Tillering</v>
      </c>
    </row>
    <row r="308" ht="15.75" hidden="1" customHeight="1">
      <c r="A308" s="3">
        <v>307.0</v>
      </c>
      <c r="B308" s="3" t="s">
        <v>23</v>
      </c>
      <c r="C308" s="3" t="s">
        <v>68</v>
      </c>
      <c r="D308" s="3" t="s">
        <v>420</v>
      </c>
      <c r="E308" s="3" t="s">
        <v>689</v>
      </c>
      <c r="F308" s="3">
        <v>1197003.0</v>
      </c>
      <c r="G308" s="4">
        <v>46031.0</v>
      </c>
      <c r="H308" s="4">
        <v>46133.0</v>
      </c>
      <c r="I308" s="3" t="s">
        <v>658</v>
      </c>
      <c r="J308" s="3" t="s">
        <v>1068</v>
      </c>
      <c r="K308" s="3" t="s">
        <v>1069</v>
      </c>
      <c r="L308" s="3">
        <v>0.1843</v>
      </c>
      <c r="M308" s="3">
        <v>4607.5</v>
      </c>
      <c r="N308" s="3">
        <v>2.0</v>
      </c>
      <c r="O308" s="3">
        <v>386912.0</v>
      </c>
      <c r="P308" s="3" t="s">
        <v>1070</v>
      </c>
      <c r="Q308" s="3">
        <v>1327640.0</v>
      </c>
      <c r="R308" s="3"/>
      <c r="S308" s="3">
        <v>3225.25</v>
      </c>
      <c r="T308" s="3" t="s">
        <v>31</v>
      </c>
      <c r="U308" s="3">
        <v>3225.25</v>
      </c>
      <c r="V308" s="5">
        <f>(DATE(2026,2,3)-'RICE_Insured Farms_with PPI Pol'!$G308)+IF('RICE_Insured Farms_with PPI Pol'!$H308&lt;&gt;'RICE_Insured Farms_with PPI Pol'!$G308,18,0)</f>
        <v>43</v>
      </c>
      <c r="W308" s="3" t="str">
        <f t="array" ref="W308">IFS(V308&gt;120, "Harvested", V308&gt;=113, "Yellow Ripening", V308&gt;=101, "Dough Stage", V308&gt;=93, "Milking Stage", V308&gt;=86, "Flowering", V308&gt;=56, "Panicle Initiation/Booting", V308&lt;56, "Vegetative/Tillering")</f>
        <v>Vegetative/Tillering</v>
      </c>
    </row>
    <row r="309" ht="15.75" hidden="1" customHeight="1">
      <c r="A309" s="3">
        <v>308.0</v>
      </c>
      <c r="B309" s="3" t="s">
        <v>23</v>
      </c>
      <c r="C309" s="3" t="s">
        <v>68</v>
      </c>
      <c r="D309" s="3" t="s">
        <v>420</v>
      </c>
      <c r="E309" s="3" t="s">
        <v>689</v>
      </c>
      <c r="F309" s="3">
        <v>1197001.0</v>
      </c>
      <c r="G309" s="4">
        <v>46027.0</v>
      </c>
      <c r="H309" s="4">
        <v>46129.0</v>
      </c>
      <c r="I309" s="3" t="s">
        <v>658</v>
      </c>
      <c r="J309" s="3" t="s">
        <v>341</v>
      </c>
      <c r="K309" s="3" t="s">
        <v>1071</v>
      </c>
      <c r="L309" s="3">
        <v>0.215</v>
      </c>
      <c r="M309" s="3">
        <v>5375.0</v>
      </c>
      <c r="N309" s="3">
        <v>2.0</v>
      </c>
      <c r="O309" s="3">
        <v>330600.0</v>
      </c>
      <c r="P309" s="3" t="s">
        <v>1072</v>
      </c>
      <c r="Q309" s="3">
        <v>1327682.0</v>
      </c>
      <c r="R309" s="3"/>
      <c r="S309" s="3">
        <v>3762.5</v>
      </c>
      <c r="T309" s="3" t="s">
        <v>31</v>
      </c>
      <c r="U309" s="3">
        <v>3762.5</v>
      </c>
      <c r="V309" s="5">
        <f>(DATE(2026,2,3)-'RICE_Insured Farms_with PPI Pol'!$G309)+IF('RICE_Insured Farms_with PPI Pol'!$H309&lt;&gt;'RICE_Insured Farms_with PPI Pol'!$G309,18,0)</f>
        <v>47</v>
      </c>
      <c r="W309" s="3" t="str">
        <f t="array" ref="W309">IFS(V309&gt;120, "Harvested", V309&gt;=113, "Yellow Ripening", V309&gt;=101, "Dough Stage", V309&gt;=93, "Milking Stage", V309&gt;=86, "Flowering", V309&gt;=56, "Panicle Initiation/Booting", V309&lt;56, "Vegetative/Tillering")</f>
        <v>Vegetative/Tillering</v>
      </c>
    </row>
    <row r="310" ht="15.75" hidden="1" customHeight="1">
      <c r="A310" s="3">
        <v>309.0</v>
      </c>
      <c r="B310" s="3" t="s">
        <v>23</v>
      </c>
      <c r="C310" s="3" t="s">
        <v>68</v>
      </c>
      <c r="D310" s="3" t="s">
        <v>289</v>
      </c>
      <c r="E310" s="3" t="s">
        <v>352</v>
      </c>
      <c r="F310" s="3">
        <v>1760050.0</v>
      </c>
      <c r="G310" s="4">
        <v>46036.0</v>
      </c>
      <c r="H310" s="4">
        <v>46138.0</v>
      </c>
      <c r="I310" s="3" t="s">
        <v>1073</v>
      </c>
      <c r="J310" s="3" t="s">
        <v>1074</v>
      </c>
      <c r="K310" s="3" t="s">
        <v>1075</v>
      </c>
      <c r="L310" s="3">
        <v>0.2304</v>
      </c>
      <c r="M310" s="3">
        <v>5760.0</v>
      </c>
      <c r="N310" s="3">
        <v>2.0</v>
      </c>
      <c r="O310" s="3">
        <v>195077.0</v>
      </c>
      <c r="P310" s="3" t="s">
        <v>1076</v>
      </c>
      <c r="Q310" s="3">
        <v>975792.0</v>
      </c>
      <c r="R310" s="3"/>
      <c r="S310" s="3">
        <v>4032.0</v>
      </c>
      <c r="T310" s="3" t="s">
        <v>31</v>
      </c>
      <c r="U310" s="3">
        <v>4032.0</v>
      </c>
      <c r="V310" s="5">
        <f>(DATE(2026,2,3)-'RICE_Insured Farms_with PPI Pol'!$G310)+IF('RICE_Insured Farms_with PPI Pol'!$H310&lt;&gt;'RICE_Insured Farms_with PPI Pol'!$G310,18,0)</f>
        <v>38</v>
      </c>
      <c r="W310" s="3" t="str">
        <f t="array" ref="W310">IFS(V310&gt;120, "Harvested", V310&gt;=113, "Yellow Ripening", V310&gt;=101, "Dough Stage", V310&gt;=93, "Milking Stage", V310&gt;=86, "Flowering", V310&gt;=56, "Panicle Initiation/Booting", V310&lt;56, "Vegetative/Tillering")</f>
        <v>Vegetative/Tillering</v>
      </c>
    </row>
    <row r="311" ht="15.75" hidden="1" customHeight="1">
      <c r="A311" s="3">
        <v>310.0</v>
      </c>
      <c r="B311" s="3" t="s">
        <v>23</v>
      </c>
      <c r="C311" s="3" t="s">
        <v>121</v>
      </c>
      <c r="D311" s="3" t="s">
        <v>122</v>
      </c>
      <c r="E311" s="3" t="s">
        <v>655</v>
      </c>
      <c r="F311" s="3">
        <v>1760510.0</v>
      </c>
      <c r="G311" s="4">
        <v>46032.0</v>
      </c>
      <c r="H311" s="4">
        <v>46152.0</v>
      </c>
      <c r="I311" s="3" t="s">
        <v>1077</v>
      </c>
      <c r="J311" s="3" t="s">
        <v>1078</v>
      </c>
      <c r="K311" s="3" t="s">
        <v>1079</v>
      </c>
      <c r="L311" s="3">
        <v>2.0</v>
      </c>
      <c r="M311" s="3">
        <v>50000.0</v>
      </c>
      <c r="N311" s="3">
        <v>1.0</v>
      </c>
      <c r="O311" s="3">
        <v>251744.0</v>
      </c>
      <c r="P311" s="3" t="s">
        <v>1080</v>
      </c>
      <c r="Q311" s="3">
        <v>1335634.0</v>
      </c>
      <c r="R311" s="3"/>
      <c r="S311" s="3">
        <v>30000.0</v>
      </c>
      <c r="T311" s="3" t="s">
        <v>62</v>
      </c>
      <c r="U311" s="3">
        <v>30000.0</v>
      </c>
      <c r="V311" s="5">
        <f>(DATE(2026,2,3)-'RICE_Insured Farms_with PPI Pol'!$G311)+IF('RICE_Insured Farms_with PPI Pol'!$H311&lt;&gt;'RICE_Insured Farms_with PPI Pol'!$G311,18,0)</f>
        <v>42</v>
      </c>
      <c r="W311" s="3" t="str">
        <f t="array" ref="W311">IFS(V311&gt;120, "Harvested", V311&gt;=113, "Yellow Ripening", V311&gt;=101, "Dough Stage", V311&gt;=93, "Milking Stage", V311&gt;=86, "Flowering", V311&gt;=56, "Panicle Initiation/Booting", V311&lt;56, "Vegetative/Tillering")</f>
        <v>Vegetative/Tillering</v>
      </c>
    </row>
    <row r="312" ht="15.75" hidden="1" customHeight="1">
      <c r="A312" s="3">
        <v>434.0</v>
      </c>
      <c r="B312" s="3" t="s">
        <v>23</v>
      </c>
      <c r="C312" s="3" t="s">
        <v>24</v>
      </c>
      <c r="D312" s="3" t="s">
        <v>25</v>
      </c>
      <c r="E312" s="3" t="s">
        <v>781</v>
      </c>
      <c r="F312" s="3">
        <v>1760497.0</v>
      </c>
      <c r="G312" s="4">
        <v>46014.0</v>
      </c>
      <c r="H312" s="4">
        <v>46109.0</v>
      </c>
      <c r="I312" s="3" t="s">
        <v>1052</v>
      </c>
      <c r="J312" s="3" t="s">
        <v>1081</v>
      </c>
      <c r="K312" s="3" t="s">
        <v>1054</v>
      </c>
      <c r="L312" s="3">
        <v>1.0825</v>
      </c>
      <c r="M312" s="3">
        <v>27062.5</v>
      </c>
      <c r="N312" s="3">
        <v>4.0</v>
      </c>
      <c r="O312" s="3">
        <v>354521.0</v>
      </c>
      <c r="P312" s="3"/>
      <c r="Q312" s="3">
        <v>688314.0</v>
      </c>
      <c r="R312" s="3"/>
      <c r="S312" s="3">
        <v>21650.0</v>
      </c>
      <c r="T312" s="3" t="s">
        <v>56</v>
      </c>
      <c r="U312" s="3">
        <v>21650.0</v>
      </c>
      <c r="V312" s="5">
        <f>(DATE(2026,2,3)-'RICE_Insured Farms_with PPI Pol'!$G312)+IF('RICE_Insured Farms_with PPI Pol'!$H312&lt;&gt;'RICE_Insured Farms_with PPI Pol'!$G312,18,0)</f>
        <v>60</v>
      </c>
      <c r="W312" s="3" t="str">
        <f t="array" ref="W312">IFS(V312&gt;120, "Harvested", V312&gt;=113, "Yellow Ripening", V312&gt;=101, "Dough Stage", V312&gt;=93, "Milking Stage", V312&gt;=86, "Flowering", V312&gt;=56, "Panicle Initiation/Booting", V312&lt;56, "Vegetative/Tillering")</f>
        <v>Panicle Initiation/Booting</v>
      </c>
    </row>
    <row r="313" ht="15.75" hidden="1" customHeight="1">
      <c r="A313" s="3">
        <v>312.0</v>
      </c>
      <c r="B313" s="3" t="s">
        <v>23</v>
      </c>
      <c r="C313" s="3" t="s">
        <v>68</v>
      </c>
      <c r="D313" s="3" t="s">
        <v>420</v>
      </c>
      <c r="E313" s="3" t="s">
        <v>842</v>
      </c>
      <c r="F313" s="3">
        <v>1196993.0</v>
      </c>
      <c r="G313" s="4">
        <v>46025.0</v>
      </c>
      <c r="H313" s="4">
        <v>46127.0</v>
      </c>
      <c r="I313" s="3" t="s">
        <v>993</v>
      </c>
      <c r="J313" s="3" t="s">
        <v>1082</v>
      </c>
      <c r="K313" s="3" t="s">
        <v>1083</v>
      </c>
      <c r="L313" s="3">
        <v>0.1833</v>
      </c>
      <c r="M313" s="3">
        <v>4582.5</v>
      </c>
      <c r="N313" s="3">
        <v>2.0</v>
      </c>
      <c r="O313" s="3">
        <v>296187.0</v>
      </c>
      <c r="P313" s="3" t="s">
        <v>1084</v>
      </c>
      <c r="Q313" s="3">
        <v>1030837.0</v>
      </c>
      <c r="R313" s="3"/>
      <c r="S313" s="3">
        <v>3207.75</v>
      </c>
      <c r="T313" s="3" t="s">
        <v>31</v>
      </c>
      <c r="U313" s="3">
        <v>3207.75</v>
      </c>
      <c r="V313" s="5">
        <f>(DATE(2026,2,3)-'RICE_Insured Farms_with PPI Pol'!$G313)+IF('RICE_Insured Farms_with PPI Pol'!$H313&lt;&gt;'RICE_Insured Farms_with PPI Pol'!$G313,18,0)</f>
        <v>49</v>
      </c>
      <c r="W313" s="3" t="str">
        <f t="array" ref="W313">IFS(V313&gt;120, "Harvested", V313&gt;=113, "Yellow Ripening", V313&gt;=101, "Dough Stage", V313&gt;=93, "Milking Stage", V313&gt;=86, "Flowering", V313&gt;=56, "Panicle Initiation/Booting", V313&lt;56, "Vegetative/Tillering")</f>
        <v>Vegetative/Tillering</v>
      </c>
    </row>
    <row r="314" ht="15.75" hidden="1" customHeight="1">
      <c r="A314" s="3">
        <v>313.0</v>
      </c>
      <c r="B314" s="3" t="s">
        <v>23</v>
      </c>
      <c r="C314" s="3" t="s">
        <v>68</v>
      </c>
      <c r="D314" s="3" t="s">
        <v>420</v>
      </c>
      <c r="E314" s="3" t="s">
        <v>421</v>
      </c>
      <c r="F314" s="3">
        <v>1197002.0</v>
      </c>
      <c r="G314" s="4">
        <v>46042.0</v>
      </c>
      <c r="H314" s="4">
        <v>46144.0</v>
      </c>
      <c r="I314" s="3" t="s">
        <v>1085</v>
      </c>
      <c r="J314" s="3" t="s">
        <v>1086</v>
      </c>
      <c r="K314" s="3" t="s">
        <v>1087</v>
      </c>
      <c r="L314" s="3">
        <v>0.3552</v>
      </c>
      <c r="M314" s="3">
        <v>8880.0</v>
      </c>
      <c r="N314" s="3">
        <v>2.0</v>
      </c>
      <c r="O314" s="3">
        <v>16049.0</v>
      </c>
      <c r="P314" s="3" t="s">
        <v>1088</v>
      </c>
      <c r="Q314" s="3">
        <v>1338272.0</v>
      </c>
      <c r="R314" s="3"/>
      <c r="S314" s="3">
        <v>6216.0</v>
      </c>
      <c r="T314" s="3" t="s">
        <v>31</v>
      </c>
      <c r="U314" s="3">
        <v>6216.0</v>
      </c>
      <c r="V314" s="5">
        <f>(DATE(2026,2,3)-'RICE_Insured Farms_with PPI Pol'!$G314)+IF('RICE_Insured Farms_with PPI Pol'!$H314&lt;&gt;'RICE_Insured Farms_with PPI Pol'!$G314,18,0)</f>
        <v>32</v>
      </c>
      <c r="W314" s="3" t="str">
        <f t="array" ref="W314">IFS(V314&gt;120, "Harvested", V314&gt;=113, "Yellow Ripening", V314&gt;=101, "Dough Stage", V314&gt;=93, "Milking Stage", V314&gt;=86, "Flowering", V314&gt;=56, "Panicle Initiation/Booting", V314&lt;56, "Vegetative/Tillering")</f>
        <v>Vegetative/Tillering</v>
      </c>
    </row>
    <row r="315" ht="15.75" hidden="1" customHeight="1">
      <c r="A315" s="3">
        <v>314.0</v>
      </c>
      <c r="B315" s="3" t="s">
        <v>23</v>
      </c>
      <c r="C315" s="3" t="s">
        <v>68</v>
      </c>
      <c r="D315" s="3" t="s">
        <v>420</v>
      </c>
      <c r="E315" s="3" t="s">
        <v>421</v>
      </c>
      <c r="F315" s="3">
        <v>1197002.0</v>
      </c>
      <c r="G315" s="4">
        <v>46045.0</v>
      </c>
      <c r="H315" s="4">
        <v>46147.0</v>
      </c>
      <c r="I315" s="3" t="s">
        <v>1085</v>
      </c>
      <c r="J315" s="3" t="s">
        <v>614</v>
      </c>
      <c r="K315" s="3" t="s">
        <v>1089</v>
      </c>
      <c r="L315" s="3">
        <v>0.5509</v>
      </c>
      <c r="M315" s="3">
        <v>13772.5</v>
      </c>
      <c r="N315" s="3">
        <v>1.0</v>
      </c>
      <c r="O315" s="3">
        <v>465312.0</v>
      </c>
      <c r="P315" s="3" t="s">
        <v>1090</v>
      </c>
      <c r="Q315" s="3">
        <v>1134748.0</v>
      </c>
      <c r="R315" s="3"/>
      <c r="S315" s="3">
        <v>8263.5</v>
      </c>
      <c r="T315" s="3" t="s">
        <v>62</v>
      </c>
      <c r="U315" s="3">
        <v>8263.5</v>
      </c>
      <c r="V315" s="5">
        <f>(DATE(2026,2,3)-'RICE_Insured Farms_with PPI Pol'!$G315)+IF('RICE_Insured Farms_with PPI Pol'!$H315&lt;&gt;'RICE_Insured Farms_with PPI Pol'!$G315,18,0)</f>
        <v>29</v>
      </c>
      <c r="W315" s="3" t="str">
        <f t="array" ref="W315">IFS(V315&gt;120, "Harvested", V315&gt;=113, "Yellow Ripening", V315&gt;=101, "Dough Stage", V315&gt;=93, "Milking Stage", V315&gt;=86, "Flowering", V315&gt;=56, "Panicle Initiation/Booting", V315&lt;56, "Vegetative/Tillering")</f>
        <v>Vegetative/Tillering</v>
      </c>
    </row>
    <row r="316" ht="15.75" customHeight="1">
      <c r="A316" s="3">
        <v>315.0</v>
      </c>
      <c r="B316" s="3" t="s">
        <v>23</v>
      </c>
      <c r="C316" s="3" t="s">
        <v>68</v>
      </c>
      <c r="D316" s="3" t="s">
        <v>289</v>
      </c>
      <c r="E316" s="3" t="s">
        <v>786</v>
      </c>
      <c r="F316" s="3">
        <v>1760030.0</v>
      </c>
      <c r="G316" s="4">
        <v>46025.0</v>
      </c>
      <c r="H316" s="4">
        <v>46117.0</v>
      </c>
      <c r="I316" s="3" t="s">
        <v>1091</v>
      </c>
      <c r="J316" s="3" t="s">
        <v>1092</v>
      </c>
      <c r="K316" s="3" t="s">
        <v>1093</v>
      </c>
      <c r="L316" s="3">
        <v>0.2032</v>
      </c>
      <c r="M316" s="3">
        <v>5080.0</v>
      </c>
      <c r="N316" s="3">
        <v>3.0</v>
      </c>
      <c r="O316" s="3">
        <v>119842.0</v>
      </c>
      <c r="P316" s="3" t="s">
        <v>1094</v>
      </c>
      <c r="Q316" s="3">
        <v>1335797.0</v>
      </c>
      <c r="R316" s="3"/>
      <c r="S316" s="3">
        <v>4064.0</v>
      </c>
      <c r="T316" s="3" t="s">
        <v>37</v>
      </c>
      <c r="U316" s="3">
        <v>4064.0</v>
      </c>
      <c r="V316" s="5">
        <f>(DATE(2026,2,3)-'RICE_Insured Farms_with PPI Pol'!$G316)+IF('RICE_Insured Farms_with PPI Pol'!$H316&lt;&gt;'RICE_Insured Farms_with PPI Pol'!$G316,18,0)</f>
        <v>49</v>
      </c>
      <c r="W316" s="3" t="str">
        <f t="array" ref="W316">IFS(V316&gt;120, "Harvested", V316&gt;=113, "Yellow Ripening", V316&gt;=101, "Dough Stage", V316&gt;=93, "Milking Stage", V316&gt;=86, "Flowering", V316&gt;=56, "Panicle Initiation/Booting", V316&lt;56, "Vegetative/Tillering")</f>
        <v>Vegetative/Tillering</v>
      </c>
    </row>
    <row r="317" ht="15.75" hidden="1" customHeight="1">
      <c r="A317" s="3">
        <v>316.0</v>
      </c>
      <c r="B317" s="3" t="s">
        <v>23</v>
      </c>
      <c r="C317" s="3" t="s">
        <v>68</v>
      </c>
      <c r="D317" s="3" t="s">
        <v>289</v>
      </c>
      <c r="E317" s="3" t="s">
        <v>786</v>
      </c>
      <c r="F317" s="3">
        <v>1760044.0</v>
      </c>
      <c r="G317" s="4">
        <v>46035.0</v>
      </c>
      <c r="H317" s="4">
        <v>46137.0</v>
      </c>
      <c r="I317" s="3" t="s">
        <v>1095</v>
      </c>
      <c r="J317" s="3" t="s">
        <v>1096</v>
      </c>
      <c r="K317" s="3" t="s">
        <v>1097</v>
      </c>
      <c r="L317" s="3">
        <v>0.1749</v>
      </c>
      <c r="M317" s="3">
        <v>4372.5</v>
      </c>
      <c r="N317" s="3">
        <v>2.0</v>
      </c>
      <c r="O317" s="3">
        <v>529148.0</v>
      </c>
      <c r="P317" s="3" t="s">
        <v>1098</v>
      </c>
      <c r="Q317" s="3">
        <v>1327133.0</v>
      </c>
      <c r="R317" s="3"/>
      <c r="S317" s="3">
        <v>3060.75</v>
      </c>
      <c r="T317" s="3" t="s">
        <v>31</v>
      </c>
      <c r="U317" s="3">
        <v>3060.75</v>
      </c>
      <c r="V317" s="5">
        <f>(DATE(2026,2,3)-'RICE_Insured Farms_with PPI Pol'!$G317)+IF('RICE_Insured Farms_with PPI Pol'!$H317&lt;&gt;'RICE_Insured Farms_with PPI Pol'!$G317,18,0)</f>
        <v>39</v>
      </c>
      <c r="W317" s="3" t="str">
        <f t="array" ref="W317">IFS(V317&gt;120, "Harvested", V317&gt;=113, "Yellow Ripening", V317&gt;=101, "Dough Stage", V317&gt;=93, "Milking Stage", V317&gt;=86, "Flowering", V317&gt;=56, "Panicle Initiation/Booting", V317&lt;56, "Vegetative/Tillering")</f>
        <v>Vegetative/Tillering</v>
      </c>
    </row>
    <row r="318" ht="15.75" hidden="1" customHeight="1">
      <c r="A318" s="3">
        <v>317.0</v>
      </c>
      <c r="B318" s="3" t="s">
        <v>23</v>
      </c>
      <c r="C318" s="3" t="s">
        <v>68</v>
      </c>
      <c r="D318" s="3" t="s">
        <v>679</v>
      </c>
      <c r="E318" s="3" t="s">
        <v>680</v>
      </c>
      <c r="F318" s="3">
        <v>1175382.0</v>
      </c>
      <c r="G318" s="4">
        <v>46035.0</v>
      </c>
      <c r="H318" s="4">
        <v>46137.0</v>
      </c>
      <c r="I318" s="3" t="s">
        <v>1099</v>
      </c>
      <c r="J318" s="3" t="s">
        <v>1100</v>
      </c>
      <c r="K318" s="3" t="s">
        <v>797</v>
      </c>
      <c r="L318" s="3">
        <v>0.3812</v>
      </c>
      <c r="M318" s="3">
        <v>9530.0</v>
      </c>
      <c r="N318" s="3">
        <v>2.0</v>
      </c>
      <c r="O318" s="3">
        <v>20590.0</v>
      </c>
      <c r="P318" s="3" t="s">
        <v>1101</v>
      </c>
      <c r="Q318" s="3">
        <v>987171.0</v>
      </c>
      <c r="R318" s="3"/>
      <c r="S318" s="3">
        <v>6671.0</v>
      </c>
      <c r="T318" s="3" t="s">
        <v>31</v>
      </c>
      <c r="U318" s="3">
        <v>6671.0</v>
      </c>
      <c r="V318" s="5">
        <f>(DATE(2026,2,3)-'RICE_Insured Farms_with PPI Pol'!$G318)+IF('RICE_Insured Farms_with PPI Pol'!$H318&lt;&gt;'RICE_Insured Farms_with PPI Pol'!$G318,18,0)</f>
        <v>39</v>
      </c>
      <c r="W318" s="3" t="str">
        <f t="array" ref="W318">IFS(V318&gt;120, "Harvested", V318&gt;=113, "Yellow Ripening", V318&gt;=101, "Dough Stage", V318&gt;=93, "Milking Stage", V318&gt;=86, "Flowering", V318&gt;=56, "Panicle Initiation/Booting", V318&lt;56, "Vegetative/Tillering")</f>
        <v>Vegetative/Tillering</v>
      </c>
    </row>
    <row r="319" ht="15.75" hidden="1" customHeight="1">
      <c r="A319" s="3">
        <v>318.0</v>
      </c>
      <c r="B319" s="3" t="s">
        <v>23</v>
      </c>
      <c r="C319" s="3" t="s">
        <v>68</v>
      </c>
      <c r="D319" s="3" t="s">
        <v>262</v>
      </c>
      <c r="E319" s="3" t="s">
        <v>273</v>
      </c>
      <c r="F319" s="3">
        <v>1739591.0</v>
      </c>
      <c r="G319" s="4">
        <v>46025.0</v>
      </c>
      <c r="H319" s="4">
        <v>46127.0</v>
      </c>
      <c r="I319" s="3" t="s">
        <v>1102</v>
      </c>
      <c r="J319" s="3" t="s">
        <v>100</v>
      </c>
      <c r="K319" s="3" t="s">
        <v>606</v>
      </c>
      <c r="L319" s="3">
        <v>0.6646</v>
      </c>
      <c r="M319" s="3">
        <v>16615.0</v>
      </c>
      <c r="N319" s="3">
        <v>2.0</v>
      </c>
      <c r="O319" s="3">
        <v>163153.0</v>
      </c>
      <c r="P319" s="3" t="s">
        <v>1103</v>
      </c>
      <c r="Q319" s="3">
        <v>1119276.0</v>
      </c>
      <c r="R319" s="3"/>
      <c r="S319" s="3">
        <v>11630.5</v>
      </c>
      <c r="T319" s="3" t="s">
        <v>31</v>
      </c>
      <c r="U319" s="3">
        <v>11630.5</v>
      </c>
      <c r="V319" s="5">
        <f>(DATE(2026,2,3)-'RICE_Insured Farms_with PPI Pol'!$G319)+IF('RICE_Insured Farms_with PPI Pol'!$H319&lt;&gt;'RICE_Insured Farms_with PPI Pol'!$G319,18,0)</f>
        <v>49</v>
      </c>
      <c r="W319" s="3" t="str">
        <f t="array" ref="W319">IFS(V319&gt;120, "Harvested", V319&gt;=113, "Yellow Ripening", V319&gt;=101, "Dough Stage", V319&gt;=93, "Milking Stage", V319&gt;=86, "Flowering", V319&gt;=56, "Panicle Initiation/Booting", V319&lt;56, "Vegetative/Tillering")</f>
        <v>Vegetative/Tillering</v>
      </c>
    </row>
    <row r="320" ht="15.75" customHeight="1">
      <c r="A320" s="3">
        <v>319.0</v>
      </c>
      <c r="B320" s="3" t="s">
        <v>23</v>
      </c>
      <c r="C320" s="3" t="s">
        <v>68</v>
      </c>
      <c r="D320" s="3" t="s">
        <v>262</v>
      </c>
      <c r="E320" s="3" t="s">
        <v>273</v>
      </c>
      <c r="F320" s="3">
        <v>1739585.0</v>
      </c>
      <c r="G320" s="4">
        <v>46017.0</v>
      </c>
      <c r="H320" s="4">
        <v>46119.0</v>
      </c>
      <c r="I320" s="3" t="s">
        <v>1104</v>
      </c>
      <c r="J320" s="3" t="s">
        <v>971</v>
      </c>
      <c r="K320" s="3" t="s">
        <v>1105</v>
      </c>
      <c r="L320" s="3">
        <v>0.444</v>
      </c>
      <c r="M320" s="3">
        <v>11100.0</v>
      </c>
      <c r="N320" s="3">
        <v>3.0</v>
      </c>
      <c r="O320" s="3">
        <v>75027.0</v>
      </c>
      <c r="P320" s="3" t="s">
        <v>1106</v>
      </c>
      <c r="Q320" s="3">
        <v>1329501.0</v>
      </c>
      <c r="R320" s="3"/>
      <c r="S320" s="3">
        <v>8880.0</v>
      </c>
      <c r="T320" s="3" t="s">
        <v>37</v>
      </c>
      <c r="U320" s="3">
        <v>8880.0</v>
      </c>
      <c r="V320" s="5">
        <f>(DATE(2026,2,3)-'RICE_Insured Farms_with PPI Pol'!$G320)+IF('RICE_Insured Farms_with PPI Pol'!$H320&lt;&gt;'RICE_Insured Farms_with PPI Pol'!$G320,18,0)</f>
        <v>57</v>
      </c>
      <c r="W320" s="3" t="str">
        <f t="array" ref="W320">IFS(V320&gt;120, "Harvested", V320&gt;=113, "Yellow Ripening", V320&gt;=101, "Dough Stage", V320&gt;=93, "Milking Stage", V320&gt;=86, "Flowering", V320&gt;=56, "Panicle Initiation/Booting", V320&lt;56, "Vegetative/Tillering")</f>
        <v>Panicle Initiation/Booting</v>
      </c>
    </row>
    <row r="321" ht="15.75" hidden="1" customHeight="1">
      <c r="A321" s="3">
        <v>320.0</v>
      </c>
      <c r="B321" s="3" t="s">
        <v>23</v>
      </c>
      <c r="C321" s="3" t="s">
        <v>68</v>
      </c>
      <c r="D321" s="3" t="s">
        <v>289</v>
      </c>
      <c r="E321" s="3" t="s">
        <v>774</v>
      </c>
      <c r="F321" s="3">
        <v>1760040.0</v>
      </c>
      <c r="G321" s="4">
        <v>46042.0</v>
      </c>
      <c r="H321" s="4">
        <v>46144.0</v>
      </c>
      <c r="I321" s="3" t="s">
        <v>1107</v>
      </c>
      <c r="J321" s="3" t="s">
        <v>1108</v>
      </c>
      <c r="K321" s="3" t="s">
        <v>429</v>
      </c>
      <c r="L321" s="3">
        <v>1.2882</v>
      </c>
      <c r="M321" s="3">
        <v>32205.0</v>
      </c>
      <c r="N321" s="3">
        <v>2.0</v>
      </c>
      <c r="O321" s="3">
        <v>53134.0</v>
      </c>
      <c r="P321" s="3" t="s">
        <v>1109</v>
      </c>
      <c r="Q321" s="3">
        <v>1331357.0</v>
      </c>
      <c r="R321" s="3"/>
      <c r="S321" s="3">
        <v>22543.5</v>
      </c>
      <c r="T321" s="3" t="s">
        <v>31</v>
      </c>
      <c r="U321" s="3">
        <v>22543.5</v>
      </c>
      <c r="V321" s="5">
        <f>(DATE(2026,2,3)-'RICE_Insured Farms_with PPI Pol'!$G321)+IF('RICE_Insured Farms_with PPI Pol'!$H321&lt;&gt;'RICE_Insured Farms_with PPI Pol'!$G321,18,0)</f>
        <v>32</v>
      </c>
      <c r="W321" s="3" t="str">
        <f t="array" ref="W321">IFS(V321&gt;120, "Harvested", V321&gt;=113, "Yellow Ripening", V321&gt;=101, "Dough Stage", V321&gt;=93, "Milking Stage", V321&gt;=86, "Flowering", V321&gt;=56, "Panicle Initiation/Booting", V321&lt;56, "Vegetative/Tillering")</f>
        <v>Vegetative/Tillering</v>
      </c>
    </row>
    <row r="322" ht="15.75" hidden="1" customHeight="1">
      <c r="A322" s="3">
        <v>321.0</v>
      </c>
      <c r="B322" s="3" t="s">
        <v>23</v>
      </c>
      <c r="C322" s="3" t="s">
        <v>68</v>
      </c>
      <c r="D322" s="3" t="s">
        <v>420</v>
      </c>
      <c r="E322" s="3" t="s">
        <v>421</v>
      </c>
      <c r="F322" s="3">
        <v>1197003.0</v>
      </c>
      <c r="G322" s="4">
        <v>46050.0</v>
      </c>
      <c r="H322" s="4">
        <v>46152.0</v>
      </c>
      <c r="I322" s="3" t="s">
        <v>566</v>
      </c>
      <c r="J322" s="3" t="s">
        <v>1110</v>
      </c>
      <c r="K322" s="3" t="s">
        <v>1111</v>
      </c>
      <c r="L322" s="3">
        <v>0.4048</v>
      </c>
      <c r="M322" s="3">
        <v>10120.0</v>
      </c>
      <c r="N322" s="3">
        <v>1.0</v>
      </c>
      <c r="O322" s="3">
        <v>530116.0</v>
      </c>
      <c r="P322" s="3" t="s">
        <v>1112</v>
      </c>
      <c r="Q322" s="3">
        <v>1328122.0</v>
      </c>
      <c r="R322" s="3"/>
      <c r="S322" s="3">
        <v>6072.0</v>
      </c>
      <c r="T322" s="3" t="s">
        <v>62</v>
      </c>
      <c r="U322" s="3">
        <v>6072.0</v>
      </c>
      <c r="V322" s="5">
        <f>(DATE(2026,2,3)-'RICE_Insured Farms_with PPI Pol'!$G322)+IF('RICE_Insured Farms_with PPI Pol'!$H322&lt;&gt;'RICE_Insured Farms_with PPI Pol'!$G322,18,0)</f>
        <v>24</v>
      </c>
      <c r="W322" s="3" t="str">
        <f t="array" ref="W322">IFS(V322&gt;120, "Harvested", V322&gt;=113, "Yellow Ripening", V322&gt;=101, "Dough Stage", V322&gt;=93, "Milking Stage", V322&gt;=86, "Flowering", V322&gt;=56, "Panicle Initiation/Booting", V322&lt;56, "Vegetative/Tillering")</f>
        <v>Vegetative/Tillering</v>
      </c>
    </row>
    <row r="323" ht="15.75" customHeight="1">
      <c r="A323" s="3">
        <v>322.0</v>
      </c>
      <c r="B323" s="3" t="s">
        <v>23</v>
      </c>
      <c r="C323" s="3" t="s">
        <v>68</v>
      </c>
      <c r="D323" s="3" t="s">
        <v>262</v>
      </c>
      <c r="E323" s="3" t="s">
        <v>273</v>
      </c>
      <c r="F323" s="3">
        <v>1739591.0</v>
      </c>
      <c r="G323" s="4">
        <v>46021.0</v>
      </c>
      <c r="H323" s="4">
        <v>46113.0</v>
      </c>
      <c r="I323" s="3" t="s">
        <v>1015</v>
      </c>
      <c r="J323" s="3" t="s">
        <v>1113</v>
      </c>
      <c r="K323" s="3" t="s">
        <v>526</v>
      </c>
      <c r="L323" s="3">
        <v>0.3639</v>
      </c>
      <c r="M323" s="3">
        <v>9097.5</v>
      </c>
      <c r="N323" s="3">
        <v>3.0</v>
      </c>
      <c r="O323" s="3">
        <v>127751.0</v>
      </c>
      <c r="P323" s="3" t="s">
        <v>1114</v>
      </c>
      <c r="Q323" s="3">
        <v>1338025.0</v>
      </c>
      <c r="R323" s="3"/>
      <c r="S323" s="3">
        <v>7278.0</v>
      </c>
      <c r="T323" s="3" t="s">
        <v>37</v>
      </c>
      <c r="U323" s="3">
        <v>7278.0</v>
      </c>
      <c r="V323" s="5">
        <f>(DATE(2026,2,3)-'RICE_Insured Farms_with PPI Pol'!$G323)+IF('RICE_Insured Farms_with PPI Pol'!$H323&lt;&gt;'RICE_Insured Farms_with PPI Pol'!$G323,18,0)</f>
        <v>53</v>
      </c>
      <c r="W323" s="3" t="str">
        <f t="array" ref="W323">IFS(V323&gt;120, "Harvested", V323&gt;=113, "Yellow Ripening", V323&gt;=101, "Dough Stage", V323&gt;=93, "Milking Stage", V323&gt;=86, "Flowering", V323&gt;=56, "Panicle Initiation/Booting", V323&lt;56, "Vegetative/Tillering")</f>
        <v>Vegetative/Tillering</v>
      </c>
    </row>
    <row r="324" ht="15.75" hidden="1" customHeight="1">
      <c r="A324" s="3">
        <v>323.0</v>
      </c>
      <c r="B324" s="3" t="s">
        <v>23</v>
      </c>
      <c r="C324" s="3" t="s">
        <v>68</v>
      </c>
      <c r="D324" s="3" t="s">
        <v>289</v>
      </c>
      <c r="E324" s="3" t="s">
        <v>571</v>
      </c>
      <c r="F324" s="3">
        <v>1760010.0</v>
      </c>
      <c r="G324" s="4">
        <v>46029.0</v>
      </c>
      <c r="H324" s="4">
        <v>46131.0</v>
      </c>
      <c r="I324" s="3" t="s">
        <v>1115</v>
      </c>
      <c r="J324" s="3" t="s">
        <v>1116</v>
      </c>
      <c r="K324" s="3" t="s">
        <v>1117</v>
      </c>
      <c r="L324" s="3">
        <v>0.5998</v>
      </c>
      <c r="M324" s="3">
        <v>14995.0</v>
      </c>
      <c r="N324" s="3">
        <v>2.0</v>
      </c>
      <c r="O324" s="3">
        <v>23524.0</v>
      </c>
      <c r="P324" s="3" t="s">
        <v>1118</v>
      </c>
      <c r="Q324" s="3">
        <v>1327157.0</v>
      </c>
      <c r="R324" s="3"/>
      <c r="S324" s="3">
        <v>10496.5</v>
      </c>
      <c r="T324" s="3" t="s">
        <v>31</v>
      </c>
      <c r="U324" s="3">
        <v>10496.5</v>
      </c>
      <c r="V324" s="5">
        <f>(DATE(2026,2,3)-'RICE_Insured Farms_with PPI Pol'!$G324)+IF('RICE_Insured Farms_with PPI Pol'!$H324&lt;&gt;'RICE_Insured Farms_with PPI Pol'!$G324,18,0)</f>
        <v>45</v>
      </c>
      <c r="W324" s="3" t="str">
        <f t="array" ref="W324">IFS(V324&gt;120, "Harvested", V324&gt;=113, "Yellow Ripening", V324&gt;=101, "Dough Stage", V324&gt;=93, "Milking Stage", V324&gt;=86, "Flowering", V324&gt;=56, "Panicle Initiation/Booting", V324&lt;56, "Vegetative/Tillering")</f>
        <v>Vegetative/Tillering</v>
      </c>
    </row>
    <row r="325" ht="15.75" customHeight="1">
      <c r="A325" s="3">
        <v>324.0</v>
      </c>
      <c r="B325" s="3" t="s">
        <v>23</v>
      </c>
      <c r="C325" s="3" t="s">
        <v>68</v>
      </c>
      <c r="D325" s="3" t="s">
        <v>262</v>
      </c>
      <c r="E325" s="3" t="s">
        <v>273</v>
      </c>
      <c r="F325" s="3">
        <v>1739586.0</v>
      </c>
      <c r="G325" s="4">
        <v>46017.0</v>
      </c>
      <c r="H325" s="4">
        <v>46119.0</v>
      </c>
      <c r="I325" s="3" t="s">
        <v>526</v>
      </c>
      <c r="J325" s="3" t="s">
        <v>1119</v>
      </c>
      <c r="K325" s="3" t="s">
        <v>1120</v>
      </c>
      <c r="L325" s="3">
        <v>1.6279</v>
      </c>
      <c r="M325" s="3">
        <v>40697.5</v>
      </c>
      <c r="N325" s="3">
        <v>3.0</v>
      </c>
      <c r="O325" s="3">
        <v>158199.0</v>
      </c>
      <c r="P325" s="3" t="s">
        <v>1121</v>
      </c>
      <c r="Q325" s="3">
        <v>1335823.0</v>
      </c>
      <c r="R325" s="3"/>
      <c r="S325" s="3">
        <v>32558.0</v>
      </c>
      <c r="T325" s="3" t="s">
        <v>37</v>
      </c>
      <c r="U325" s="3">
        <v>32558.0</v>
      </c>
      <c r="V325" s="5">
        <f>(DATE(2026,2,3)-'RICE_Insured Farms_with PPI Pol'!$G325)+IF('RICE_Insured Farms_with PPI Pol'!$H325&lt;&gt;'RICE_Insured Farms_with PPI Pol'!$G325,18,0)</f>
        <v>57</v>
      </c>
      <c r="W325" s="3" t="str">
        <f t="array" ref="W325">IFS(V325&gt;120, "Harvested", V325&gt;=113, "Yellow Ripening", V325&gt;=101, "Dough Stage", V325&gt;=93, "Milking Stage", V325&gt;=86, "Flowering", V325&gt;=56, "Panicle Initiation/Booting", V325&lt;56, "Vegetative/Tillering")</f>
        <v>Panicle Initiation/Booting</v>
      </c>
    </row>
    <row r="326" ht="15.75" hidden="1" customHeight="1">
      <c r="A326" s="3">
        <v>325.0</v>
      </c>
      <c r="B326" s="3" t="s">
        <v>23</v>
      </c>
      <c r="C326" s="3" t="s">
        <v>68</v>
      </c>
      <c r="D326" s="3" t="s">
        <v>122</v>
      </c>
      <c r="E326" s="3" t="s">
        <v>1122</v>
      </c>
      <c r="F326" s="3">
        <v>1196932.0</v>
      </c>
      <c r="G326" s="4">
        <v>46032.0</v>
      </c>
      <c r="H326" s="4">
        <v>46134.0</v>
      </c>
      <c r="I326" s="3" t="s">
        <v>526</v>
      </c>
      <c r="J326" s="3" t="s">
        <v>1123</v>
      </c>
      <c r="K326" s="3" t="s">
        <v>1124</v>
      </c>
      <c r="L326" s="3">
        <v>0.5361</v>
      </c>
      <c r="M326" s="3">
        <v>13402.5</v>
      </c>
      <c r="N326" s="3">
        <v>2.0</v>
      </c>
      <c r="O326" s="3">
        <v>126444.0</v>
      </c>
      <c r="P326" s="3" t="s">
        <v>1125</v>
      </c>
      <c r="Q326" s="3">
        <v>1324380.0</v>
      </c>
      <c r="R326" s="3"/>
      <c r="S326" s="3">
        <v>9381.75</v>
      </c>
      <c r="T326" s="3" t="s">
        <v>31</v>
      </c>
      <c r="U326" s="3">
        <v>9381.75</v>
      </c>
      <c r="V326" s="5">
        <f>(DATE(2026,2,3)-'RICE_Insured Farms_with PPI Pol'!$G326)+IF('RICE_Insured Farms_with PPI Pol'!$H326&lt;&gt;'RICE_Insured Farms_with PPI Pol'!$G326,18,0)</f>
        <v>42</v>
      </c>
      <c r="W326" s="3" t="str">
        <f t="array" ref="W326">IFS(V326&gt;120, "Harvested", V326&gt;=113, "Yellow Ripening", V326&gt;=101, "Dough Stage", V326&gt;=93, "Milking Stage", V326&gt;=86, "Flowering", V326&gt;=56, "Panicle Initiation/Booting", V326&lt;56, "Vegetative/Tillering")</f>
        <v>Vegetative/Tillering</v>
      </c>
    </row>
    <row r="327" ht="15.75" hidden="1" customHeight="1">
      <c r="A327" s="3">
        <v>326.0</v>
      </c>
      <c r="B327" s="3" t="s">
        <v>23</v>
      </c>
      <c r="C327" s="3" t="s">
        <v>68</v>
      </c>
      <c r="D327" s="3" t="s">
        <v>420</v>
      </c>
      <c r="E327" s="3" t="s">
        <v>689</v>
      </c>
      <c r="F327" s="3">
        <v>1197003.0</v>
      </c>
      <c r="G327" s="4">
        <v>46037.0</v>
      </c>
      <c r="H327" s="4">
        <v>46139.0</v>
      </c>
      <c r="I327" s="3" t="s">
        <v>937</v>
      </c>
      <c r="J327" s="3" t="s">
        <v>1126</v>
      </c>
      <c r="K327" s="3" t="s">
        <v>728</v>
      </c>
      <c r="L327" s="3">
        <v>0.2343</v>
      </c>
      <c r="M327" s="3">
        <v>5857.5</v>
      </c>
      <c r="N327" s="3">
        <v>2.0</v>
      </c>
      <c r="O327" s="3">
        <v>206154.0</v>
      </c>
      <c r="P327" s="3" t="s">
        <v>1127</v>
      </c>
      <c r="Q327" s="3">
        <v>1327665.0</v>
      </c>
      <c r="R327" s="3"/>
      <c r="S327" s="3">
        <v>4100.25</v>
      </c>
      <c r="T327" s="3" t="s">
        <v>31</v>
      </c>
      <c r="U327" s="3">
        <v>4100.25</v>
      </c>
      <c r="V327" s="5">
        <f>(DATE(2026,2,3)-'RICE_Insured Farms_with PPI Pol'!$G327)+IF('RICE_Insured Farms_with PPI Pol'!$H327&lt;&gt;'RICE_Insured Farms_with PPI Pol'!$G327,18,0)</f>
        <v>37</v>
      </c>
      <c r="W327" s="3" t="str">
        <f t="array" ref="W327">IFS(V327&gt;120, "Harvested", V327&gt;=113, "Yellow Ripening", V327&gt;=101, "Dough Stage", V327&gt;=93, "Milking Stage", V327&gt;=86, "Flowering", V327&gt;=56, "Panicle Initiation/Booting", V327&lt;56, "Vegetative/Tillering")</f>
        <v>Vegetative/Tillering</v>
      </c>
    </row>
    <row r="328" ht="15.75" hidden="1" customHeight="1">
      <c r="A328" s="3">
        <v>327.0</v>
      </c>
      <c r="B328" s="3" t="s">
        <v>23</v>
      </c>
      <c r="C328" s="3" t="s">
        <v>68</v>
      </c>
      <c r="D328" s="3" t="s">
        <v>769</v>
      </c>
      <c r="E328" s="3" t="s">
        <v>770</v>
      </c>
      <c r="F328" s="3">
        <v>1742303.0</v>
      </c>
      <c r="G328" s="4">
        <v>46025.0</v>
      </c>
      <c r="H328" s="4">
        <v>46127.0</v>
      </c>
      <c r="I328" s="3" t="s">
        <v>801</v>
      </c>
      <c r="J328" s="3" t="s">
        <v>1128</v>
      </c>
      <c r="K328" s="3" t="s">
        <v>1129</v>
      </c>
      <c r="L328" s="3">
        <v>0.3728</v>
      </c>
      <c r="M328" s="3">
        <v>9320.0</v>
      </c>
      <c r="N328" s="3">
        <v>2.0</v>
      </c>
      <c r="O328" s="3">
        <v>383046.0</v>
      </c>
      <c r="P328" s="3" t="s">
        <v>1130</v>
      </c>
      <c r="Q328" s="3">
        <v>1333120.0</v>
      </c>
      <c r="R328" s="3"/>
      <c r="S328" s="3">
        <v>6524.0</v>
      </c>
      <c r="T328" s="3" t="s">
        <v>31</v>
      </c>
      <c r="U328" s="3">
        <v>6524.0</v>
      </c>
      <c r="V328" s="5">
        <f>(DATE(2026,2,3)-'RICE_Insured Farms_with PPI Pol'!$G328)+IF('RICE_Insured Farms_with PPI Pol'!$H328&lt;&gt;'RICE_Insured Farms_with PPI Pol'!$G328,18,0)</f>
        <v>49</v>
      </c>
      <c r="W328" s="3" t="str">
        <f t="array" ref="W328">IFS(V328&gt;120, "Harvested", V328&gt;=113, "Yellow Ripening", V328&gt;=101, "Dough Stage", V328&gt;=93, "Milking Stage", V328&gt;=86, "Flowering", V328&gt;=56, "Panicle Initiation/Booting", V328&lt;56, "Vegetative/Tillering")</f>
        <v>Vegetative/Tillering</v>
      </c>
    </row>
    <row r="329" ht="15.75" hidden="1" customHeight="1">
      <c r="A329" s="3">
        <v>328.0</v>
      </c>
      <c r="B329" s="3" t="s">
        <v>23</v>
      </c>
      <c r="C329" s="3" t="s">
        <v>68</v>
      </c>
      <c r="D329" s="3" t="s">
        <v>769</v>
      </c>
      <c r="E329" s="3" t="s">
        <v>770</v>
      </c>
      <c r="F329" s="3">
        <v>1742303.0</v>
      </c>
      <c r="G329" s="4">
        <v>46025.0</v>
      </c>
      <c r="H329" s="4">
        <v>46127.0</v>
      </c>
      <c r="I329" s="3" t="s">
        <v>801</v>
      </c>
      <c r="J329" s="3" t="s">
        <v>1131</v>
      </c>
      <c r="K329" s="3" t="s">
        <v>1132</v>
      </c>
      <c r="L329" s="3">
        <v>0.4954</v>
      </c>
      <c r="M329" s="3">
        <v>12385.0</v>
      </c>
      <c r="N329" s="3">
        <v>2.0</v>
      </c>
      <c r="O329" s="3">
        <v>35742.0</v>
      </c>
      <c r="P329" s="3" t="s">
        <v>1133</v>
      </c>
      <c r="Q329" s="3">
        <v>1288230.0</v>
      </c>
      <c r="R329" s="3"/>
      <c r="S329" s="3">
        <v>8669.5</v>
      </c>
      <c r="T329" s="3" t="s">
        <v>31</v>
      </c>
      <c r="U329" s="3">
        <v>8669.5</v>
      </c>
      <c r="V329" s="5">
        <f>(DATE(2026,2,3)-'RICE_Insured Farms_with PPI Pol'!$G329)+IF('RICE_Insured Farms_with PPI Pol'!$H329&lt;&gt;'RICE_Insured Farms_with PPI Pol'!$G329,18,0)</f>
        <v>49</v>
      </c>
      <c r="W329" s="3" t="str">
        <f t="array" ref="W329">IFS(V329&gt;120, "Harvested", V329&gt;=113, "Yellow Ripening", V329&gt;=101, "Dough Stage", V329&gt;=93, "Milking Stage", V329&gt;=86, "Flowering", V329&gt;=56, "Panicle Initiation/Booting", V329&lt;56, "Vegetative/Tillering")</f>
        <v>Vegetative/Tillering</v>
      </c>
    </row>
    <row r="330" ht="15.75" hidden="1" customHeight="1">
      <c r="A330" s="3">
        <v>329.0</v>
      </c>
      <c r="B330" s="3" t="s">
        <v>23</v>
      </c>
      <c r="C330" s="3" t="s">
        <v>68</v>
      </c>
      <c r="D330" s="3" t="s">
        <v>769</v>
      </c>
      <c r="E330" s="3" t="s">
        <v>770</v>
      </c>
      <c r="F330" s="3">
        <v>1742303.0</v>
      </c>
      <c r="G330" s="4">
        <v>46032.0</v>
      </c>
      <c r="H330" s="4">
        <v>46134.0</v>
      </c>
      <c r="I330" s="3" t="s">
        <v>801</v>
      </c>
      <c r="J330" s="3" t="s">
        <v>1134</v>
      </c>
      <c r="K330" s="3" t="s">
        <v>1132</v>
      </c>
      <c r="L330" s="3">
        <v>0.4955</v>
      </c>
      <c r="M330" s="3">
        <v>12387.5</v>
      </c>
      <c r="N330" s="3">
        <v>2.0</v>
      </c>
      <c r="O330" s="3">
        <v>35738.0</v>
      </c>
      <c r="P330" s="3" t="s">
        <v>1135</v>
      </c>
      <c r="Q330" s="3">
        <v>1288233.0</v>
      </c>
      <c r="R330" s="3"/>
      <c r="S330" s="3">
        <v>8671.25</v>
      </c>
      <c r="T330" s="3" t="s">
        <v>31</v>
      </c>
      <c r="U330" s="3">
        <v>8671.25</v>
      </c>
      <c r="V330" s="5">
        <f>(DATE(2026,2,3)-'RICE_Insured Farms_with PPI Pol'!$G330)+IF('RICE_Insured Farms_with PPI Pol'!$H330&lt;&gt;'RICE_Insured Farms_with PPI Pol'!$G330,18,0)</f>
        <v>42</v>
      </c>
      <c r="W330" s="3" t="str">
        <f t="array" ref="W330">IFS(V330&gt;120, "Harvested", V330&gt;=113, "Yellow Ripening", V330&gt;=101, "Dough Stage", V330&gt;=93, "Milking Stage", V330&gt;=86, "Flowering", V330&gt;=56, "Panicle Initiation/Booting", V330&lt;56, "Vegetative/Tillering")</f>
        <v>Vegetative/Tillering</v>
      </c>
    </row>
    <row r="331" ht="15.75" hidden="1" customHeight="1">
      <c r="A331" s="3">
        <v>330.0</v>
      </c>
      <c r="B331" s="3" t="s">
        <v>23</v>
      </c>
      <c r="C331" s="3" t="s">
        <v>68</v>
      </c>
      <c r="D331" s="3" t="s">
        <v>289</v>
      </c>
      <c r="E331" s="3" t="s">
        <v>352</v>
      </c>
      <c r="F331" s="3">
        <v>1760050.0</v>
      </c>
      <c r="G331" s="4">
        <v>46037.0</v>
      </c>
      <c r="H331" s="4">
        <v>46139.0</v>
      </c>
      <c r="I331" s="3" t="s">
        <v>834</v>
      </c>
      <c r="J331" s="3" t="s">
        <v>1136</v>
      </c>
      <c r="K331" s="3" t="s">
        <v>1137</v>
      </c>
      <c r="L331" s="3">
        <v>0.5647</v>
      </c>
      <c r="M331" s="3">
        <v>14117.5</v>
      </c>
      <c r="N331" s="3">
        <v>2.0</v>
      </c>
      <c r="O331" s="3">
        <v>119276.0</v>
      </c>
      <c r="P331" s="3"/>
      <c r="Q331" s="3">
        <v>1057718.0</v>
      </c>
      <c r="R331" s="3"/>
      <c r="S331" s="3">
        <v>9882.25</v>
      </c>
      <c r="T331" s="3" t="s">
        <v>31</v>
      </c>
      <c r="U331" s="3">
        <v>9882.25</v>
      </c>
      <c r="V331" s="5">
        <f>(DATE(2026,2,3)-'RICE_Insured Farms_with PPI Pol'!$G331)+IF('RICE_Insured Farms_with PPI Pol'!$H331&lt;&gt;'RICE_Insured Farms_with PPI Pol'!$G331,18,0)</f>
        <v>37</v>
      </c>
      <c r="W331" s="3" t="str">
        <f t="array" ref="W331">IFS(V331&gt;120, "Harvested", V331&gt;=113, "Yellow Ripening", V331&gt;=101, "Dough Stage", V331&gt;=93, "Milking Stage", V331&gt;=86, "Flowering", V331&gt;=56, "Panicle Initiation/Booting", V331&lt;56, "Vegetative/Tillering")</f>
        <v>Vegetative/Tillering</v>
      </c>
    </row>
    <row r="332" ht="15.75" hidden="1" customHeight="1">
      <c r="A332" s="3">
        <v>331.0</v>
      </c>
      <c r="B332" s="3" t="s">
        <v>23</v>
      </c>
      <c r="C332" s="3" t="s">
        <v>68</v>
      </c>
      <c r="D332" s="3" t="s">
        <v>289</v>
      </c>
      <c r="E332" s="3" t="s">
        <v>352</v>
      </c>
      <c r="F332" s="3">
        <v>1760043.0</v>
      </c>
      <c r="G332" s="4">
        <v>46041.0</v>
      </c>
      <c r="H332" s="4">
        <v>46143.0</v>
      </c>
      <c r="I332" s="3" t="s">
        <v>834</v>
      </c>
      <c r="J332" s="3" t="s">
        <v>1138</v>
      </c>
      <c r="K332" s="3" t="s">
        <v>1139</v>
      </c>
      <c r="L332" s="3">
        <v>1.473</v>
      </c>
      <c r="M332" s="3">
        <v>36825.0</v>
      </c>
      <c r="N332" s="3">
        <v>2.0</v>
      </c>
      <c r="O332" s="3">
        <v>6514.0</v>
      </c>
      <c r="P332" s="3" t="s">
        <v>1140</v>
      </c>
      <c r="Q332" s="3">
        <v>1057728.0</v>
      </c>
      <c r="R332" s="3"/>
      <c r="S332" s="3">
        <v>25777.5</v>
      </c>
      <c r="T332" s="3" t="s">
        <v>31</v>
      </c>
      <c r="U332" s="3">
        <v>25777.5</v>
      </c>
      <c r="V332" s="5">
        <f>(DATE(2026,2,3)-'RICE_Insured Farms_with PPI Pol'!$G332)+IF('RICE_Insured Farms_with PPI Pol'!$H332&lt;&gt;'RICE_Insured Farms_with PPI Pol'!$G332,18,0)</f>
        <v>33</v>
      </c>
      <c r="W332" s="3" t="str">
        <f t="array" ref="W332">IFS(V332&gt;120, "Harvested", V332&gt;=113, "Yellow Ripening", V332&gt;=101, "Dough Stage", V332&gt;=93, "Milking Stage", V332&gt;=86, "Flowering", V332&gt;=56, "Panicle Initiation/Booting", V332&lt;56, "Vegetative/Tillering")</f>
        <v>Vegetative/Tillering</v>
      </c>
    </row>
    <row r="333" ht="15.75" hidden="1" customHeight="1">
      <c r="A333" s="3">
        <v>332.0</v>
      </c>
      <c r="B333" s="3" t="s">
        <v>23</v>
      </c>
      <c r="C333" s="3" t="s">
        <v>68</v>
      </c>
      <c r="D333" s="3" t="s">
        <v>289</v>
      </c>
      <c r="E333" s="3" t="s">
        <v>352</v>
      </c>
      <c r="F333" s="3">
        <v>1760051.0</v>
      </c>
      <c r="G333" s="4">
        <v>46030.0</v>
      </c>
      <c r="H333" s="4">
        <v>46132.0</v>
      </c>
      <c r="I333" s="3" t="s">
        <v>834</v>
      </c>
      <c r="J333" s="3" t="s">
        <v>1141</v>
      </c>
      <c r="K333" s="3" t="s">
        <v>1142</v>
      </c>
      <c r="L333" s="3">
        <v>0.493</v>
      </c>
      <c r="M333" s="3">
        <v>12325.0</v>
      </c>
      <c r="N333" s="3">
        <v>2.0</v>
      </c>
      <c r="O333" s="3">
        <v>299624.0</v>
      </c>
      <c r="P333" s="3" t="s">
        <v>1143</v>
      </c>
      <c r="Q333" s="3">
        <v>1335858.0</v>
      </c>
      <c r="R333" s="3"/>
      <c r="S333" s="3">
        <v>8627.5</v>
      </c>
      <c r="T333" s="3" t="s">
        <v>31</v>
      </c>
      <c r="U333" s="3">
        <v>8627.5</v>
      </c>
      <c r="V333" s="5">
        <f>(DATE(2026,2,3)-'RICE_Insured Farms_with PPI Pol'!$G333)+IF('RICE_Insured Farms_with PPI Pol'!$H333&lt;&gt;'RICE_Insured Farms_with PPI Pol'!$G333,18,0)</f>
        <v>44</v>
      </c>
      <c r="W333" s="3" t="str">
        <f t="array" ref="W333">IFS(V333&gt;120, "Harvested", V333&gt;=113, "Yellow Ripening", V333&gt;=101, "Dough Stage", V333&gt;=93, "Milking Stage", V333&gt;=86, "Flowering", V333&gt;=56, "Panicle Initiation/Booting", V333&lt;56, "Vegetative/Tillering")</f>
        <v>Vegetative/Tillering</v>
      </c>
    </row>
    <row r="334" ht="15.75" customHeight="1">
      <c r="A334" s="3">
        <v>333.0</v>
      </c>
      <c r="B334" s="3" t="s">
        <v>23</v>
      </c>
      <c r="C334" s="3" t="s">
        <v>68</v>
      </c>
      <c r="D334" s="3" t="s">
        <v>420</v>
      </c>
      <c r="E334" s="3" t="s">
        <v>842</v>
      </c>
      <c r="F334" s="3">
        <v>1196993.0</v>
      </c>
      <c r="G334" s="4">
        <v>46021.0</v>
      </c>
      <c r="H334" s="4">
        <v>46123.0</v>
      </c>
      <c r="I334" s="3" t="s">
        <v>1144</v>
      </c>
      <c r="J334" s="3" t="s">
        <v>1145</v>
      </c>
      <c r="K334" s="3" t="s">
        <v>1146</v>
      </c>
      <c r="L334" s="3">
        <v>0.4305</v>
      </c>
      <c r="M334" s="3">
        <v>10762.5</v>
      </c>
      <c r="N334" s="3">
        <v>3.0</v>
      </c>
      <c r="O334" s="3">
        <v>436563.0</v>
      </c>
      <c r="P334" s="3" t="s">
        <v>1147</v>
      </c>
      <c r="Q334" s="3">
        <v>1327602.0</v>
      </c>
      <c r="R334" s="3"/>
      <c r="S334" s="3">
        <v>8610.0</v>
      </c>
      <c r="T334" s="3" t="s">
        <v>37</v>
      </c>
      <c r="U334" s="3">
        <v>8610.0</v>
      </c>
      <c r="V334" s="5">
        <f>(DATE(2026,2,3)-'RICE_Insured Farms_with PPI Pol'!$G334)+IF('RICE_Insured Farms_with PPI Pol'!$H334&lt;&gt;'RICE_Insured Farms_with PPI Pol'!$G334,18,0)</f>
        <v>53</v>
      </c>
      <c r="W334" s="3" t="str">
        <f t="array" ref="W334">IFS(V334&gt;120, "Harvested", V334&gt;=113, "Yellow Ripening", V334&gt;=101, "Dough Stage", V334&gt;=93, "Milking Stage", V334&gt;=86, "Flowering", V334&gt;=56, "Panicle Initiation/Booting", V334&lt;56, "Vegetative/Tillering")</f>
        <v>Vegetative/Tillering</v>
      </c>
    </row>
    <row r="335" ht="15.75" hidden="1" customHeight="1">
      <c r="A335" s="3">
        <v>334.0</v>
      </c>
      <c r="B335" s="3" t="s">
        <v>23</v>
      </c>
      <c r="C335" s="3" t="s">
        <v>68</v>
      </c>
      <c r="D335" s="3" t="s">
        <v>420</v>
      </c>
      <c r="E335" s="3" t="s">
        <v>689</v>
      </c>
      <c r="F335" s="3">
        <v>1197001.0</v>
      </c>
      <c r="G335" s="4">
        <v>46034.0</v>
      </c>
      <c r="H335" s="4">
        <v>46136.0</v>
      </c>
      <c r="I335" s="3" t="s">
        <v>1148</v>
      </c>
      <c r="J335" s="3" t="s">
        <v>1149</v>
      </c>
      <c r="K335" s="3" t="s">
        <v>1150</v>
      </c>
      <c r="L335" s="3">
        <v>0.6616</v>
      </c>
      <c r="M335" s="3">
        <v>16540.0</v>
      </c>
      <c r="N335" s="3">
        <v>2.0</v>
      </c>
      <c r="O335" s="3">
        <v>329780.0</v>
      </c>
      <c r="P335" s="3" t="s">
        <v>1151</v>
      </c>
      <c r="Q335" s="3">
        <v>1327686.0</v>
      </c>
      <c r="R335" s="3"/>
      <c r="S335" s="3">
        <v>11578.0</v>
      </c>
      <c r="T335" s="3" t="s">
        <v>31</v>
      </c>
      <c r="U335" s="3">
        <v>11578.0</v>
      </c>
      <c r="V335" s="5">
        <f>(DATE(2026,2,3)-'RICE_Insured Farms_with PPI Pol'!$G335)+IF('RICE_Insured Farms_with PPI Pol'!$H335&lt;&gt;'RICE_Insured Farms_with PPI Pol'!$G335,18,0)</f>
        <v>40</v>
      </c>
      <c r="W335" s="3" t="str">
        <f t="array" ref="W335">IFS(V335&gt;120, "Harvested", V335&gt;=113, "Yellow Ripening", V335&gt;=101, "Dough Stage", V335&gt;=93, "Milking Stage", V335&gt;=86, "Flowering", V335&gt;=56, "Panicle Initiation/Booting", V335&lt;56, "Vegetative/Tillering")</f>
        <v>Vegetative/Tillering</v>
      </c>
    </row>
    <row r="336" ht="15.75" hidden="1" customHeight="1">
      <c r="A336" s="3">
        <v>335.0</v>
      </c>
      <c r="B336" s="3" t="s">
        <v>23</v>
      </c>
      <c r="C336" s="3" t="s">
        <v>68</v>
      </c>
      <c r="D336" s="3" t="s">
        <v>69</v>
      </c>
      <c r="E336" s="3" t="s">
        <v>321</v>
      </c>
      <c r="F336" s="3">
        <v>1739657.0</v>
      </c>
      <c r="G336" s="4">
        <v>46039.0</v>
      </c>
      <c r="H336" s="4">
        <v>46141.0</v>
      </c>
      <c r="I336" s="3" t="s">
        <v>1152</v>
      </c>
      <c r="J336" s="3" t="s">
        <v>1153</v>
      </c>
      <c r="K336" s="3" t="s">
        <v>1154</v>
      </c>
      <c r="L336" s="3">
        <v>0.3221</v>
      </c>
      <c r="M336" s="3">
        <v>8052.5</v>
      </c>
      <c r="N336" s="3">
        <v>2.0</v>
      </c>
      <c r="O336" s="3">
        <v>200379.0</v>
      </c>
      <c r="P336" s="3" t="s">
        <v>1155</v>
      </c>
      <c r="Q336" s="3">
        <v>1281433.0</v>
      </c>
      <c r="R336" s="3"/>
      <c r="S336" s="3">
        <v>5636.75</v>
      </c>
      <c r="T336" s="3" t="s">
        <v>31</v>
      </c>
      <c r="U336" s="3">
        <v>5636.75</v>
      </c>
      <c r="V336" s="5">
        <f>(DATE(2026,2,3)-'RICE_Insured Farms_with PPI Pol'!$G336)+IF('RICE_Insured Farms_with PPI Pol'!$H336&lt;&gt;'RICE_Insured Farms_with PPI Pol'!$G336,18,0)</f>
        <v>35</v>
      </c>
      <c r="W336" s="3" t="str">
        <f t="array" ref="W336">IFS(V336&gt;120, "Harvested", V336&gt;=113, "Yellow Ripening", V336&gt;=101, "Dough Stage", V336&gt;=93, "Milking Stage", V336&gt;=86, "Flowering", V336&gt;=56, "Panicle Initiation/Booting", V336&lt;56, "Vegetative/Tillering")</f>
        <v>Vegetative/Tillering</v>
      </c>
    </row>
    <row r="337" ht="15.75" hidden="1" customHeight="1">
      <c r="A337" s="3">
        <v>336.0</v>
      </c>
      <c r="B337" s="3" t="s">
        <v>23</v>
      </c>
      <c r="C337" s="3" t="s">
        <v>68</v>
      </c>
      <c r="D337" s="3" t="s">
        <v>769</v>
      </c>
      <c r="E337" s="3" t="s">
        <v>770</v>
      </c>
      <c r="F337" s="3">
        <v>1742303.0</v>
      </c>
      <c r="G337" s="4">
        <v>46028.0</v>
      </c>
      <c r="H337" s="4">
        <v>46130.0</v>
      </c>
      <c r="I337" s="3" t="s">
        <v>1156</v>
      </c>
      <c r="J337" s="3" t="s">
        <v>491</v>
      </c>
      <c r="K337" s="3" t="s">
        <v>1157</v>
      </c>
      <c r="L337" s="3">
        <v>0.4015</v>
      </c>
      <c r="M337" s="3">
        <v>10037.5</v>
      </c>
      <c r="N337" s="3">
        <v>2.0</v>
      </c>
      <c r="O337" s="3">
        <v>9355.0</v>
      </c>
      <c r="P337" s="3" t="s">
        <v>1158</v>
      </c>
      <c r="Q337" s="3">
        <v>1288199.0</v>
      </c>
      <c r="R337" s="3"/>
      <c r="S337" s="3">
        <v>7026.25</v>
      </c>
      <c r="T337" s="3" t="s">
        <v>31</v>
      </c>
      <c r="U337" s="3">
        <v>7026.25</v>
      </c>
      <c r="V337" s="5">
        <f>(DATE(2026,2,3)-'RICE_Insured Farms_with PPI Pol'!$G337)+IF('RICE_Insured Farms_with PPI Pol'!$H337&lt;&gt;'RICE_Insured Farms_with PPI Pol'!$G337,18,0)</f>
        <v>46</v>
      </c>
      <c r="W337" s="3" t="str">
        <f t="array" ref="W337">IFS(V337&gt;120, "Harvested", V337&gt;=113, "Yellow Ripening", V337&gt;=101, "Dough Stage", V337&gt;=93, "Milking Stage", V337&gt;=86, "Flowering", V337&gt;=56, "Panicle Initiation/Booting", V337&lt;56, "Vegetative/Tillering")</f>
        <v>Vegetative/Tillering</v>
      </c>
    </row>
    <row r="338" ht="15.75" hidden="1" customHeight="1">
      <c r="A338" s="3">
        <v>337.0</v>
      </c>
      <c r="B338" s="3" t="s">
        <v>23</v>
      </c>
      <c r="C338" s="3" t="s">
        <v>68</v>
      </c>
      <c r="D338" s="3" t="s">
        <v>769</v>
      </c>
      <c r="E338" s="3" t="s">
        <v>770</v>
      </c>
      <c r="F338" s="3">
        <v>1742303.0</v>
      </c>
      <c r="G338" s="4">
        <v>46032.0</v>
      </c>
      <c r="H338" s="4">
        <v>46134.0</v>
      </c>
      <c r="I338" s="3" t="s">
        <v>1156</v>
      </c>
      <c r="J338" s="3" t="s">
        <v>1159</v>
      </c>
      <c r="K338" s="3" t="s">
        <v>303</v>
      </c>
      <c r="L338" s="3">
        <v>1.2966</v>
      </c>
      <c r="M338" s="3">
        <v>32415.0</v>
      </c>
      <c r="N338" s="3">
        <v>2.0</v>
      </c>
      <c r="O338" s="3">
        <v>9344.0</v>
      </c>
      <c r="P338" s="3" t="s">
        <v>1160</v>
      </c>
      <c r="Q338" s="3">
        <v>1288173.0</v>
      </c>
      <c r="R338" s="3"/>
      <c r="S338" s="3">
        <v>22690.5</v>
      </c>
      <c r="T338" s="3" t="s">
        <v>31</v>
      </c>
      <c r="U338" s="3">
        <v>22690.5</v>
      </c>
      <c r="V338" s="5">
        <f>(DATE(2026,2,3)-'RICE_Insured Farms_with PPI Pol'!$G338)+IF('RICE_Insured Farms_with PPI Pol'!$H338&lt;&gt;'RICE_Insured Farms_with PPI Pol'!$G338,18,0)</f>
        <v>42</v>
      </c>
      <c r="W338" s="3" t="str">
        <f t="array" ref="W338">IFS(V338&gt;120, "Harvested", V338&gt;=113, "Yellow Ripening", V338&gt;=101, "Dough Stage", V338&gt;=93, "Milking Stage", V338&gt;=86, "Flowering", V338&gt;=56, "Panicle Initiation/Booting", V338&lt;56, "Vegetative/Tillering")</f>
        <v>Vegetative/Tillering</v>
      </c>
    </row>
    <row r="339" ht="15.75" hidden="1" customHeight="1">
      <c r="A339" s="3">
        <v>338.0</v>
      </c>
      <c r="B339" s="3" t="s">
        <v>23</v>
      </c>
      <c r="C339" s="3" t="s">
        <v>68</v>
      </c>
      <c r="D339" s="3" t="s">
        <v>769</v>
      </c>
      <c r="E339" s="3" t="s">
        <v>770</v>
      </c>
      <c r="F339" s="3">
        <v>1742303.0</v>
      </c>
      <c r="G339" s="4">
        <v>46037.0</v>
      </c>
      <c r="H339" s="4">
        <v>46139.0</v>
      </c>
      <c r="I339" s="3" t="s">
        <v>1161</v>
      </c>
      <c r="J339" s="3" t="s">
        <v>1162</v>
      </c>
      <c r="K339" s="3" t="s">
        <v>808</v>
      </c>
      <c r="L339" s="3">
        <v>0.577</v>
      </c>
      <c r="M339" s="3">
        <v>14425.0</v>
      </c>
      <c r="N339" s="3">
        <v>2.0</v>
      </c>
      <c r="O339" s="3">
        <v>9351.0</v>
      </c>
      <c r="P339" s="3" t="s">
        <v>1163</v>
      </c>
      <c r="Q339" s="3">
        <v>1333077.0</v>
      </c>
      <c r="R339" s="3"/>
      <c r="S339" s="3">
        <v>10097.5</v>
      </c>
      <c r="T339" s="3" t="s">
        <v>31</v>
      </c>
      <c r="U339" s="3">
        <v>10097.5</v>
      </c>
      <c r="V339" s="5">
        <f>(DATE(2026,2,3)-'RICE_Insured Farms_with PPI Pol'!$G339)+IF('RICE_Insured Farms_with PPI Pol'!$H339&lt;&gt;'RICE_Insured Farms_with PPI Pol'!$G339,18,0)</f>
        <v>37</v>
      </c>
      <c r="W339" s="3" t="str">
        <f t="array" ref="W339">IFS(V339&gt;120, "Harvested", V339&gt;=113, "Yellow Ripening", V339&gt;=101, "Dough Stage", V339&gt;=93, "Milking Stage", V339&gt;=86, "Flowering", V339&gt;=56, "Panicle Initiation/Booting", V339&lt;56, "Vegetative/Tillering")</f>
        <v>Vegetative/Tillering</v>
      </c>
    </row>
    <row r="340" ht="15.75" hidden="1" customHeight="1">
      <c r="A340" s="3">
        <v>449.0</v>
      </c>
      <c r="B340" s="3" t="s">
        <v>23</v>
      </c>
      <c r="C340" s="3" t="s">
        <v>24</v>
      </c>
      <c r="D340" s="3" t="s">
        <v>25</v>
      </c>
      <c r="E340" s="3" t="s">
        <v>1164</v>
      </c>
      <c r="F340" s="3">
        <v>1761010.0</v>
      </c>
      <c r="G340" s="4">
        <v>46017.0</v>
      </c>
      <c r="H340" s="4">
        <v>46104.0</v>
      </c>
      <c r="I340" s="3" t="s">
        <v>1165</v>
      </c>
      <c r="J340" s="3" t="s">
        <v>1166</v>
      </c>
      <c r="K340" s="3" t="s">
        <v>1167</v>
      </c>
      <c r="L340" s="3">
        <v>0.1808</v>
      </c>
      <c r="M340" s="3">
        <v>4520.0</v>
      </c>
      <c r="N340" s="3">
        <v>4.0</v>
      </c>
      <c r="O340" s="3">
        <v>419037.0</v>
      </c>
      <c r="P340" s="3" t="s">
        <v>1168</v>
      </c>
      <c r="Q340" s="3">
        <v>1330925.0</v>
      </c>
      <c r="R340" s="3"/>
      <c r="S340" s="3">
        <v>3616.0</v>
      </c>
      <c r="T340" s="3" t="s">
        <v>56</v>
      </c>
      <c r="U340" s="3">
        <v>3616.0</v>
      </c>
      <c r="V340" s="5">
        <f>(DATE(2026,2,3)-'RICE_Insured Farms_with PPI Pol'!$G340)+IF('RICE_Insured Farms_with PPI Pol'!$H340&lt;&gt;'RICE_Insured Farms_with PPI Pol'!$G340,18,0)</f>
        <v>57</v>
      </c>
      <c r="W340" s="3" t="str">
        <f t="array" ref="W340">IFS(V340&gt;120, "Harvested", V340&gt;=113, "Yellow Ripening", V340&gt;=101, "Dough Stage", V340&gt;=93, "Milking Stage", V340&gt;=86, "Flowering", V340&gt;=56, "Panicle Initiation/Booting", V340&lt;56, "Vegetative/Tillering")</f>
        <v>Panicle Initiation/Booting</v>
      </c>
    </row>
    <row r="341" ht="15.75" hidden="1" customHeight="1">
      <c r="A341" s="3">
        <v>340.0</v>
      </c>
      <c r="B341" s="3" t="s">
        <v>23</v>
      </c>
      <c r="C341" s="3" t="s">
        <v>121</v>
      </c>
      <c r="D341" s="3" t="s">
        <v>122</v>
      </c>
      <c r="E341" s="3" t="s">
        <v>1169</v>
      </c>
      <c r="F341" s="3">
        <v>1760510.0</v>
      </c>
      <c r="G341" s="4">
        <v>46035.0</v>
      </c>
      <c r="H341" s="4">
        <v>46130.0</v>
      </c>
      <c r="I341" s="3" t="s">
        <v>1170</v>
      </c>
      <c r="J341" s="3" t="s">
        <v>1171</v>
      </c>
      <c r="K341" s="3" t="s">
        <v>1172</v>
      </c>
      <c r="L341" s="3">
        <v>1.3243</v>
      </c>
      <c r="M341" s="3">
        <v>33107.5</v>
      </c>
      <c r="N341" s="3">
        <v>2.0</v>
      </c>
      <c r="O341" s="3">
        <v>371640.0</v>
      </c>
      <c r="P341" s="3" t="s">
        <v>1173</v>
      </c>
      <c r="Q341" s="3">
        <v>1079671.0</v>
      </c>
      <c r="R341" s="3"/>
      <c r="S341" s="3">
        <v>23175.25</v>
      </c>
      <c r="T341" s="3" t="s">
        <v>31</v>
      </c>
      <c r="U341" s="3">
        <v>23175.25</v>
      </c>
      <c r="V341" s="5">
        <f>(DATE(2026,2,3)-'RICE_Insured Farms_with PPI Pol'!$G341)+IF('RICE_Insured Farms_with PPI Pol'!$H341&lt;&gt;'RICE_Insured Farms_with PPI Pol'!$G341,18,0)</f>
        <v>39</v>
      </c>
      <c r="W341" s="3" t="str">
        <f t="array" ref="W341">IFS(V341&gt;120, "Harvested", V341&gt;=113, "Yellow Ripening", V341&gt;=101, "Dough Stage", V341&gt;=93, "Milking Stage", V341&gt;=86, "Flowering", V341&gt;=56, "Panicle Initiation/Booting", V341&lt;56, "Vegetative/Tillering")</f>
        <v>Vegetative/Tillering</v>
      </c>
    </row>
    <row r="342" ht="15.75" customHeight="1">
      <c r="A342" s="3">
        <v>341.0</v>
      </c>
      <c r="B342" s="3" t="s">
        <v>23</v>
      </c>
      <c r="C342" s="3" t="s">
        <v>121</v>
      </c>
      <c r="D342" s="3" t="s">
        <v>122</v>
      </c>
      <c r="E342" s="3" t="s">
        <v>655</v>
      </c>
      <c r="F342" s="3">
        <v>1760509.0</v>
      </c>
      <c r="G342" s="4">
        <v>46028.0</v>
      </c>
      <c r="H342" s="4">
        <v>46123.0</v>
      </c>
      <c r="I342" s="3" t="s">
        <v>1174</v>
      </c>
      <c r="J342" s="3" t="s">
        <v>1175</v>
      </c>
      <c r="K342" s="3" t="s">
        <v>1176</v>
      </c>
      <c r="L342" s="3">
        <v>2.445</v>
      </c>
      <c r="M342" s="3">
        <v>61125.0</v>
      </c>
      <c r="N342" s="3">
        <v>3.0</v>
      </c>
      <c r="O342" s="3">
        <v>200213.0</v>
      </c>
      <c r="P342" s="3" t="s">
        <v>1177</v>
      </c>
      <c r="Q342" s="3">
        <v>1335667.0</v>
      </c>
      <c r="R342" s="3"/>
      <c r="S342" s="3">
        <v>48900.0</v>
      </c>
      <c r="T342" s="3" t="s">
        <v>37</v>
      </c>
      <c r="U342" s="3">
        <v>48900.0</v>
      </c>
      <c r="V342" s="5">
        <f>(DATE(2026,2,3)-'RICE_Insured Farms_with PPI Pol'!$G342)+IF('RICE_Insured Farms_with PPI Pol'!$H342&lt;&gt;'RICE_Insured Farms_with PPI Pol'!$G342,18,0)</f>
        <v>46</v>
      </c>
      <c r="W342" s="3" t="str">
        <f t="array" ref="W342">IFS(V342&gt;120, "Harvested", V342&gt;=113, "Yellow Ripening", V342&gt;=101, "Dough Stage", V342&gt;=93, "Milking Stage", V342&gt;=86, "Flowering", V342&gt;=56, "Panicle Initiation/Booting", V342&lt;56, "Vegetative/Tillering")</f>
        <v>Vegetative/Tillering</v>
      </c>
    </row>
    <row r="343" ht="15.75" customHeight="1">
      <c r="A343" s="3">
        <v>342.0</v>
      </c>
      <c r="B343" s="3" t="s">
        <v>23</v>
      </c>
      <c r="C343" s="3" t="s">
        <v>68</v>
      </c>
      <c r="D343" s="3" t="s">
        <v>289</v>
      </c>
      <c r="E343" s="3" t="s">
        <v>786</v>
      </c>
      <c r="F343" s="3">
        <v>1760006.0</v>
      </c>
      <c r="G343" s="4">
        <v>46024.0</v>
      </c>
      <c r="H343" s="4">
        <v>46126.0</v>
      </c>
      <c r="I343" s="3" t="s">
        <v>1178</v>
      </c>
      <c r="J343" s="3" t="s">
        <v>1179</v>
      </c>
      <c r="K343" s="3" t="s">
        <v>1180</v>
      </c>
      <c r="L343" s="3">
        <v>0.1672</v>
      </c>
      <c r="M343" s="3">
        <v>4180.0</v>
      </c>
      <c r="N343" s="3">
        <v>3.0</v>
      </c>
      <c r="O343" s="3">
        <v>129351.0</v>
      </c>
      <c r="P343" s="3"/>
      <c r="Q343" s="3">
        <v>1335770.0</v>
      </c>
      <c r="R343" s="3"/>
      <c r="S343" s="3">
        <v>3344.0</v>
      </c>
      <c r="T343" s="3" t="s">
        <v>37</v>
      </c>
      <c r="U343" s="3">
        <v>3344.0</v>
      </c>
      <c r="V343" s="5">
        <f>(DATE(2026,2,3)-'RICE_Insured Farms_with PPI Pol'!$G343)+IF('RICE_Insured Farms_with PPI Pol'!$H343&lt;&gt;'RICE_Insured Farms_with PPI Pol'!$G343,18,0)</f>
        <v>50</v>
      </c>
      <c r="W343" s="3" t="str">
        <f t="array" ref="W343">IFS(V343&gt;120, "Harvested", V343&gt;=113, "Yellow Ripening", V343&gt;=101, "Dough Stage", V343&gt;=93, "Milking Stage", V343&gt;=86, "Flowering", V343&gt;=56, "Panicle Initiation/Booting", V343&lt;56, "Vegetative/Tillering")</f>
        <v>Vegetative/Tillering</v>
      </c>
    </row>
    <row r="344" ht="15.75" hidden="1" customHeight="1">
      <c r="A344" s="3">
        <v>343.0</v>
      </c>
      <c r="B344" s="3" t="s">
        <v>23</v>
      </c>
      <c r="C344" s="3" t="s">
        <v>68</v>
      </c>
      <c r="D344" s="3" t="s">
        <v>420</v>
      </c>
      <c r="E344" s="3" t="s">
        <v>689</v>
      </c>
      <c r="F344" s="3">
        <v>1197000.0</v>
      </c>
      <c r="G344" s="4">
        <v>46041.0</v>
      </c>
      <c r="H344" s="4">
        <v>46143.0</v>
      </c>
      <c r="I344" s="3" t="s">
        <v>728</v>
      </c>
      <c r="J344" s="3" t="s">
        <v>1181</v>
      </c>
      <c r="K344" s="3" t="s">
        <v>1008</v>
      </c>
      <c r="L344" s="3">
        <v>0.6899</v>
      </c>
      <c r="M344" s="3">
        <v>17247.5</v>
      </c>
      <c r="N344" s="3">
        <v>2.0</v>
      </c>
      <c r="O344" s="3">
        <v>511645.0</v>
      </c>
      <c r="P344" s="3" t="s">
        <v>1182</v>
      </c>
      <c r="Q344" s="3">
        <v>1327613.0</v>
      </c>
      <c r="R344" s="3"/>
      <c r="S344" s="3">
        <v>12073.25</v>
      </c>
      <c r="T344" s="3" t="s">
        <v>31</v>
      </c>
      <c r="U344" s="3">
        <v>12073.25</v>
      </c>
      <c r="V344" s="5">
        <f>(DATE(2026,2,3)-'RICE_Insured Farms_with PPI Pol'!$G344)+IF('RICE_Insured Farms_with PPI Pol'!$H344&lt;&gt;'RICE_Insured Farms_with PPI Pol'!$G344,18,0)</f>
        <v>33</v>
      </c>
      <c r="W344" s="3" t="str">
        <f t="array" ref="W344">IFS(V344&gt;120, "Harvested", V344&gt;=113, "Yellow Ripening", V344&gt;=101, "Dough Stage", V344&gt;=93, "Milking Stage", V344&gt;=86, "Flowering", V344&gt;=56, "Panicle Initiation/Booting", V344&lt;56, "Vegetative/Tillering")</f>
        <v>Vegetative/Tillering</v>
      </c>
    </row>
    <row r="345" ht="15.75" hidden="1" customHeight="1">
      <c r="A345" s="3">
        <v>344.0</v>
      </c>
      <c r="B345" s="3" t="s">
        <v>23</v>
      </c>
      <c r="C345" s="3" t="s">
        <v>68</v>
      </c>
      <c r="D345" s="3" t="s">
        <v>420</v>
      </c>
      <c r="E345" s="3" t="s">
        <v>689</v>
      </c>
      <c r="F345" s="3">
        <v>1197000.0</v>
      </c>
      <c r="G345" s="4">
        <v>46035.0</v>
      </c>
      <c r="H345" s="4">
        <v>46137.0</v>
      </c>
      <c r="I345" s="3" t="s">
        <v>1183</v>
      </c>
      <c r="J345" s="3" t="s">
        <v>1184</v>
      </c>
      <c r="K345" s="3" t="s">
        <v>319</v>
      </c>
      <c r="L345" s="3">
        <v>0.4586</v>
      </c>
      <c r="M345" s="3">
        <v>11465.0</v>
      </c>
      <c r="N345" s="3">
        <v>2.0</v>
      </c>
      <c r="O345" s="3">
        <v>511648.0</v>
      </c>
      <c r="P345" s="3" t="s">
        <v>1185</v>
      </c>
      <c r="Q345" s="3">
        <v>1327615.0</v>
      </c>
      <c r="R345" s="3"/>
      <c r="S345" s="3">
        <v>8025.5</v>
      </c>
      <c r="T345" s="3" t="s">
        <v>31</v>
      </c>
      <c r="U345" s="3">
        <v>8025.5</v>
      </c>
      <c r="V345" s="5">
        <f>(DATE(2026,2,3)-'RICE_Insured Farms_with PPI Pol'!$G345)+IF('RICE_Insured Farms_with PPI Pol'!$H345&lt;&gt;'RICE_Insured Farms_with PPI Pol'!$G345,18,0)</f>
        <v>39</v>
      </c>
      <c r="W345" s="3" t="str">
        <f t="array" ref="W345">IFS(V345&gt;120, "Harvested", V345&gt;=113, "Yellow Ripening", V345&gt;=101, "Dough Stage", V345&gt;=93, "Milking Stage", V345&gt;=86, "Flowering", V345&gt;=56, "Panicle Initiation/Booting", V345&lt;56, "Vegetative/Tillering")</f>
        <v>Vegetative/Tillering</v>
      </c>
    </row>
    <row r="346" ht="15.75" customHeight="1">
      <c r="A346" s="3">
        <v>345.0</v>
      </c>
      <c r="B346" s="3" t="s">
        <v>23</v>
      </c>
      <c r="C346" s="3" t="s">
        <v>68</v>
      </c>
      <c r="D346" s="3" t="s">
        <v>262</v>
      </c>
      <c r="E346" s="3" t="s">
        <v>273</v>
      </c>
      <c r="F346" s="3">
        <v>1739585.0</v>
      </c>
      <c r="G346" s="4">
        <v>46024.0</v>
      </c>
      <c r="H346" s="4">
        <v>46126.0</v>
      </c>
      <c r="I346" s="3" t="s">
        <v>1186</v>
      </c>
      <c r="J346" s="3" t="s">
        <v>1187</v>
      </c>
      <c r="K346" s="3" t="s">
        <v>223</v>
      </c>
      <c r="L346" s="3">
        <v>0.9317</v>
      </c>
      <c r="M346" s="3">
        <v>23292.5</v>
      </c>
      <c r="N346" s="3">
        <v>3.0</v>
      </c>
      <c r="O346" s="3">
        <v>14911.0</v>
      </c>
      <c r="P346" s="3" t="s">
        <v>1188</v>
      </c>
      <c r="Q346" s="3">
        <v>898979.0</v>
      </c>
      <c r="R346" s="3"/>
      <c r="S346" s="3">
        <v>18634.0</v>
      </c>
      <c r="T346" s="3" t="s">
        <v>37</v>
      </c>
      <c r="U346" s="3">
        <v>18634.0</v>
      </c>
      <c r="V346" s="5">
        <f>(DATE(2026,2,3)-'RICE_Insured Farms_with PPI Pol'!$G346)+IF('RICE_Insured Farms_with PPI Pol'!$H346&lt;&gt;'RICE_Insured Farms_with PPI Pol'!$G346,18,0)</f>
        <v>50</v>
      </c>
      <c r="W346" s="3" t="str">
        <f t="array" ref="W346">IFS(V346&gt;120, "Harvested", V346&gt;=113, "Yellow Ripening", V346&gt;=101, "Dough Stage", V346&gt;=93, "Milking Stage", V346&gt;=86, "Flowering", V346&gt;=56, "Panicle Initiation/Booting", V346&lt;56, "Vegetative/Tillering")</f>
        <v>Vegetative/Tillering</v>
      </c>
    </row>
    <row r="347" ht="15.75" hidden="1" customHeight="1">
      <c r="A347" s="3">
        <v>346.0</v>
      </c>
      <c r="B347" s="3" t="s">
        <v>23</v>
      </c>
      <c r="C347" s="3" t="s">
        <v>68</v>
      </c>
      <c r="D347" s="3" t="s">
        <v>289</v>
      </c>
      <c r="E347" s="3" t="s">
        <v>685</v>
      </c>
      <c r="F347" s="3">
        <v>1760005.0</v>
      </c>
      <c r="G347" s="4">
        <v>46025.0</v>
      </c>
      <c r="H347" s="4">
        <v>46127.0</v>
      </c>
      <c r="I347" s="3" t="s">
        <v>1189</v>
      </c>
      <c r="J347" s="3" t="s">
        <v>1190</v>
      </c>
      <c r="K347" s="3" t="s">
        <v>1191</v>
      </c>
      <c r="L347" s="3">
        <v>0.8853</v>
      </c>
      <c r="M347" s="3">
        <v>22132.5</v>
      </c>
      <c r="N347" s="3">
        <v>2.0</v>
      </c>
      <c r="O347" s="3">
        <v>330038.0</v>
      </c>
      <c r="P347" s="3" t="s">
        <v>1192</v>
      </c>
      <c r="Q347" s="3">
        <v>1141262.0</v>
      </c>
      <c r="R347" s="3"/>
      <c r="S347" s="3">
        <v>15492.75</v>
      </c>
      <c r="T347" s="3" t="s">
        <v>31</v>
      </c>
      <c r="U347" s="3">
        <v>15492.75</v>
      </c>
      <c r="V347" s="5">
        <f>(DATE(2026,2,3)-'RICE_Insured Farms_with PPI Pol'!$G347)+IF('RICE_Insured Farms_with PPI Pol'!$H347&lt;&gt;'RICE_Insured Farms_with PPI Pol'!$G347,18,0)</f>
        <v>49</v>
      </c>
      <c r="W347" s="3" t="str">
        <f t="array" ref="W347">IFS(V347&gt;120, "Harvested", V347&gt;=113, "Yellow Ripening", V347&gt;=101, "Dough Stage", V347&gt;=93, "Milking Stage", V347&gt;=86, "Flowering", V347&gt;=56, "Panicle Initiation/Booting", V347&lt;56, "Vegetative/Tillering")</f>
        <v>Vegetative/Tillering</v>
      </c>
    </row>
    <row r="348" ht="15.75" hidden="1" customHeight="1">
      <c r="A348" s="3">
        <v>347.0</v>
      </c>
      <c r="B348" s="3" t="s">
        <v>23</v>
      </c>
      <c r="C348" s="3" t="s">
        <v>68</v>
      </c>
      <c r="D348" s="3" t="s">
        <v>289</v>
      </c>
      <c r="E348" s="3" t="s">
        <v>352</v>
      </c>
      <c r="F348" s="3">
        <v>1760051.0</v>
      </c>
      <c r="G348" s="4">
        <v>46036.0</v>
      </c>
      <c r="H348" s="4">
        <v>46138.0</v>
      </c>
      <c r="I348" s="3" t="s">
        <v>1137</v>
      </c>
      <c r="J348" s="3" t="s">
        <v>1193</v>
      </c>
      <c r="K348" s="3" t="s">
        <v>1194</v>
      </c>
      <c r="L348" s="3">
        <v>0.5582</v>
      </c>
      <c r="M348" s="3">
        <v>13955.0</v>
      </c>
      <c r="N348" s="3">
        <v>2.0</v>
      </c>
      <c r="O348" s="3">
        <v>294074.0</v>
      </c>
      <c r="P348" s="3"/>
      <c r="Q348" s="3">
        <v>1057711.0</v>
      </c>
      <c r="R348" s="3"/>
      <c r="S348" s="3">
        <v>9768.5</v>
      </c>
      <c r="T348" s="3" t="s">
        <v>31</v>
      </c>
      <c r="U348" s="3">
        <v>9768.5</v>
      </c>
      <c r="V348" s="5">
        <f>(DATE(2026,2,3)-'RICE_Insured Farms_with PPI Pol'!$G348)+IF('RICE_Insured Farms_with PPI Pol'!$H348&lt;&gt;'RICE_Insured Farms_with PPI Pol'!$G348,18,0)</f>
        <v>38</v>
      </c>
      <c r="W348" s="3" t="str">
        <f t="array" ref="W348">IFS(V348&gt;120, "Harvested", V348&gt;=113, "Yellow Ripening", V348&gt;=101, "Dough Stage", V348&gt;=93, "Milking Stage", V348&gt;=86, "Flowering", V348&gt;=56, "Panicle Initiation/Booting", V348&lt;56, "Vegetative/Tillering")</f>
        <v>Vegetative/Tillering</v>
      </c>
    </row>
    <row r="349" ht="15.75" hidden="1" customHeight="1">
      <c r="A349" s="3">
        <v>348.0</v>
      </c>
      <c r="B349" s="3" t="s">
        <v>23</v>
      </c>
      <c r="C349" s="3" t="s">
        <v>68</v>
      </c>
      <c r="D349" s="3" t="s">
        <v>420</v>
      </c>
      <c r="E349" s="3" t="s">
        <v>842</v>
      </c>
      <c r="F349" s="3">
        <v>1197002.0</v>
      </c>
      <c r="G349" s="4">
        <v>46038.0</v>
      </c>
      <c r="H349" s="4">
        <v>46140.0</v>
      </c>
      <c r="I349" s="3" t="s">
        <v>1195</v>
      </c>
      <c r="J349" s="3" t="s">
        <v>109</v>
      </c>
      <c r="K349" s="3" t="s">
        <v>1196</v>
      </c>
      <c r="L349" s="3">
        <v>0.1835</v>
      </c>
      <c r="M349" s="3">
        <v>4587.5</v>
      </c>
      <c r="N349" s="3">
        <v>2.0</v>
      </c>
      <c r="O349" s="3">
        <v>436666.0</v>
      </c>
      <c r="P349" s="3" t="s">
        <v>1197</v>
      </c>
      <c r="Q349" s="3">
        <v>1327612.0</v>
      </c>
      <c r="R349" s="3"/>
      <c r="S349" s="3">
        <v>3211.25</v>
      </c>
      <c r="T349" s="3" t="s">
        <v>31</v>
      </c>
      <c r="U349" s="3">
        <v>3211.25</v>
      </c>
      <c r="V349" s="5">
        <f>(DATE(2026,2,3)-'RICE_Insured Farms_with PPI Pol'!$G349)+IF('RICE_Insured Farms_with PPI Pol'!$H349&lt;&gt;'RICE_Insured Farms_with PPI Pol'!$G349,18,0)</f>
        <v>36</v>
      </c>
      <c r="W349" s="3" t="str">
        <f t="array" ref="W349">IFS(V349&gt;120, "Harvested", V349&gt;=113, "Yellow Ripening", V349&gt;=101, "Dough Stage", V349&gt;=93, "Milking Stage", V349&gt;=86, "Flowering", V349&gt;=56, "Panicle Initiation/Booting", V349&lt;56, "Vegetative/Tillering")</f>
        <v>Vegetative/Tillering</v>
      </c>
    </row>
    <row r="350" ht="15.75" hidden="1" customHeight="1">
      <c r="A350" s="3">
        <v>349.0</v>
      </c>
      <c r="B350" s="3" t="s">
        <v>23</v>
      </c>
      <c r="C350" s="3" t="s">
        <v>68</v>
      </c>
      <c r="D350" s="3" t="s">
        <v>420</v>
      </c>
      <c r="E350" s="3" t="s">
        <v>421</v>
      </c>
      <c r="F350" s="3">
        <v>1196993.0</v>
      </c>
      <c r="G350" s="4">
        <v>46045.0</v>
      </c>
      <c r="H350" s="4">
        <v>46147.0</v>
      </c>
      <c r="I350" s="3" t="s">
        <v>1198</v>
      </c>
      <c r="J350" s="3" t="s">
        <v>1199</v>
      </c>
      <c r="K350" s="3" t="s">
        <v>1200</v>
      </c>
      <c r="L350" s="3">
        <v>0.1823</v>
      </c>
      <c r="M350" s="3">
        <v>4557.5</v>
      </c>
      <c r="N350" s="3">
        <v>1.0</v>
      </c>
      <c r="O350" s="3">
        <v>454146.0</v>
      </c>
      <c r="P350" s="3" t="s">
        <v>1201</v>
      </c>
      <c r="Q350" s="3">
        <v>1134745.0</v>
      </c>
      <c r="R350" s="3"/>
      <c r="S350" s="3">
        <v>2734.5</v>
      </c>
      <c r="T350" s="3" t="s">
        <v>62</v>
      </c>
      <c r="U350" s="3">
        <v>2734.5</v>
      </c>
      <c r="V350" s="5">
        <f>(DATE(2026,2,3)-'RICE_Insured Farms_with PPI Pol'!$G350)+IF('RICE_Insured Farms_with PPI Pol'!$H350&lt;&gt;'RICE_Insured Farms_with PPI Pol'!$G350,18,0)</f>
        <v>29</v>
      </c>
      <c r="W350" s="3" t="str">
        <f t="array" ref="W350">IFS(V350&gt;120, "Harvested", V350&gt;=113, "Yellow Ripening", V350&gt;=101, "Dough Stage", V350&gt;=93, "Milking Stage", V350&gt;=86, "Flowering", V350&gt;=56, "Panicle Initiation/Booting", V350&lt;56, "Vegetative/Tillering")</f>
        <v>Vegetative/Tillering</v>
      </c>
    </row>
    <row r="351" ht="15.75" hidden="1" customHeight="1">
      <c r="A351" s="3">
        <v>350.0</v>
      </c>
      <c r="B351" s="3" t="s">
        <v>23</v>
      </c>
      <c r="C351" s="3" t="s">
        <v>121</v>
      </c>
      <c r="D351" s="3" t="s">
        <v>122</v>
      </c>
      <c r="E351" s="3" t="s">
        <v>655</v>
      </c>
      <c r="F351" s="3">
        <v>1760509.0</v>
      </c>
      <c r="G351" s="4">
        <v>46032.0</v>
      </c>
      <c r="H351" s="4">
        <v>46152.0</v>
      </c>
      <c r="I351" s="3" t="s">
        <v>1202</v>
      </c>
      <c r="J351" s="3" t="s">
        <v>1203</v>
      </c>
      <c r="K351" s="3" t="s">
        <v>1079</v>
      </c>
      <c r="L351" s="3">
        <v>1.7757</v>
      </c>
      <c r="M351" s="3">
        <v>44392.5</v>
      </c>
      <c r="N351" s="3">
        <v>1.0</v>
      </c>
      <c r="O351" s="3">
        <v>309469.0</v>
      </c>
      <c r="P351" s="3" t="s">
        <v>1204</v>
      </c>
      <c r="Q351" s="3">
        <v>1283365.0</v>
      </c>
      <c r="R351" s="3"/>
      <c r="S351" s="3">
        <v>26635.5</v>
      </c>
      <c r="T351" s="3" t="s">
        <v>62</v>
      </c>
      <c r="U351" s="3">
        <v>26635.5</v>
      </c>
      <c r="V351" s="5">
        <f>(DATE(2026,2,3)-'RICE_Insured Farms_with PPI Pol'!$G351)+IF('RICE_Insured Farms_with PPI Pol'!$H351&lt;&gt;'RICE_Insured Farms_with PPI Pol'!$G351,18,0)</f>
        <v>42</v>
      </c>
      <c r="W351" s="3" t="str">
        <f t="array" ref="W351">IFS(V351&gt;120, "Harvested", V351&gt;=113, "Yellow Ripening", V351&gt;=101, "Dough Stage", V351&gt;=93, "Milking Stage", V351&gt;=86, "Flowering", V351&gt;=56, "Panicle Initiation/Booting", V351&lt;56, "Vegetative/Tillering")</f>
        <v>Vegetative/Tillering</v>
      </c>
    </row>
    <row r="352" ht="15.75" hidden="1" customHeight="1">
      <c r="A352" s="3">
        <v>351.0</v>
      </c>
      <c r="B352" s="3" t="s">
        <v>23</v>
      </c>
      <c r="C352" s="3" t="s">
        <v>68</v>
      </c>
      <c r="D352" s="3" t="s">
        <v>679</v>
      </c>
      <c r="E352" s="3" t="s">
        <v>680</v>
      </c>
      <c r="F352" s="3">
        <v>1175382.0</v>
      </c>
      <c r="G352" s="4">
        <v>46029.0</v>
      </c>
      <c r="H352" s="4">
        <v>46131.0</v>
      </c>
      <c r="I352" s="3" t="s">
        <v>1205</v>
      </c>
      <c r="J352" s="3" t="s">
        <v>1014</v>
      </c>
      <c r="K352" s="3" t="s">
        <v>1206</v>
      </c>
      <c r="L352" s="3">
        <v>0.3832</v>
      </c>
      <c r="M352" s="3">
        <v>9580.0</v>
      </c>
      <c r="N352" s="3">
        <v>2.0</v>
      </c>
      <c r="O352" s="3">
        <v>164363.0</v>
      </c>
      <c r="P352" s="3" t="s">
        <v>1207</v>
      </c>
      <c r="Q352" s="3">
        <v>1278748.0</v>
      </c>
      <c r="R352" s="3"/>
      <c r="S352" s="3">
        <v>6706.0</v>
      </c>
      <c r="T352" s="3" t="s">
        <v>31</v>
      </c>
      <c r="U352" s="3">
        <v>6706.0</v>
      </c>
      <c r="V352" s="5">
        <f>(DATE(2026,2,3)-'RICE_Insured Farms_with PPI Pol'!$G352)+IF('RICE_Insured Farms_with PPI Pol'!$H352&lt;&gt;'RICE_Insured Farms_with PPI Pol'!$G352,18,0)</f>
        <v>45</v>
      </c>
      <c r="W352" s="3" t="str">
        <f t="array" ref="W352">IFS(V352&gt;120, "Harvested", V352&gt;=113, "Yellow Ripening", V352&gt;=101, "Dough Stage", V352&gt;=93, "Milking Stage", V352&gt;=86, "Flowering", V352&gt;=56, "Panicle Initiation/Booting", V352&lt;56, "Vegetative/Tillering")</f>
        <v>Vegetative/Tillering</v>
      </c>
    </row>
    <row r="353" ht="15.75" hidden="1" customHeight="1">
      <c r="A353" s="3">
        <v>352.0</v>
      </c>
      <c r="B353" s="3" t="s">
        <v>23</v>
      </c>
      <c r="C353" s="3" t="s">
        <v>68</v>
      </c>
      <c r="D353" s="3" t="s">
        <v>679</v>
      </c>
      <c r="E353" s="3" t="s">
        <v>680</v>
      </c>
      <c r="F353" s="3">
        <v>1175382.0</v>
      </c>
      <c r="G353" s="4">
        <v>46029.0</v>
      </c>
      <c r="H353" s="4">
        <v>46131.0</v>
      </c>
      <c r="I353" s="3" t="s">
        <v>1205</v>
      </c>
      <c r="J353" s="3" t="s">
        <v>1014</v>
      </c>
      <c r="K353" s="3" t="s">
        <v>1206</v>
      </c>
      <c r="L353" s="3">
        <v>0.2699</v>
      </c>
      <c r="M353" s="3">
        <v>6747.5</v>
      </c>
      <c r="N353" s="3">
        <v>2.0</v>
      </c>
      <c r="O353" s="3">
        <v>164363.0</v>
      </c>
      <c r="P353" s="3" t="s">
        <v>1207</v>
      </c>
      <c r="Q353" s="3">
        <v>1278751.0</v>
      </c>
      <c r="R353" s="3"/>
      <c r="S353" s="3">
        <v>4723.25</v>
      </c>
      <c r="T353" s="3" t="s">
        <v>31</v>
      </c>
      <c r="U353" s="3">
        <v>4723.25</v>
      </c>
      <c r="V353" s="5">
        <f>(DATE(2026,2,3)-'RICE_Insured Farms_with PPI Pol'!$G353)+IF('RICE_Insured Farms_with PPI Pol'!$H353&lt;&gt;'RICE_Insured Farms_with PPI Pol'!$G353,18,0)</f>
        <v>45</v>
      </c>
      <c r="W353" s="3" t="str">
        <f t="array" ref="W353">IFS(V353&gt;120, "Harvested", V353&gt;=113, "Yellow Ripening", V353&gt;=101, "Dough Stage", V353&gt;=93, "Milking Stage", V353&gt;=86, "Flowering", V353&gt;=56, "Panicle Initiation/Booting", V353&lt;56, "Vegetative/Tillering")</f>
        <v>Vegetative/Tillering</v>
      </c>
    </row>
    <row r="354" ht="15.75" hidden="1" customHeight="1">
      <c r="A354" s="3">
        <v>353.0</v>
      </c>
      <c r="B354" s="3" t="s">
        <v>23</v>
      </c>
      <c r="C354" s="3" t="s">
        <v>68</v>
      </c>
      <c r="D354" s="3" t="s">
        <v>679</v>
      </c>
      <c r="E354" s="3" t="s">
        <v>680</v>
      </c>
      <c r="F354" s="3">
        <v>1175382.0</v>
      </c>
      <c r="G354" s="4">
        <v>46045.0</v>
      </c>
      <c r="H354" s="4">
        <v>46147.0</v>
      </c>
      <c r="I354" s="3" t="s">
        <v>1205</v>
      </c>
      <c r="J354" s="3" t="s">
        <v>1014</v>
      </c>
      <c r="K354" s="3" t="s">
        <v>1206</v>
      </c>
      <c r="L354" s="3">
        <v>0.9782</v>
      </c>
      <c r="M354" s="3">
        <v>24455.0</v>
      </c>
      <c r="N354" s="3">
        <v>1.0</v>
      </c>
      <c r="O354" s="3">
        <v>164363.0</v>
      </c>
      <c r="P354" s="3" t="s">
        <v>1207</v>
      </c>
      <c r="Q354" s="3">
        <v>1337933.0</v>
      </c>
      <c r="R354" s="3"/>
      <c r="S354" s="3">
        <v>14673.0</v>
      </c>
      <c r="T354" s="3" t="s">
        <v>62</v>
      </c>
      <c r="U354" s="3">
        <v>14673.0</v>
      </c>
      <c r="V354" s="5">
        <f>(DATE(2026,2,3)-'RICE_Insured Farms_with PPI Pol'!$G354)+IF('RICE_Insured Farms_with PPI Pol'!$H354&lt;&gt;'RICE_Insured Farms_with PPI Pol'!$G354,18,0)</f>
        <v>29</v>
      </c>
      <c r="W354" s="3" t="str">
        <f t="array" ref="W354">IFS(V354&gt;120, "Harvested", V354&gt;=113, "Yellow Ripening", V354&gt;=101, "Dough Stage", V354&gt;=93, "Milking Stage", V354&gt;=86, "Flowering", V354&gt;=56, "Panicle Initiation/Booting", V354&lt;56, "Vegetative/Tillering")</f>
        <v>Vegetative/Tillering</v>
      </c>
    </row>
    <row r="355" ht="15.75" hidden="1" customHeight="1">
      <c r="A355" s="3">
        <v>354.0</v>
      </c>
      <c r="B355" s="3" t="s">
        <v>23</v>
      </c>
      <c r="C355" s="3" t="s">
        <v>68</v>
      </c>
      <c r="D355" s="3" t="s">
        <v>679</v>
      </c>
      <c r="E355" s="3" t="s">
        <v>680</v>
      </c>
      <c r="F355" s="3">
        <v>1175382.0</v>
      </c>
      <c r="G355" s="4">
        <v>46028.0</v>
      </c>
      <c r="H355" s="4">
        <v>46130.0</v>
      </c>
      <c r="I355" s="3" t="s">
        <v>1205</v>
      </c>
      <c r="J355" s="3" t="s">
        <v>1014</v>
      </c>
      <c r="K355" s="3" t="s">
        <v>1206</v>
      </c>
      <c r="L355" s="3">
        <v>0.4979</v>
      </c>
      <c r="M355" s="3">
        <v>12447.5</v>
      </c>
      <c r="N355" s="3">
        <v>2.0</v>
      </c>
      <c r="O355" s="3">
        <v>164363.0</v>
      </c>
      <c r="P355" s="3" t="s">
        <v>1207</v>
      </c>
      <c r="Q355" s="3">
        <v>1337935.0</v>
      </c>
      <c r="R355" s="3"/>
      <c r="S355" s="3">
        <v>8713.25</v>
      </c>
      <c r="T355" s="3" t="s">
        <v>31</v>
      </c>
      <c r="U355" s="3">
        <v>8713.25</v>
      </c>
      <c r="V355" s="5">
        <f>(DATE(2026,2,3)-'RICE_Insured Farms_with PPI Pol'!$G355)+IF('RICE_Insured Farms_with PPI Pol'!$H355&lt;&gt;'RICE_Insured Farms_with PPI Pol'!$G355,18,0)</f>
        <v>46</v>
      </c>
      <c r="W355" s="3" t="str">
        <f t="array" ref="W355">IFS(V355&gt;120, "Harvested", V355&gt;=113, "Yellow Ripening", V355&gt;=101, "Dough Stage", V355&gt;=93, "Milking Stage", V355&gt;=86, "Flowering", V355&gt;=56, "Panicle Initiation/Booting", V355&lt;56, "Vegetative/Tillering")</f>
        <v>Vegetative/Tillering</v>
      </c>
    </row>
    <row r="356" ht="15.75" hidden="1" customHeight="1">
      <c r="A356" s="3">
        <v>355.0</v>
      </c>
      <c r="B356" s="3" t="s">
        <v>23</v>
      </c>
      <c r="C356" s="3" t="s">
        <v>68</v>
      </c>
      <c r="D356" s="3" t="s">
        <v>1208</v>
      </c>
      <c r="E356" s="3" t="s">
        <v>1209</v>
      </c>
      <c r="F356" s="3">
        <v>1742123.0</v>
      </c>
      <c r="G356" s="4">
        <v>46058.0</v>
      </c>
      <c r="H356" s="4">
        <v>46160.0</v>
      </c>
      <c r="I356" s="3" t="s">
        <v>1205</v>
      </c>
      <c r="J356" s="3" t="s">
        <v>1210</v>
      </c>
      <c r="K356" s="3" t="s">
        <v>1211</v>
      </c>
      <c r="L356" s="3">
        <v>0.9094</v>
      </c>
      <c r="M356" s="3">
        <v>22735.0</v>
      </c>
      <c r="N356" s="3">
        <v>1.0</v>
      </c>
      <c r="O356" s="3">
        <v>85342.0</v>
      </c>
      <c r="P356" s="3" t="s">
        <v>1212</v>
      </c>
      <c r="Q356" s="3">
        <v>1347074.0</v>
      </c>
      <c r="R356" s="3"/>
      <c r="S356" s="3">
        <v>13641.0</v>
      </c>
      <c r="T356" s="3" t="s">
        <v>62</v>
      </c>
      <c r="U356" s="3">
        <v>13641.0</v>
      </c>
      <c r="V356" s="5">
        <f>(DATE(2026,2,3)-'RICE_Insured Farms_with PPI Pol'!$G356)+IF('RICE_Insured Farms_with PPI Pol'!$H356&lt;&gt;'RICE_Insured Farms_with PPI Pol'!$G356,18,0)</f>
        <v>16</v>
      </c>
      <c r="W356" s="3" t="str">
        <f t="array" ref="W356">IFS(V356&gt;120, "Harvested", V356&gt;=113, "Yellow Ripening", V356&gt;=101, "Dough Stage", V356&gt;=93, "Milking Stage", V356&gt;=86, "Flowering", V356&gt;=56, "Panicle Initiation/Booting", V356&lt;56, "Vegetative/Tillering")</f>
        <v>Vegetative/Tillering</v>
      </c>
    </row>
    <row r="357" ht="15.75" hidden="1" customHeight="1">
      <c r="A357" s="3">
        <v>451.0</v>
      </c>
      <c r="B357" s="3" t="s">
        <v>1213</v>
      </c>
      <c r="C357" s="3" t="s">
        <v>24</v>
      </c>
      <c r="D357" s="3" t="s">
        <v>25</v>
      </c>
      <c r="E357" s="3" t="s">
        <v>348</v>
      </c>
      <c r="F357" s="3">
        <v>1760484.0</v>
      </c>
      <c r="G357" s="4">
        <v>46009.0</v>
      </c>
      <c r="H357" s="4">
        <v>46104.0</v>
      </c>
      <c r="I357" s="3" t="s">
        <v>1214</v>
      </c>
      <c r="J357" s="3" t="s">
        <v>1215</v>
      </c>
      <c r="K357" s="3" t="s">
        <v>1216</v>
      </c>
      <c r="L357" s="3">
        <v>2.0</v>
      </c>
      <c r="M357" s="3">
        <v>80000.0</v>
      </c>
      <c r="N357" s="3">
        <v>4.0</v>
      </c>
      <c r="O357" s="3">
        <v>199112.0</v>
      </c>
      <c r="P357" s="3" t="s">
        <v>1217</v>
      </c>
      <c r="Q357" s="3">
        <v>1318899.0</v>
      </c>
      <c r="R357" s="3"/>
      <c r="S357" s="3">
        <v>64000.0</v>
      </c>
      <c r="T357" s="3" t="s">
        <v>56</v>
      </c>
      <c r="U357" s="3">
        <v>64000.0</v>
      </c>
      <c r="V357" s="5">
        <f>(DATE(2026,2,3)-'RICE_Insured Farms_with PPI Pol'!$G357)+IF('RICE_Insured Farms_with PPI Pol'!$H357&lt;&gt;'RICE_Insured Farms_with PPI Pol'!$G357,18,0)</f>
        <v>65</v>
      </c>
      <c r="W357" s="3" t="str">
        <f t="array" ref="W357">IFS(V357&gt;120, "Harvested", V357&gt;=113, "Yellow Ripening", V357&gt;=101, "Dough Stage", V357&gt;=93, "Milking Stage", V357&gt;=86, "Flowering", V357&gt;=56, "Panicle Initiation/Booting", V357&lt;56, "Vegetative/Tillering")</f>
        <v>Panicle Initiation/Booting</v>
      </c>
    </row>
    <row r="358" ht="15.75" hidden="1" customHeight="1">
      <c r="A358" s="3">
        <v>357.0</v>
      </c>
      <c r="B358" s="3" t="s">
        <v>23</v>
      </c>
      <c r="C358" s="3" t="s">
        <v>68</v>
      </c>
      <c r="D358" s="3" t="s">
        <v>289</v>
      </c>
      <c r="E358" s="3" t="s">
        <v>685</v>
      </c>
      <c r="F358" s="3">
        <v>1760004.0</v>
      </c>
      <c r="G358" s="4">
        <v>46025.0</v>
      </c>
      <c r="H358" s="4">
        <v>46127.0</v>
      </c>
      <c r="I358" s="3" t="s">
        <v>1218</v>
      </c>
      <c r="J358" s="3" t="s">
        <v>822</v>
      </c>
      <c r="K358" s="3" t="s">
        <v>884</v>
      </c>
      <c r="L358" s="3">
        <v>0.5993</v>
      </c>
      <c r="M358" s="3">
        <v>14982.5</v>
      </c>
      <c r="N358" s="3">
        <v>2.0</v>
      </c>
      <c r="O358" s="3">
        <v>416890.0</v>
      </c>
      <c r="P358" s="3" t="s">
        <v>1219</v>
      </c>
      <c r="Q358" s="3">
        <v>1328923.0</v>
      </c>
      <c r="R358" s="3"/>
      <c r="S358" s="3">
        <v>10487.75</v>
      </c>
      <c r="T358" s="3" t="s">
        <v>31</v>
      </c>
      <c r="U358" s="3">
        <v>10487.75</v>
      </c>
      <c r="V358" s="5">
        <f>(DATE(2026,2,3)-'RICE_Insured Farms_with PPI Pol'!$G358)+IF('RICE_Insured Farms_with PPI Pol'!$H358&lt;&gt;'RICE_Insured Farms_with PPI Pol'!$G358,18,0)</f>
        <v>49</v>
      </c>
      <c r="W358" s="3" t="str">
        <f t="array" ref="W358">IFS(V358&gt;120, "Harvested", V358&gt;=113, "Yellow Ripening", V358&gt;=101, "Dough Stage", V358&gt;=93, "Milking Stage", V358&gt;=86, "Flowering", V358&gt;=56, "Panicle Initiation/Booting", V358&lt;56, "Vegetative/Tillering")</f>
        <v>Vegetative/Tillering</v>
      </c>
    </row>
    <row r="359" ht="15.75" hidden="1" customHeight="1">
      <c r="A359" s="3">
        <v>358.0</v>
      </c>
      <c r="B359" s="3" t="s">
        <v>23</v>
      </c>
      <c r="C359" s="3" t="s">
        <v>68</v>
      </c>
      <c r="D359" s="3" t="s">
        <v>420</v>
      </c>
      <c r="E359" s="3" t="s">
        <v>421</v>
      </c>
      <c r="F359" s="3">
        <v>1196999.0</v>
      </c>
      <c r="G359" s="4">
        <v>46061.0</v>
      </c>
      <c r="H359" s="4">
        <v>46163.0</v>
      </c>
      <c r="I359" s="3" t="s">
        <v>1220</v>
      </c>
      <c r="J359" s="3" t="s">
        <v>1221</v>
      </c>
      <c r="K359" s="3" t="s">
        <v>658</v>
      </c>
      <c r="L359" s="3">
        <v>1.037</v>
      </c>
      <c r="M359" s="3">
        <v>25925.0</v>
      </c>
      <c r="N359" s="3">
        <v>1.0</v>
      </c>
      <c r="O359" s="3">
        <v>330594.0</v>
      </c>
      <c r="P359" s="3" t="s">
        <v>1222</v>
      </c>
      <c r="Q359" s="3">
        <v>1289181.0</v>
      </c>
      <c r="R359" s="3"/>
      <c r="S359" s="3">
        <v>15555.0</v>
      </c>
      <c r="T359" s="3" t="s">
        <v>62</v>
      </c>
      <c r="U359" s="3">
        <v>15555.0</v>
      </c>
      <c r="V359" s="5">
        <f>(DATE(2026,2,3)-'RICE_Insured Farms_with PPI Pol'!$G359)+IF('RICE_Insured Farms_with PPI Pol'!$H359&lt;&gt;'RICE_Insured Farms_with PPI Pol'!$G359,18,0)</f>
        <v>13</v>
      </c>
      <c r="W359" s="3" t="str">
        <f t="array" ref="W359">IFS(V359&gt;120, "Harvested", V359&gt;=113, "Yellow Ripening", V359&gt;=101, "Dough Stage", V359&gt;=93, "Milking Stage", V359&gt;=86, "Flowering", V359&gt;=56, "Panicle Initiation/Booting", V359&lt;56, "Vegetative/Tillering")</f>
        <v>Vegetative/Tillering</v>
      </c>
    </row>
    <row r="360" ht="15.75" hidden="1" customHeight="1">
      <c r="A360" s="3">
        <v>483.0</v>
      </c>
      <c r="B360" s="3" t="s">
        <v>23</v>
      </c>
      <c r="C360" s="3" t="s">
        <v>24</v>
      </c>
      <c r="D360" s="3" t="s">
        <v>25</v>
      </c>
      <c r="E360" s="3" t="s">
        <v>637</v>
      </c>
      <c r="F360" s="3">
        <v>1760465.0</v>
      </c>
      <c r="G360" s="4">
        <v>46006.0</v>
      </c>
      <c r="H360" s="4">
        <v>46101.0</v>
      </c>
      <c r="I360" s="3" t="s">
        <v>1223</v>
      </c>
      <c r="J360" s="3" t="s">
        <v>1224</v>
      </c>
      <c r="K360" s="3" t="s">
        <v>1225</v>
      </c>
      <c r="L360" s="3">
        <v>2.0</v>
      </c>
      <c r="M360" s="3">
        <v>50000.0</v>
      </c>
      <c r="N360" s="3">
        <v>5.0</v>
      </c>
      <c r="O360" s="3">
        <v>418006.0</v>
      </c>
      <c r="P360" s="3" t="s">
        <v>1226</v>
      </c>
      <c r="Q360" s="3">
        <v>1027840.0</v>
      </c>
      <c r="R360" s="3"/>
      <c r="S360" s="3">
        <v>45000.0</v>
      </c>
      <c r="T360" s="3" t="s">
        <v>1002</v>
      </c>
      <c r="U360" s="3">
        <v>45000.0</v>
      </c>
      <c r="V360" s="5">
        <f>(DATE(2026,2,3)-'RICE_Insured Farms_with PPI Pol'!$G360)+IF('RICE_Insured Farms_with PPI Pol'!$H360&lt;&gt;'RICE_Insured Farms_with PPI Pol'!$G360,18,0)</f>
        <v>68</v>
      </c>
      <c r="W360" s="3" t="str">
        <f t="array" ref="W360">IFS(V360&gt;120, "Harvested", V360&gt;=113, "Yellow Ripening", V360&gt;=101, "Dough Stage", V360&gt;=93, "Milking Stage", V360&gt;=86, "Flowering", V360&gt;=56, "Panicle Initiation/Booting", V360&lt;56, "Vegetative/Tillering")</f>
        <v>Panicle Initiation/Booting</v>
      </c>
    </row>
    <row r="361" ht="15.75" hidden="1" customHeight="1">
      <c r="A361" s="3">
        <v>360.0</v>
      </c>
      <c r="B361" s="3" t="s">
        <v>23</v>
      </c>
      <c r="C361" s="3" t="s">
        <v>68</v>
      </c>
      <c r="D361" s="3" t="s">
        <v>289</v>
      </c>
      <c r="E361" s="3" t="s">
        <v>786</v>
      </c>
      <c r="F361" s="3">
        <v>1760032.0</v>
      </c>
      <c r="G361" s="4">
        <v>46032.0</v>
      </c>
      <c r="H361" s="4">
        <v>46134.0</v>
      </c>
      <c r="I361" s="3" t="s">
        <v>1180</v>
      </c>
      <c r="J361" s="3" t="s">
        <v>1227</v>
      </c>
      <c r="K361" s="3" t="s">
        <v>1228</v>
      </c>
      <c r="L361" s="3">
        <v>0.3379</v>
      </c>
      <c r="M361" s="3">
        <v>8447.5</v>
      </c>
      <c r="N361" s="3">
        <v>2.0</v>
      </c>
      <c r="O361" s="3">
        <v>155114.0</v>
      </c>
      <c r="P361" s="3" t="s">
        <v>1229</v>
      </c>
      <c r="Q361" s="3">
        <v>1331375.0</v>
      </c>
      <c r="R361" s="3"/>
      <c r="S361" s="3">
        <v>5913.25</v>
      </c>
      <c r="T361" s="3" t="s">
        <v>31</v>
      </c>
      <c r="U361" s="3">
        <v>5913.25</v>
      </c>
      <c r="V361" s="5">
        <f>(DATE(2026,2,3)-'RICE_Insured Farms_with PPI Pol'!$G361)+IF('RICE_Insured Farms_with PPI Pol'!$H361&lt;&gt;'RICE_Insured Farms_with PPI Pol'!$G361,18,0)</f>
        <v>42</v>
      </c>
      <c r="W361" s="3" t="str">
        <f t="array" ref="W361">IFS(V361&gt;120, "Harvested", V361&gt;=113, "Yellow Ripening", V361&gt;=101, "Dough Stage", V361&gt;=93, "Milking Stage", V361&gt;=86, "Flowering", V361&gt;=56, "Panicle Initiation/Booting", V361&lt;56, "Vegetative/Tillering")</f>
        <v>Vegetative/Tillering</v>
      </c>
    </row>
    <row r="362" ht="15.75" customHeight="1">
      <c r="A362" s="3">
        <v>361.0</v>
      </c>
      <c r="B362" s="3" t="s">
        <v>23</v>
      </c>
      <c r="C362" s="3" t="s">
        <v>68</v>
      </c>
      <c r="D362" s="3" t="s">
        <v>289</v>
      </c>
      <c r="E362" s="3" t="s">
        <v>352</v>
      </c>
      <c r="F362" s="3">
        <v>1760043.0</v>
      </c>
      <c r="G362" s="4">
        <v>46017.0</v>
      </c>
      <c r="H362" s="4">
        <v>46119.0</v>
      </c>
      <c r="I362" s="3" t="s">
        <v>1180</v>
      </c>
      <c r="J362" s="3" t="s">
        <v>749</v>
      </c>
      <c r="K362" s="3" t="s">
        <v>1230</v>
      </c>
      <c r="L362" s="3">
        <v>2.2357</v>
      </c>
      <c r="M362" s="3">
        <v>55892.5</v>
      </c>
      <c r="N362" s="3">
        <v>3.0</v>
      </c>
      <c r="O362" s="3">
        <v>6518.0</v>
      </c>
      <c r="P362" s="3" t="s">
        <v>1231</v>
      </c>
      <c r="Q362" s="3">
        <v>1326245.0</v>
      </c>
      <c r="R362" s="3"/>
      <c r="S362" s="3">
        <v>44714.0</v>
      </c>
      <c r="T362" s="3" t="s">
        <v>37</v>
      </c>
      <c r="U362" s="3">
        <v>44714.0</v>
      </c>
      <c r="V362" s="5">
        <f>(DATE(2026,2,3)-'RICE_Insured Farms_with PPI Pol'!$G362)+IF('RICE_Insured Farms_with PPI Pol'!$H362&lt;&gt;'RICE_Insured Farms_with PPI Pol'!$G362,18,0)</f>
        <v>57</v>
      </c>
      <c r="W362" s="3" t="str">
        <f t="array" ref="W362">IFS(V362&gt;120, "Harvested", V362&gt;=113, "Yellow Ripening", V362&gt;=101, "Dough Stage", V362&gt;=93, "Milking Stage", V362&gt;=86, "Flowering", V362&gt;=56, "Panicle Initiation/Booting", V362&lt;56, "Vegetative/Tillering")</f>
        <v>Panicle Initiation/Booting</v>
      </c>
    </row>
    <row r="363" ht="15.75" customHeight="1">
      <c r="A363" s="3">
        <v>362.0</v>
      </c>
      <c r="B363" s="3" t="s">
        <v>23</v>
      </c>
      <c r="C363" s="3" t="s">
        <v>68</v>
      </c>
      <c r="D363" s="3" t="s">
        <v>289</v>
      </c>
      <c r="E363" s="3" t="s">
        <v>685</v>
      </c>
      <c r="F363" s="3">
        <v>1760006.0</v>
      </c>
      <c r="G363" s="4">
        <v>46014.0</v>
      </c>
      <c r="H363" s="4">
        <v>46116.0</v>
      </c>
      <c r="I363" s="3" t="s">
        <v>1232</v>
      </c>
      <c r="J363" s="3" t="s">
        <v>1233</v>
      </c>
      <c r="K363" s="3" t="s">
        <v>1234</v>
      </c>
      <c r="L363" s="3">
        <v>1.0</v>
      </c>
      <c r="M363" s="3">
        <v>25000.0</v>
      </c>
      <c r="N363" s="3">
        <v>3.0</v>
      </c>
      <c r="O363" s="3">
        <v>151247.0</v>
      </c>
      <c r="P363" s="3"/>
      <c r="Q363" s="3">
        <v>1329720.0</v>
      </c>
      <c r="R363" s="3"/>
      <c r="S363" s="3">
        <v>20000.0</v>
      </c>
      <c r="T363" s="3" t="s">
        <v>37</v>
      </c>
      <c r="U363" s="3">
        <v>20000.0</v>
      </c>
      <c r="V363" s="5">
        <f>(DATE(2026,2,3)-'RICE_Insured Farms_with PPI Pol'!$G363)+IF('RICE_Insured Farms_with PPI Pol'!$H363&lt;&gt;'RICE_Insured Farms_with PPI Pol'!$G363,18,0)</f>
        <v>60</v>
      </c>
      <c r="W363" s="3" t="str">
        <f t="array" ref="W363">IFS(V363&gt;120, "Harvested", V363&gt;=113, "Yellow Ripening", V363&gt;=101, "Dough Stage", V363&gt;=93, "Milking Stage", V363&gt;=86, "Flowering", V363&gt;=56, "Panicle Initiation/Booting", V363&lt;56, "Vegetative/Tillering")</f>
        <v>Panicle Initiation/Booting</v>
      </c>
    </row>
    <row r="364" ht="15.75" hidden="1" customHeight="1">
      <c r="A364" s="3">
        <v>363.0</v>
      </c>
      <c r="B364" s="3" t="s">
        <v>23</v>
      </c>
      <c r="C364" s="3" t="s">
        <v>68</v>
      </c>
      <c r="D364" s="3" t="s">
        <v>289</v>
      </c>
      <c r="E364" s="3" t="s">
        <v>786</v>
      </c>
      <c r="F364" s="3">
        <v>1760030.0</v>
      </c>
      <c r="G364" s="4">
        <v>46029.0</v>
      </c>
      <c r="H364" s="4">
        <v>46131.0</v>
      </c>
      <c r="I364" s="3" t="s">
        <v>1097</v>
      </c>
      <c r="J364" s="3" t="s">
        <v>1235</v>
      </c>
      <c r="K364" s="3" t="s">
        <v>927</v>
      </c>
      <c r="L364" s="3">
        <v>0.3142</v>
      </c>
      <c r="M364" s="3">
        <v>7855.0</v>
      </c>
      <c r="N364" s="3">
        <v>2.0</v>
      </c>
      <c r="O364" s="3">
        <v>468314.0</v>
      </c>
      <c r="P364" s="3" t="s">
        <v>1236</v>
      </c>
      <c r="Q364" s="3">
        <v>1335739.0</v>
      </c>
      <c r="R364" s="3"/>
      <c r="S364" s="3">
        <v>5498.5</v>
      </c>
      <c r="T364" s="3" t="s">
        <v>31</v>
      </c>
      <c r="U364" s="3">
        <v>5498.5</v>
      </c>
      <c r="V364" s="5">
        <f>(DATE(2026,2,3)-'RICE_Insured Farms_with PPI Pol'!$G364)+IF('RICE_Insured Farms_with PPI Pol'!$H364&lt;&gt;'RICE_Insured Farms_with PPI Pol'!$G364,18,0)</f>
        <v>45</v>
      </c>
      <c r="W364" s="3" t="str">
        <f t="array" ref="W364">IFS(V364&gt;120, "Harvested", V364&gt;=113, "Yellow Ripening", V364&gt;=101, "Dough Stage", V364&gt;=93, "Milking Stage", V364&gt;=86, "Flowering", V364&gt;=56, "Panicle Initiation/Booting", V364&lt;56, "Vegetative/Tillering")</f>
        <v>Vegetative/Tillering</v>
      </c>
    </row>
    <row r="365" ht="15.75" hidden="1" customHeight="1">
      <c r="A365" s="3">
        <v>364.0</v>
      </c>
      <c r="B365" s="3" t="s">
        <v>23</v>
      </c>
      <c r="C365" s="3" t="s">
        <v>121</v>
      </c>
      <c r="D365" s="3" t="s">
        <v>122</v>
      </c>
      <c r="E365" s="3" t="s">
        <v>655</v>
      </c>
      <c r="F365" s="3">
        <v>1760509.0</v>
      </c>
      <c r="G365" s="4">
        <v>46028.0</v>
      </c>
      <c r="H365" s="4">
        <v>46148.0</v>
      </c>
      <c r="I365" s="3" t="s">
        <v>1237</v>
      </c>
      <c r="J365" s="3" t="s">
        <v>1238</v>
      </c>
      <c r="K365" s="3" t="s">
        <v>1239</v>
      </c>
      <c r="L365" s="3">
        <v>1.9084</v>
      </c>
      <c r="M365" s="3">
        <v>47710.0</v>
      </c>
      <c r="N365" s="3">
        <v>1.0</v>
      </c>
      <c r="O365" s="3">
        <v>393362.0</v>
      </c>
      <c r="P365" s="3" t="s">
        <v>1240</v>
      </c>
      <c r="Q365" s="3">
        <v>1273241.0</v>
      </c>
      <c r="R365" s="3" t="s">
        <v>877</v>
      </c>
      <c r="S365" s="3">
        <v>28626.0</v>
      </c>
      <c r="T365" s="3" t="s">
        <v>62</v>
      </c>
      <c r="U365" s="3">
        <v>28626.0</v>
      </c>
      <c r="V365" s="5">
        <f>(DATE(2026,2,3)-'RICE_Insured Farms_with PPI Pol'!$G365)+IF('RICE_Insured Farms_with PPI Pol'!$H365&lt;&gt;'RICE_Insured Farms_with PPI Pol'!$G365,18,0)</f>
        <v>46</v>
      </c>
      <c r="W365" s="3" t="str">
        <f t="array" ref="W365">IFS(V365&gt;120, "Harvested", V365&gt;=113, "Yellow Ripening", V365&gt;=101, "Dough Stage", V365&gt;=93, "Milking Stage", V365&gt;=86, "Flowering", V365&gt;=56, "Panicle Initiation/Booting", V365&lt;56, "Vegetative/Tillering")</f>
        <v>Vegetative/Tillering</v>
      </c>
    </row>
    <row r="366" ht="15.75" customHeight="1">
      <c r="A366" s="3">
        <v>365.0</v>
      </c>
      <c r="B366" s="3" t="s">
        <v>23</v>
      </c>
      <c r="C366" s="3" t="s">
        <v>68</v>
      </c>
      <c r="D366" s="3" t="s">
        <v>262</v>
      </c>
      <c r="E366" s="3" t="s">
        <v>405</v>
      </c>
      <c r="F366" s="3">
        <v>1739581.0</v>
      </c>
      <c r="G366" s="4">
        <v>46015.0</v>
      </c>
      <c r="H366" s="4">
        <v>46117.0</v>
      </c>
      <c r="I366" s="3" t="s">
        <v>1241</v>
      </c>
      <c r="J366" s="3" t="s">
        <v>1242</v>
      </c>
      <c r="K366" s="3" t="s">
        <v>325</v>
      </c>
      <c r="L366" s="3">
        <v>1.0661</v>
      </c>
      <c r="M366" s="3">
        <v>26652.5</v>
      </c>
      <c r="N366" s="3">
        <v>3.0</v>
      </c>
      <c r="O366" s="3">
        <v>434267.0</v>
      </c>
      <c r="P366" s="3" t="s">
        <v>1243</v>
      </c>
      <c r="Q366" s="3">
        <v>1215319.0</v>
      </c>
      <c r="R366" s="3"/>
      <c r="S366" s="3">
        <v>21322.0</v>
      </c>
      <c r="T366" s="3" t="s">
        <v>37</v>
      </c>
      <c r="U366" s="3">
        <v>21322.0</v>
      </c>
      <c r="V366" s="5">
        <f>(DATE(2026,2,3)-'RICE_Insured Farms_with PPI Pol'!$G366)+IF('RICE_Insured Farms_with PPI Pol'!$H366&lt;&gt;'RICE_Insured Farms_with PPI Pol'!$G366,18,0)</f>
        <v>59</v>
      </c>
      <c r="W366" s="3" t="str">
        <f t="array" ref="W366">IFS(V366&gt;120, "Harvested", V366&gt;=113, "Yellow Ripening", V366&gt;=101, "Dough Stage", V366&gt;=93, "Milking Stage", V366&gt;=86, "Flowering", V366&gt;=56, "Panicle Initiation/Booting", V366&lt;56, "Vegetative/Tillering")</f>
        <v>Panicle Initiation/Booting</v>
      </c>
    </row>
    <row r="367" ht="15.75" hidden="1" customHeight="1">
      <c r="A367" s="3">
        <v>366.0</v>
      </c>
      <c r="B367" s="3" t="s">
        <v>23</v>
      </c>
      <c r="C367" s="3" t="s">
        <v>68</v>
      </c>
      <c r="D367" s="3" t="s">
        <v>289</v>
      </c>
      <c r="E367" s="3" t="s">
        <v>352</v>
      </c>
      <c r="F367" s="3">
        <v>1760050.0</v>
      </c>
      <c r="G367" s="4">
        <v>46036.0</v>
      </c>
      <c r="H367" s="4">
        <v>46138.0</v>
      </c>
      <c r="I367" s="3" t="s">
        <v>1244</v>
      </c>
      <c r="J367" s="3" t="s">
        <v>1245</v>
      </c>
      <c r="K367" s="3" t="s">
        <v>688</v>
      </c>
      <c r="L367" s="3">
        <v>0.6287</v>
      </c>
      <c r="M367" s="3">
        <v>15717.5</v>
      </c>
      <c r="N367" s="3">
        <v>2.0</v>
      </c>
      <c r="O367" s="3">
        <v>95335.0</v>
      </c>
      <c r="P367" s="3"/>
      <c r="Q367" s="3">
        <v>1338010.0</v>
      </c>
      <c r="R367" s="3"/>
      <c r="S367" s="3">
        <v>11002.25</v>
      </c>
      <c r="T367" s="3" t="s">
        <v>31</v>
      </c>
      <c r="U367" s="3">
        <v>11002.25</v>
      </c>
      <c r="V367" s="5">
        <f>(DATE(2026,2,3)-'RICE_Insured Farms_with PPI Pol'!$G367)+IF('RICE_Insured Farms_with PPI Pol'!$H367&lt;&gt;'RICE_Insured Farms_with PPI Pol'!$G367,18,0)</f>
        <v>38</v>
      </c>
      <c r="W367" s="3" t="str">
        <f t="array" ref="W367">IFS(V367&gt;120, "Harvested", V367&gt;=113, "Yellow Ripening", V367&gt;=101, "Dough Stage", V367&gt;=93, "Milking Stage", V367&gt;=86, "Flowering", V367&gt;=56, "Panicle Initiation/Booting", V367&lt;56, "Vegetative/Tillering")</f>
        <v>Vegetative/Tillering</v>
      </c>
    </row>
    <row r="368" ht="15.75" hidden="1" customHeight="1">
      <c r="A368" s="3">
        <v>367.0</v>
      </c>
      <c r="B368" s="3" t="s">
        <v>23</v>
      </c>
      <c r="C368" s="3" t="s">
        <v>68</v>
      </c>
      <c r="D368" s="3" t="s">
        <v>289</v>
      </c>
      <c r="E368" s="3" t="s">
        <v>352</v>
      </c>
      <c r="F368" s="3">
        <v>1760050.0</v>
      </c>
      <c r="G368" s="4">
        <v>46036.0</v>
      </c>
      <c r="H368" s="4">
        <v>46138.0</v>
      </c>
      <c r="I368" s="3" t="s">
        <v>1244</v>
      </c>
      <c r="J368" s="3" t="s">
        <v>1245</v>
      </c>
      <c r="K368" s="3" t="s">
        <v>688</v>
      </c>
      <c r="L368" s="3">
        <v>1.6743</v>
      </c>
      <c r="M368" s="3">
        <v>41857.5</v>
      </c>
      <c r="N368" s="3">
        <v>2.0</v>
      </c>
      <c r="O368" s="3">
        <v>95335.0</v>
      </c>
      <c r="P368" s="3"/>
      <c r="Q368" s="3">
        <v>1287668.0</v>
      </c>
      <c r="R368" s="3"/>
      <c r="S368" s="3">
        <v>29300.25</v>
      </c>
      <c r="T368" s="3" t="s">
        <v>31</v>
      </c>
      <c r="U368" s="3">
        <v>29300.25</v>
      </c>
      <c r="V368" s="5">
        <f>(DATE(2026,2,3)-'RICE_Insured Farms_with PPI Pol'!$G368)+IF('RICE_Insured Farms_with PPI Pol'!$H368&lt;&gt;'RICE_Insured Farms_with PPI Pol'!$G368,18,0)</f>
        <v>38</v>
      </c>
      <c r="W368" s="3" t="str">
        <f t="array" ref="W368">IFS(V368&gt;120, "Harvested", V368&gt;=113, "Yellow Ripening", V368&gt;=101, "Dough Stage", V368&gt;=93, "Milking Stage", V368&gt;=86, "Flowering", V368&gt;=56, "Panicle Initiation/Booting", V368&lt;56, "Vegetative/Tillering")</f>
        <v>Vegetative/Tillering</v>
      </c>
    </row>
    <row r="369" ht="15.75" hidden="1" customHeight="1">
      <c r="A369" s="3">
        <v>368.0</v>
      </c>
      <c r="B369" s="3" t="s">
        <v>23</v>
      </c>
      <c r="C369" s="3" t="s">
        <v>68</v>
      </c>
      <c r="D369" s="3" t="s">
        <v>289</v>
      </c>
      <c r="E369" s="3" t="s">
        <v>1246</v>
      </c>
      <c r="F369" s="3">
        <v>1760031.0</v>
      </c>
      <c r="G369" s="4">
        <v>46028.0</v>
      </c>
      <c r="H369" s="4">
        <v>46130.0</v>
      </c>
      <c r="I369" s="3" t="s">
        <v>1244</v>
      </c>
      <c r="J369" s="3" t="s">
        <v>1247</v>
      </c>
      <c r="K369" s="3" t="s">
        <v>1248</v>
      </c>
      <c r="L369" s="3">
        <v>1.9545</v>
      </c>
      <c r="M369" s="3">
        <v>48862.5</v>
      </c>
      <c r="N369" s="3">
        <v>2.0</v>
      </c>
      <c r="O369" s="3">
        <v>327989.0</v>
      </c>
      <c r="P369" s="3" t="s">
        <v>1249</v>
      </c>
      <c r="Q369" s="3">
        <v>1338925.0</v>
      </c>
      <c r="R369" s="3"/>
      <c r="S369" s="3">
        <v>34203.75</v>
      </c>
      <c r="T369" s="3" t="s">
        <v>31</v>
      </c>
      <c r="U369" s="3">
        <v>34203.75</v>
      </c>
      <c r="V369" s="5">
        <f>(DATE(2026,2,3)-'RICE_Insured Farms_with PPI Pol'!$G369)+IF('RICE_Insured Farms_with PPI Pol'!$H369&lt;&gt;'RICE_Insured Farms_with PPI Pol'!$G369,18,0)</f>
        <v>46</v>
      </c>
      <c r="W369" s="3" t="str">
        <f t="array" ref="W369">IFS(V369&gt;120, "Harvested", V369&gt;=113, "Yellow Ripening", V369&gt;=101, "Dough Stage", V369&gt;=93, "Milking Stage", V369&gt;=86, "Flowering", V369&gt;=56, "Panicle Initiation/Booting", V369&lt;56, "Vegetative/Tillering")</f>
        <v>Vegetative/Tillering</v>
      </c>
    </row>
    <row r="370" ht="15.75" hidden="1" customHeight="1">
      <c r="A370" s="3">
        <v>369.0</v>
      </c>
      <c r="B370" s="3" t="s">
        <v>23</v>
      </c>
      <c r="C370" s="3" t="s">
        <v>68</v>
      </c>
      <c r="D370" s="3" t="s">
        <v>420</v>
      </c>
      <c r="E370" s="3" t="s">
        <v>421</v>
      </c>
      <c r="F370" s="3">
        <v>1197000.0</v>
      </c>
      <c r="G370" s="4">
        <v>46040.0</v>
      </c>
      <c r="H370" s="4">
        <v>46142.0</v>
      </c>
      <c r="I370" s="3" t="s">
        <v>225</v>
      </c>
      <c r="J370" s="3" t="s">
        <v>1250</v>
      </c>
      <c r="K370" s="3" t="s">
        <v>1251</v>
      </c>
      <c r="L370" s="3">
        <v>0.4988</v>
      </c>
      <c r="M370" s="3">
        <v>12470.0</v>
      </c>
      <c r="N370" s="3">
        <v>2.0</v>
      </c>
      <c r="O370" s="3">
        <v>311859.0</v>
      </c>
      <c r="P370" s="3" t="s">
        <v>1252</v>
      </c>
      <c r="Q370" s="3">
        <v>1134789.0</v>
      </c>
      <c r="R370" s="3"/>
      <c r="S370" s="3">
        <v>8729.0</v>
      </c>
      <c r="T370" s="3" t="s">
        <v>31</v>
      </c>
      <c r="U370" s="3">
        <v>8729.0</v>
      </c>
      <c r="V370" s="5">
        <f>(DATE(2026,2,3)-'RICE_Insured Farms_with PPI Pol'!$G370)+IF('RICE_Insured Farms_with PPI Pol'!$H370&lt;&gt;'RICE_Insured Farms_with PPI Pol'!$G370,18,0)</f>
        <v>34</v>
      </c>
      <c r="W370" s="3" t="str">
        <f t="array" ref="W370">IFS(V370&gt;120, "Harvested", V370&gt;=113, "Yellow Ripening", V370&gt;=101, "Dough Stage", V370&gt;=93, "Milking Stage", V370&gt;=86, "Flowering", V370&gt;=56, "Panicle Initiation/Booting", V370&lt;56, "Vegetative/Tillering")</f>
        <v>Vegetative/Tillering</v>
      </c>
    </row>
    <row r="371" ht="15.75" hidden="1" customHeight="1">
      <c r="A371" s="3">
        <v>370.0</v>
      </c>
      <c r="B371" s="3" t="s">
        <v>23</v>
      </c>
      <c r="C371" s="3" t="s">
        <v>68</v>
      </c>
      <c r="D371" s="3" t="s">
        <v>420</v>
      </c>
      <c r="E371" s="3" t="s">
        <v>421</v>
      </c>
      <c r="F371" s="3">
        <v>1196999.0</v>
      </c>
      <c r="G371" s="4">
        <v>46067.0</v>
      </c>
      <c r="H371" s="4">
        <v>46169.0</v>
      </c>
      <c r="I371" s="3" t="s">
        <v>225</v>
      </c>
      <c r="J371" s="3" t="s">
        <v>1250</v>
      </c>
      <c r="K371" s="3" t="s">
        <v>1251</v>
      </c>
      <c r="L371" s="3">
        <v>0.4212</v>
      </c>
      <c r="M371" s="3">
        <v>10530.0</v>
      </c>
      <c r="N371" s="3">
        <v>0.0</v>
      </c>
      <c r="O371" s="3">
        <v>311859.0</v>
      </c>
      <c r="P371" s="3" t="s">
        <v>1252</v>
      </c>
      <c r="Q371" s="3">
        <v>1338315.0</v>
      </c>
      <c r="R371" s="3"/>
      <c r="S371" s="3">
        <v>6318.0</v>
      </c>
      <c r="T371" s="3" t="s">
        <v>191</v>
      </c>
      <c r="U371" s="3">
        <v>6318.0</v>
      </c>
      <c r="V371" s="5">
        <f>(DATE(2026,2,3)-'RICE_Insured Farms_with PPI Pol'!$G371)+IF('RICE_Insured Farms_with PPI Pol'!$H371&lt;&gt;'RICE_Insured Farms_with PPI Pol'!$G371,18,0)</f>
        <v>7</v>
      </c>
      <c r="W371" s="3" t="str">
        <f t="array" ref="W371">IFS(V371&gt;120, "Harvested", V371&gt;=113, "Yellow Ripening", V371&gt;=101, "Dough Stage", V371&gt;=93, "Milking Stage", V371&gt;=86, "Flowering", V371&gt;=56, "Panicle Initiation/Booting", V371&lt;56, "Vegetative/Tillering")</f>
        <v>Vegetative/Tillering</v>
      </c>
    </row>
    <row r="372" ht="15.75" customHeight="1">
      <c r="A372" s="3">
        <v>371.0</v>
      </c>
      <c r="B372" s="3" t="s">
        <v>23</v>
      </c>
      <c r="C372" s="3" t="s">
        <v>68</v>
      </c>
      <c r="D372" s="3" t="s">
        <v>289</v>
      </c>
      <c r="E372" s="3" t="s">
        <v>685</v>
      </c>
      <c r="F372" s="3">
        <v>1760005.0</v>
      </c>
      <c r="G372" s="4">
        <v>46028.0</v>
      </c>
      <c r="H372" s="4">
        <v>46120.0</v>
      </c>
      <c r="I372" s="3" t="s">
        <v>1253</v>
      </c>
      <c r="J372" s="3" t="s">
        <v>1063</v>
      </c>
      <c r="K372" s="3" t="s">
        <v>1254</v>
      </c>
      <c r="L372" s="3">
        <v>0.9719</v>
      </c>
      <c r="M372" s="3">
        <v>24297.5</v>
      </c>
      <c r="N372" s="3">
        <v>3.0</v>
      </c>
      <c r="O372" s="3">
        <v>193090.0</v>
      </c>
      <c r="P372" s="3" t="s">
        <v>1255</v>
      </c>
      <c r="Q372" s="3">
        <v>571671.0</v>
      </c>
      <c r="R372" s="3"/>
      <c r="S372" s="3">
        <v>19438.0</v>
      </c>
      <c r="T372" s="3" t="s">
        <v>37</v>
      </c>
      <c r="U372" s="3">
        <v>19438.0</v>
      </c>
      <c r="V372" s="5">
        <f>(DATE(2026,2,3)-'RICE_Insured Farms_with PPI Pol'!$G372)+IF('RICE_Insured Farms_with PPI Pol'!$H372&lt;&gt;'RICE_Insured Farms_with PPI Pol'!$G372,18,0)</f>
        <v>46</v>
      </c>
      <c r="W372" s="3" t="str">
        <f t="array" ref="W372">IFS(V372&gt;120, "Harvested", V372&gt;=113, "Yellow Ripening", V372&gt;=101, "Dough Stage", V372&gt;=93, "Milking Stage", V372&gt;=86, "Flowering", V372&gt;=56, "Panicle Initiation/Booting", V372&lt;56, "Vegetative/Tillering")</f>
        <v>Vegetative/Tillering</v>
      </c>
    </row>
    <row r="373" ht="15.75" hidden="1" customHeight="1">
      <c r="A373" s="3">
        <v>372.0</v>
      </c>
      <c r="B373" s="3" t="s">
        <v>23</v>
      </c>
      <c r="C373" s="3" t="s">
        <v>68</v>
      </c>
      <c r="D373" s="3" t="s">
        <v>1208</v>
      </c>
      <c r="E373" s="3" t="s">
        <v>1209</v>
      </c>
      <c r="F373" s="3">
        <v>1742123.0</v>
      </c>
      <c r="G373" s="4">
        <v>46039.0</v>
      </c>
      <c r="H373" s="4">
        <v>46141.0</v>
      </c>
      <c r="I373" s="3" t="s">
        <v>1256</v>
      </c>
      <c r="J373" s="3" t="s">
        <v>1257</v>
      </c>
      <c r="K373" s="3" t="s">
        <v>1258</v>
      </c>
      <c r="L373" s="3">
        <v>1.5334</v>
      </c>
      <c r="M373" s="3">
        <v>38335.0</v>
      </c>
      <c r="N373" s="3">
        <v>2.0</v>
      </c>
      <c r="O373" s="3">
        <v>419174.0</v>
      </c>
      <c r="P373" s="3" t="s">
        <v>1259</v>
      </c>
      <c r="Q373" s="3">
        <v>1040510.0</v>
      </c>
      <c r="R373" s="3"/>
      <c r="S373" s="3">
        <v>26834.5</v>
      </c>
      <c r="T373" s="3" t="s">
        <v>31</v>
      </c>
      <c r="U373" s="3">
        <v>26834.5</v>
      </c>
      <c r="V373" s="5">
        <f>(DATE(2026,2,3)-'RICE_Insured Farms_with PPI Pol'!$G373)+IF('RICE_Insured Farms_with PPI Pol'!$H373&lt;&gt;'RICE_Insured Farms_with PPI Pol'!$G373,18,0)</f>
        <v>35</v>
      </c>
      <c r="W373" s="3" t="str">
        <f t="array" ref="W373">IFS(V373&gt;120, "Harvested", V373&gt;=113, "Yellow Ripening", V373&gt;=101, "Dough Stage", V373&gt;=93, "Milking Stage", V373&gt;=86, "Flowering", V373&gt;=56, "Panicle Initiation/Booting", V373&lt;56, "Vegetative/Tillering")</f>
        <v>Vegetative/Tillering</v>
      </c>
    </row>
    <row r="374" ht="15.75" customHeight="1">
      <c r="A374" s="3">
        <v>373.0</v>
      </c>
      <c r="B374" s="3" t="s">
        <v>23</v>
      </c>
      <c r="C374" s="3" t="s">
        <v>68</v>
      </c>
      <c r="D374" s="3" t="s">
        <v>289</v>
      </c>
      <c r="E374" s="3" t="s">
        <v>352</v>
      </c>
      <c r="F374" s="3">
        <v>1760031.0</v>
      </c>
      <c r="G374" s="4">
        <v>46015.0</v>
      </c>
      <c r="H374" s="4">
        <v>46117.0</v>
      </c>
      <c r="I374" s="3" t="s">
        <v>1260</v>
      </c>
      <c r="J374" s="3" t="s">
        <v>1190</v>
      </c>
      <c r="K374" s="3" t="s">
        <v>1261</v>
      </c>
      <c r="L374" s="3">
        <v>1.5558</v>
      </c>
      <c r="M374" s="3">
        <v>38895.0</v>
      </c>
      <c r="N374" s="3">
        <v>3.0</v>
      </c>
      <c r="O374" s="3">
        <v>294226.0</v>
      </c>
      <c r="P374" s="3" t="s">
        <v>1262</v>
      </c>
      <c r="Q374" s="3">
        <v>1326284.0</v>
      </c>
      <c r="R374" s="3"/>
      <c r="S374" s="3">
        <v>31116.0</v>
      </c>
      <c r="T374" s="3" t="s">
        <v>37</v>
      </c>
      <c r="U374" s="3">
        <v>31116.0</v>
      </c>
      <c r="V374" s="5">
        <f>(DATE(2026,2,3)-'RICE_Insured Farms_with PPI Pol'!$G374)+IF('RICE_Insured Farms_with PPI Pol'!$H374&lt;&gt;'RICE_Insured Farms_with PPI Pol'!$G374,18,0)</f>
        <v>59</v>
      </c>
      <c r="W374" s="3" t="str">
        <f t="array" ref="W374">IFS(V374&gt;120, "Harvested", V374&gt;=113, "Yellow Ripening", V374&gt;=101, "Dough Stage", V374&gt;=93, "Milking Stage", V374&gt;=86, "Flowering", V374&gt;=56, "Panicle Initiation/Booting", V374&lt;56, "Vegetative/Tillering")</f>
        <v>Panicle Initiation/Booting</v>
      </c>
    </row>
    <row r="375" ht="15.75" hidden="1" customHeight="1">
      <c r="A375" s="3">
        <v>374.0</v>
      </c>
      <c r="B375" s="3" t="s">
        <v>23</v>
      </c>
      <c r="C375" s="3" t="s">
        <v>68</v>
      </c>
      <c r="D375" s="3" t="s">
        <v>289</v>
      </c>
      <c r="E375" s="3" t="s">
        <v>507</v>
      </c>
      <c r="F375" s="3">
        <v>1760016.0</v>
      </c>
      <c r="G375" s="4">
        <v>46027.0</v>
      </c>
      <c r="H375" s="4">
        <v>46129.0</v>
      </c>
      <c r="I375" s="3" t="s">
        <v>1263</v>
      </c>
      <c r="J375" s="3" t="s">
        <v>369</v>
      </c>
      <c r="K375" s="3" t="s">
        <v>1264</v>
      </c>
      <c r="L375" s="3">
        <v>2.0513</v>
      </c>
      <c r="M375" s="3">
        <v>51282.5</v>
      </c>
      <c r="N375" s="3">
        <v>2.0</v>
      </c>
      <c r="O375" s="3">
        <v>15842.0</v>
      </c>
      <c r="P375" s="3" t="s">
        <v>1265</v>
      </c>
      <c r="Q375" s="3">
        <v>1333046.0</v>
      </c>
      <c r="R375" s="3"/>
      <c r="S375" s="3">
        <v>35897.75</v>
      </c>
      <c r="T375" s="3" t="s">
        <v>31</v>
      </c>
      <c r="U375" s="3">
        <v>35897.75</v>
      </c>
      <c r="V375" s="5">
        <f>(DATE(2026,2,3)-'RICE_Insured Farms_with PPI Pol'!$G375)+IF('RICE_Insured Farms_with PPI Pol'!$H375&lt;&gt;'RICE_Insured Farms_with PPI Pol'!$G375,18,0)</f>
        <v>47</v>
      </c>
      <c r="W375" s="3" t="str">
        <f t="array" ref="W375">IFS(V375&gt;120, "Harvested", V375&gt;=113, "Yellow Ripening", V375&gt;=101, "Dough Stage", V375&gt;=93, "Milking Stage", V375&gt;=86, "Flowering", V375&gt;=56, "Panicle Initiation/Booting", V375&lt;56, "Vegetative/Tillering")</f>
        <v>Vegetative/Tillering</v>
      </c>
    </row>
    <row r="376" ht="15.75" customHeight="1">
      <c r="A376" s="3">
        <v>375.0</v>
      </c>
      <c r="B376" s="3" t="s">
        <v>23</v>
      </c>
      <c r="C376" s="3" t="s">
        <v>68</v>
      </c>
      <c r="D376" s="3" t="s">
        <v>262</v>
      </c>
      <c r="E376" s="3" t="s">
        <v>405</v>
      </c>
      <c r="F376" s="3">
        <v>1739585.0</v>
      </c>
      <c r="G376" s="4">
        <v>46017.0</v>
      </c>
      <c r="H376" s="4">
        <v>46119.0</v>
      </c>
      <c r="I376" s="3" t="s">
        <v>1266</v>
      </c>
      <c r="J376" s="3" t="s">
        <v>1267</v>
      </c>
      <c r="K376" s="3" t="s">
        <v>1268</v>
      </c>
      <c r="L376" s="3">
        <v>0.3332</v>
      </c>
      <c r="M376" s="3">
        <v>8330.0</v>
      </c>
      <c r="N376" s="3">
        <v>3.0</v>
      </c>
      <c r="O376" s="3">
        <v>450932.0</v>
      </c>
      <c r="P376" s="3" t="s">
        <v>1269</v>
      </c>
      <c r="Q376" s="3">
        <v>1316322.0</v>
      </c>
      <c r="R376" s="3"/>
      <c r="S376" s="3">
        <v>6664.0</v>
      </c>
      <c r="T376" s="3" t="s">
        <v>37</v>
      </c>
      <c r="U376" s="3">
        <v>6664.0</v>
      </c>
      <c r="V376" s="5">
        <f>(DATE(2026,2,3)-'RICE_Insured Farms_with PPI Pol'!$G376)+IF('RICE_Insured Farms_with PPI Pol'!$H376&lt;&gt;'RICE_Insured Farms_with PPI Pol'!$G376,18,0)</f>
        <v>57</v>
      </c>
      <c r="W376" s="3" t="str">
        <f t="array" ref="W376">IFS(V376&gt;120, "Harvested", V376&gt;=113, "Yellow Ripening", V376&gt;=101, "Dough Stage", V376&gt;=93, "Milking Stage", V376&gt;=86, "Flowering", V376&gt;=56, "Panicle Initiation/Booting", V376&lt;56, "Vegetative/Tillering")</f>
        <v>Panicle Initiation/Booting</v>
      </c>
    </row>
    <row r="377" ht="15.75" customHeight="1">
      <c r="A377" s="3">
        <v>376.0</v>
      </c>
      <c r="B377" s="3" t="s">
        <v>23</v>
      </c>
      <c r="C377" s="3" t="s">
        <v>68</v>
      </c>
      <c r="D377" s="3" t="s">
        <v>262</v>
      </c>
      <c r="E377" s="3" t="s">
        <v>273</v>
      </c>
      <c r="F377" s="3">
        <v>1739581.0</v>
      </c>
      <c r="G377" s="4">
        <v>46004.0</v>
      </c>
      <c r="H377" s="4">
        <v>46124.0</v>
      </c>
      <c r="I377" s="3" t="s">
        <v>1270</v>
      </c>
      <c r="J377" s="3" t="s">
        <v>1271</v>
      </c>
      <c r="K377" s="3" t="s">
        <v>794</v>
      </c>
      <c r="L377" s="3">
        <v>0.6371</v>
      </c>
      <c r="M377" s="3">
        <v>15927.5</v>
      </c>
      <c r="N377" s="3">
        <v>3.0</v>
      </c>
      <c r="O377" s="3">
        <v>430877.0</v>
      </c>
      <c r="P377" s="3" t="s">
        <v>1272</v>
      </c>
      <c r="Q377" s="3">
        <v>1312168.0</v>
      </c>
      <c r="R377" s="3"/>
      <c r="S377" s="3">
        <v>12742.0</v>
      </c>
      <c r="T377" s="3" t="s">
        <v>37</v>
      </c>
      <c r="U377" s="3">
        <v>12742.0</v>
      </c>
      <c r="V377" s="5">
        <f>(DATE(2026,2,3)-'RICE_Insured Farms_with PPI Pol'!$G377)+IF('RICE_Insured Farms_with PPI Pol'!$H377&lt;&gt;'RICE_Insured Farms_with PPI Pol'!$G377,18,0)</f>
        <v>70</v>
      </c>
      <c r="W377" s="3" t="str">
        <f t="array" ref="W377">IFS(V377&gt;120, "Harvested", V377&gt;=113, "Yellow Ripening", V377&gt;=101, "Dough Stage", V377&gt;=93, "Milking Stage", V377&gt;=86, "Flowering", V377&gt;=56, "Panicle Initiation/Booting", V377&lt;56, "Vegetative/Tillering")</f>
        <v>Panicle Initiation/Booting</v>
      </c>
    </row>
    <row r="378" ht="15.75" hidden="1" customHeight="1">
      <c r="A378" s="3">
        <v>377.0</v>
      </c>
      <c r="B378" s="3" t="s">
        <v>23</v>
      </c>
      <c r="C378" s="3" t="s">
        <v>68</v>
      </c>
      <c r="D378" s="3" t="s">
        <v>679</v>
      </c>
      <c r="E378" s="3" t="s">
        <v>680</v>
      </c>
      <c r="F378" s="3">
        <v>1175382.0</v>
      </c>
      <c r="G378" s="4">
        <v>46037.0</v>
      </c>
      <c r="H378" s="4">
        <v>46139.0</v>
      </c>
      <c r="I378" s="3" t="s">
        <v>1273</v>
      </c>
      <c r="J378" s="3" t="s">
        <v>1274</v>
      </c>
      <c r="K378" s="3" t="s">
        <v>1275</v>
      </c>
      <c r="L378" s="3">
        <v>0.5826</v>
      </c>
      <c r="M378" s="3">
        <v>14565.0</v>
      </c>
      <c r="N378" s="3">
        <v>2.0</v>
      </c>
      <c r="O378" s="3">
        <v>295371.0</v>
      </c>
      <c r="P378" s="3" t="s">
        <v>1276</v>
      </c>
      <c r="Q378" s="3">
        <v>1338586.0</v>
      </c>
      <c r="R378" s="3"/>
      <c r="S378" s="3">
        <v>10195.5</v>
      </c>
      <c r="T378" s="3" t="s">
        <v>31</v>
      </c>
      <c r="U378" s="3">
        <v>10195.5</v>
      </c>
      <c r="V378" s="5">
        <f>(DATE(2026,2,3)-'RICE_Insured Farms_with PPI Pol'!$G378)+IF('RICE_Insured Farms_with PPI Pol'!$H378&lt;&gt;'RICE_Insured Farms_with PPI Pol'!$G378,18,0)</f>
        <v>37</v>
      </c>
      <c r="W378" s="3" t="str">
        <f t="array" ref="W378">IFS(V378&gt;120, "Harvested", V378&gt;=113, "Yellow Ripening", V378&gt;=101, "Dough Stage", V378&gt;=93, "Milking Stage", V378&gt;=86, "Flowering", V378&gt;=56, "Panicle Initiation/Booting", V378&lt;56, "Vegetative/Tillering")</f>
        <v>Vegetative/Tillering</v>
      </c>
    </row>
    <row r="379" ht="15.75" customHeight="1">
      <c r="A379" s="3">
        <v>378.0</v>
      </c>
      <c r="B379" s="3" t="s">
        <v>23</v>
      </c>
      <c r="C379" s="3" t="s">
        <v>68</v>
      </c>
      <c r="D379" s="3" t="s">
        <v>262</v>
      </c>
      <c r="E379" s="3" t="s">
        <v>273</v>
      </c>
      <c r="F379" s="3">
        <v>1739581.0</v>
      </c>
      <c r="G379" s="4">
        <v>46018.0</v>
      </c>
      <c r="H379" s="4">
        <v>46120.0</v>
      </c>
      <c r="I379" s="3" t="s">
        <v>1273</v>
      </c>
      <c r="J379" s="3" t="s">
        <v>1277</v>
      </c>
      <c r="K379" s="3" t="s">
        <v>1013</v>
      </c>
      <c r="L379" s="3">
        <v>0.9553</v>
      </c>
      <c r="M379" s="3">
        <v>23882.5</v>
      </c>
      <c r="N379" s="3">
        <v>3.0</v>
      </c>
      <c r="O379" s="3">
        <v>187452.0</v>
      </c>
      <c r="P379" s="3" t="s">
        <v>1278</v>
      </c>
      <c r="Q379" s="3">
        <v>1335824.0</v>
      </c>
      <c r="R379" s="3"/>
      <c r="S379" s="3">
        <v>19106.0</v>
      </c>
      <c r="T379" s="3" t="s">
        <v>37</v>
      </c>
      <c r="U379" s="3">
        <v>19106.0</v>
      </c>
      <c r="V379" s="5">
        <f>(DATE(2026,2,3)-'RICE_Insured Farms_with PPI Pol'!$G379)+IF('RICE_Insured Farms_with PPI Pol'!$H379&lt;&gt;'RICE_Insured Farms_with PPI Pol'!$G379,18,0)</f>
        <v>56</v>
      </c>
      <c r="W379" s="3" t="str">
        <f t="array" ref="W379">IFS(V379&gt;120, "Harvested", V379&gt;=113, "Yellow Ripening", V379&gt;=101, "Dough Stage", V379&gt;=93, "Milking Stage", V379&gt;=86, "Flowering", V379&gt;=56, "Panicle Initiation/Booting", V379&lt;56, "Vegetative/Tillering")</f>
        <v>Panicle Initiation/Booting</v>
      </c>
    </row>
    <row r="380" ht="15.75" hidden="1" customHeight="1">
      <c r="A380" s="3">
        <v>379.0</v>
      </c>
      <c r="B380" s="3" t="s">
        <v>23</v>
      </c>
      <c r="C380" s="3" t="s">
        <v>68</v>
      </c>
      <c r="D380" s="3" t="s">
        <v>262</v>
      </c>
      <c r="E380" s="3" t="s">
        <v>273</v>
      </c>
      <c r="F380" s="3">
        <v>1739592.0</v>
      </c>
      <c r="G380" s="4">
        <v>46032.0</v>
      </c>
      <c r="H380" s="4">
        <v>46134.0</v>
      </c>
      <c r="I380" s="3" t="s">
        <v>1273</v>
      </c>
      <c r="J380" s="3" t="s">
        <v>960</v>
      </c>
      <c r="K380" s="3" t="s">
        <v>900</v>
      </c>
      <c r="L380" s="3">
        <v>0.4151</v>
      </c>
      <c r="M380" s="3">
        <v>10377.5</v>
      </c>
      <c r="N380" s="3">
        <v>2.0</v>
      </c>
      <c r="O380" s="3">
        <v>234631.0</v>
      </c>
      <c r="P380" s="3" t="s">
        <v>1279</v>
      </c>
      <c r="Q380" s="3">
        <v>1119385.0</v>
      </c>
      <c r="R380" s="3"/>
      <c r="S380" s="3">
        <v>7264.25</v>
      </c>
      <c r="T380" s="3" t="s">
        <v>31</v>
      </c>
      <c r="U380" s="3">
        <v>7264.25</v>
      </c>
      <c r="V380" s="5">
        <f>(DATE(2026,2,3)-'RICE_Insured Farms_with PPI Pol'!$G380)+IF('RICE_Insured Farms_with PPI Pol'!$H380&lt;&gt;'RICE_Insured Farms_with PPI Pol'!$G380,18,0)</f>
        <v>42</v>
      </c>
      <c r="W380" s="3" t="str">
        <f t="array" ref="W380">IFS(V380&gt;120, "Harvested", V380&gt;=113, "Yellow Ripening", V380&gt;=101, "Dough Stage", V380&gt;=93, "Milking Stage", V380&gt;=86, "Flowering", V380&gt;=56, "Panicle Initiation/Booting", V380&lt;56, "Vegetative/Tillering")</f>
        <v>Vegetative/Tillering</v>
      </c>
    </row>
    <row r="381" ht="15.75" hidden="1" customHeight="1">
      <c r="A381" s="3">
        <v>380.0</v>
      </c>
      <c r="B381" s="3" t="s">
        <v>23</v>
      </c>
      <c r="C381" s="3" t="s">
        <v>121</v>
      </c>
      <c r="D381" s="3" t="s">
        <v>384</v>
      </c>
      <c r="E381" s="3" t="s">
        <v>385</v>
      </c>
      <c r="F381" s="3">
        <v>1742526.0</v>
      </c>
      <c r="G381" s="4">
        <v>46051.0</v>
      </c>
      <c r="H381" s="4">
        <v>46146.0</v>
      </c>
      <c r="I381" s="3" t="s">
        <v>1280</v>
      </c>
      <c r="J381" s="3" t="s">
        <v>1281</v>
      </c>
      <c r="K381" s="3" t="s">
        <v>1282</v>
      </c>
      <c r="L381" s="3">
        <v>1.0172</v>
      </c>
      <c r="M381" s="3">
        <v>25430.0</v>
      </c>
      <c r="N381" s="3">
        <v>2.0</v>
      </c>
      <c r="O381" s="3">
        <v>98968.0</v>
      </c>
      <c r="P381" s="3" t="s">
        <v>1283</v>
      </c>
      <c r="Q381" s="3">
        <v>1277445.0</v>
      </c>
      <c r="R381" s="3"/>
      <c r="S381" s="3">
        <v>17801.0</v>
      </c>
      <c r="T381" s="3" t="s">
        <v>31</v>
      </c>
      <c r="U381" s="3">
        <v>17801.0</v>
      </c>
      <c r="V381" s="5">
        <f>(DATE(2026,2,3)-'RICE_Insured Farms_with PPI Pol'!$G381)+IF('RICE_Insured Farms_with PPI Pol'!$H381&lt;&gt;'RICE_Insured Farms_with PPI Pol'!$G381,18,0)</f>
        <v>23</v>
      </c>
      <c r="W381" s="3" t="str">
        <f t="array" ref="W381">IFS(V381&gt;120, "Harvested", V381&gt;=113, "Yellow Ripening", V381&gt;=101, "Dough Stage", V381&gt;=93, "Milking Stage", V381&gt;=86, "Flowering", V381&gt;=56, "Panicle Initiation/Booting", V381&lt;56, "Vegetative/Tillering")</f>
        <v>Vegetative/Tillering</v>
      </c>
    </row>
    <row r="382" ht="15.75" hidden="1" customHeight="1">
      <c r="A382" s="3">
        <v>381.0</v>
      </c>
      <c r="B382" s="3" t="s">
        <v>23</v>
      </c>
      <c r="C382" s="3" t="s">
        <v>121</v>
      </c>
      <c r="D382" s="3" t="s">
        <v>384</v>
      </c>
      <c r="E382" s="3" t="s">
        <v>385</v>
      </c>
      <c r="F382" s="3">
        <v>1742526.0</v>
      </c>
      <c r="G382" s="4">
        <v>46051.0</v>
      </c>
      <c r="H382" s="4">
        <v>46146.0</v>
      </c>
      <c r="I382" s="3" t="s">
        <v>1280</v>
      </c>
      <c r="J382" s="3" t="s">
        <v>1281</v>
      </c>
      <c r="K382" s="3" t="s">
        <v>1282</v>
      </c>
      <c r="L382" s="3">
        <v>0.5557</v>
      </c>
      <c r="M382" s="3">
        <v>13892.5</v>
      </c>
      <c r="N382" s="3">
        <v>2.0</v>
      </c>
      <c r="O382" s="3">
        <v>98968.0</v>
      </c>
      <c r="P382" s="3" t="s">
        <v>1283</v>
      </c>
      <c r="Q382" s="3">
        <v>1331832.0</v>
      </c>
      <c r="R382" s="3"/>
      <c r="S382" s="3">
        <v>9724.75</v>
      </c>
      <c r="T382" s="3" t="s">
        <v>31</v>
      </c>
      <c r="U382" s="3">
        <v>9724.75</v>
      </c>
      <c r="V382" s="5">
        <f>(DATE(2026,2,3)-'RICE_Insured Farms_with PPI Pol'!$G382)+IF('RICE_Insured Farms_with PPI Pol'!$H382&lt;&gt;'RICE_Insured Farms_with PPI Pol'!$G382,18,0)</f>
        <v>23</v>
      </c>
      <c r="W382" s="3" t="str">
        <f t="array" ref="W382">IFS(V382&gt;120, "Harvested", V382&gt;=113, "Yellow Ripening", V382&gt;=101, "Dough Stage", V382&gt;=93, "Milking Stage", V382&gt;=86, "Flowering", V382&gt;=56, "Panicle Initiation/Booting", V382&lt;56, "Vegetative/Tillering")</f>
        <v>Vegetative/Tillering</v>
      </c>
    </row>
    <row r="383" ht="15.75" customHeight="1">
      <c r="A383" s="3">
        <v>382.0</v>
      </c>
      <c r="B383" s="3" t="s">
        <v>23</v>
      </c>
      <c r="C383" s="3" t="s">
        <v>68</v>
      </c>
      <c r="D383" s="3" t="s">
        <v>262</v>
      </c>
      <c r="E383" s="3" t="s">
        <v>273</v>
      </c>
      <c r="F383" s="3">
        <v>1739586.0</v>
      </c>
      <c r="G383" s="4">
        <v>46014.0</v>
      </c>
      <c r="H383" s="4">
        <v>46116.0</v>
      </c>
      <c r="I383" s="3" t="s">
        <v>1284</v>
      </c>
      <c r="J383" s="3" t="s">
        <v>1285</v>
      </c>
      <c r="K383" s="3" t="s">
        <v>938</v>
      </c>
      <c r="L383" s="3">
        <v>1.5198</v>
      </c>
      <c r="M383" s="3">
        <v>37995.0</v>
      </c>
      <c r="N383" s="3">
        <v>3.0</v>
      </c>
      <c r="O383" s="3">
        <v>533266.0</v>
      </c>
      <c r="P383" s="3"/>
      <c r="Q383" s="3">
        <v>1337722.0</v>
      </c>
      <c r="R383" s="3"/>
      <c r="S383" s="3">
        <v>30396.0</v>
      </c>
      <c r="T383" s="3" t="s">
        <v>37</v>
      </c>
      <c r="U383" s="3">
        <v>30396.0</v>
      </c>
      <c r="V383" s="5">
        <f>(DATE(2026,2,3)-'RICE_Insured Farms_with PPI Pol'!$G383)+IF('RICE_Insured Farms_with PPI Pol'!$H383&lt;&gt;'RICE_Insured Farms_with PPI Pol'!$G383,18,0)</f>
        <v>60</v>
      </c>
      <c r="W383" s="3" t="str">
        <f t="array" ref="W383">IFS(V383&gt;120, "Harvested", V383&gt;=113, "Yellow Ripening", V383&gt;=101, "Dough Stage", V383&gt;=93, "Milking Stage", V383&gt;=86, "Flowering", V383&gt;=56, "Panicle Initiation/Booting", V383&lt;56, "Vegetative/Tillering")</f>
        <v>Panicle Initiation/Booting</v>
      </c>
    </row>
    <row r="384" ht="15.75" customHeight="1">
      <c r="A384" s="3">
        <v>383.0</v>
      </c>
      <c r="B384" s="3" t="s">
        <v>23</v>
      </c>
      <c r="C384" s="3" t="s">
        <v>68</v>
      </c>
      <c r="D384" s="3" t="s">
        <v>289</v>
      </c>
      <c r="E384" s="3" t="s">
        <v>848</v>
      </c>
      <c r="F384" s="3">
        <v>1760002.0</v>
      </c>
      <c r="G384" s="4">
        <v>46016.0</v>
      </c>
      <c r="H384" s="4">
        <v>46118.0</v>
      </c>
      <c r="I384" s="3" t="s">
        <v>545</v>
      </c>
      <c r="J384" s="3" t="s">
        <v>1286</v>
      </c>
      <c r="K384" s="3" t="s">
        <v>1287</v>
      </c>
      <c r="L384" s="3">
        <v>0.5</v>
      </c>
      <c r="M384" s="3">
        <v>12500.0</v>
      </c>
      <c r="N384" s="3">
        <v>3.0</v>
      </c>
      <c r="O384" s="3">
        <v>119535.0</v>
      </c>
      <c r="P384" s="3" t="s">
        <v>1288</v>
      </c>
      <c r="Q384" s="3">
        <v>1327172.0</v>
      </c>
      <c r="R384" s="3"/>
      <c r="S384" s="3">
        <v>10000.0</v>
      </c>
      <c r="T384" s="3" t="s">
        <v>37</v>
      </c>
      <c r="U384" s="3">
        <v>10000.0</v>
      </c>
      <c r="V384" s="5">
        <f>(DATE(2026,2,3)-'RICE_Insured Farms_with PPI Pol'!$G384)+IF('RICE_Insured Farms_with PPI Pol'!$H384&lt;&gt;'RICE_Insured Farms_with PPI Pol'!$G384,18,0)</f>
        <v>58</v>
      </c>
      <c r="W384" s="3" t="str">
        <f t="array" ref="W384">IFS(V384&gt;120, "Harvested", V384&gt;=113, "Yellow Ripening", V384&gt;=101, "Dough Stage", V384&gt;=93, "Milking Stage", V384&gt;=86, "Flowering", V384&gt;=56, "Panicle Initiation/Booting", V384&lt;56, "Vegetative/Tillering")</f>
        <v>Panicle Initiation/Booting</v>
      </c>
    </row>
    <row r="385" ht="15.75" hidden="1" customHeight="1">
      <c r="A385" s="3">
        <v>384.0</v>
      </c>
      <c r="B385" s="3" t="s">
        <v>23</v>
      </c>
      <c r="C385" s="3" t="s">
        <v>68</v>
      </c>
      <c r="D385" s="3" t="s">
        <v>289</v>
      </c>
      <c r="E385" s="3" t="s">
        <v>848</v>
      </c>
      <c r="F385" s="3">
        <v>1760002.0</v>
      </c>
      <c r="G385" s="4">
        <v>46027.0</v>
      </c>
      <c r="H385" s="4">
        <v>46129.0</v>
      </c>
      <c r="I385" s="3" t="s">
        <v>545</v>
      </c>
      <c r="J385" s="3" t="s">
        <v>1289</v>
      </c>
      <c r="K385" s="3" t="s">
        <v>869</v>
      </c>
      <c r="L385" s="3">
        <v>0.3843</v>
      </c>
      <c r="M385" s="3">
        <v>9607.5</v>
      </c>
      <c r="N385" s="3">
        <v>2.0</v>
      </c>
      <c r="O385" s="3">
        <v>192821.0</v>
      </c>
      <c r="P385" s="3" t="s">
        <v>1290</v>
      </c>
      <c r="Q385" s="3">
        <v>1327169.0</v>
      </c>
      <c r="R385" s="3"/>
      <c r="S385" s="3">
        <v>6725.25</v>
      </c>
      <c r="T385" s="3" t="s">
        <v>31</v>
      </c>
      <c r="U385" s="3">
        <v>6725.25</v>
      </c>
      <c r="V385" s="5">
        <f>(DATE(2026,2,3)-'RICE_Insured Farms_with PPI Pol'!$G385)+IF('RICE_Insured Farms_with PPI Pol'!$H385&lt;&gt;'RICE_Insured Farms_with PPI Pol'!$G385,18,0)</f>
        <v>47</v>
      </c>
      <c r="W385" s="3" t="str">
        <f t="array" ref="W385">IFS(V385&gt;120, "Harvested", V385&gt;=113, "Yellow Ripening", V385&gt;=101, "Dough Stage", V385&gt;=93, "Milking Stage", V385&gt;=86, "Flowering", V385&gt;=56, "Panicle Initiation/Booting", V385&lt;56, "Vegetative/Tillering")</f>
        <v>Vegetative/Tillering</v>
      </c>
    </row>
    <row r="386" ht="15.75" hidden="1" customHeight="1">
      <c r="A386" s="3">
        <v>385.0</v>
      </c>
      <c r="B386" s="3" t="s">
        <v>23</v>
      </c>
      <c r="C386" s="3" t="s">
        <v>68</v>
      </c>
      <c r="D386" s="3" t="s">
        <v>289</v>
      </c>
      <c r="E386" s="3" t="s">
        <v>363</v>
      </c>
      <c r="F386" s="3">
        <v>1760059.0</v>
      </c>
      <c r="G386" s="4">
        <v>46039.0</v>
      </c>
      <c r="H386" s="4">
        <v>46141.0</v>
      </c>
      <c r="I386" s="3" t="s">
        <v>1291</v>
      </c>
      <c r="J386" s="3" t="s">
        <v>1292</v>
      </c>
      <c r="K386" s="3" t="s">
        <v>1293</v>
      </c>
      <c r="L386" s="3">
        <v>1.1982</v>
      </c>
      <c r="M386" s="3">
        <v>29955.0</v>
      </c>
      <c r="N386" s="3">
        <v>2.0</v>
      </c>
      <c r="O386" s="3">
        <v>293787.0</v>
      </c>
      <c r="P386" s="3" t="s">
        <v>1294</v>
      </c>
      <c r="Q386" s="3">
        <v>1331738.0</v>
      </c>
      <c r="R386" s="3"/>
      <c r="S386" s="3">
        <v>20968.5</v>
      </c>
      <c r="T386" s="3" t="s">
        <v>31</v>
      </c>
      <c r="U386" s="3">
        <v>20968.5</v>
      </c>
      <c r="V386" s="5">
        <f>(DATE(2026,2,3)-'RICE_Insured Farms_with PPI Pol'!$G386)+IF('RICE_Insured Farms_with PPI Pol'!$H386&lt;&gt;'RICE_Insured Farms_with PPI Pol'!$G386,18,0)</f>
        <v>35</v>
      </c>
      <c r="W386" s="3" t="str">
        <f t="array" ref="W386">IFS(V386&gt;120, "Harvested", V386&gt;=113, "Yellow Ripening", V386&gt;=101, "Dough Stage", V386&gt;=93, "Milking Stage", V386&gt;=86, "Flowering", V386&gt;=56, "Panicle Initiation/Booting", V386&lt;56, "Vegetative/Tillering")</f>
        <v>Vegetative/Tillering</v>
      </c>
    </row>
    <row r="387" ht="15.75" customHeight="1">
      <c r="A387" s="3">
        <v>386.0</v>
      </c>
      <c r="B387" s="3" t="s">
        <v>23</v>
      </c>
      <c r="C387" s="3" t="s">
        <v>68</v>
      </c>
      <c r="D387" s="3" t="s">
        <v>289</v>
      </c>
      <c r="E387" s="3" t="s">
        <v>685</v>
      </c>
      <c r="F387" s="3">
        <v>1760004.0</v>
      </c>
      <c r="G387" s="4">
        <v>46017.0</v>
      </c>
      <c r="H387" s="4">
        <v>46119.0</v>
      </c>
      <c r="I387" s="3" t="s">
        <v>1026</v>
      </c>
      <c r="J387" s="3" t="s">
        <v>852</v>
      </c>
      <c r="K387" s="3" t="s">
        <v>1295</v>
      </c>
      <c r="L387" s="3">
        <v>0.4644</v>
      </c>
      <c r="M387" s="3">
        <v>11610.0</v>
      </c>
      <c r="N387" s="3">
        <v>3.0</v>
      </c>
      <c r="O387" s="3">
        <v>192688.0</v>
      </c>
      <c r="P387" s="3" t="s">
        <v>1296</v>
      </c>
      <c r="Q387" s="3">
        <v>1142043.0</v>
      </c>
      <c r="R387" s="3"/>
      <c r="S387" s="3">
        <v>9288.0</v>
      </c>
      <c r="T387" s="3" t="s">
        <v>37</v>
      </c>
      <c r="U387" s="3">
        <v>9288.0</v>
      </c>
      <c r="V387" s="5">
        <f>(DATE(2026,2,3)-'RICE_Insured Farms_with PPI Pol'!$G387)+IF('RICE_Insured Farms_with PPI Pol'!$H387&lt;&gt;'RICE_Insured Farms_with PPI Pol'!$G387,18,0)</f>
        <v>57</v>
      </c>
      <c r="W387" s="3" t="str">
        <f t="array" ref="W387">IFS(V387&gt;120, "Harvested", V387&gt;=113, "Yellow Ripening", V387&gt;=101, "Dough Stage", V387&gt;=93, "Milking Stage", V387&gt;=86, "Flowering", V387&gt;=56, "Panicle Initiation/Booting", V387&lt;56, "Vegetative/Tillering")</f>
        <v>Panicle Initiation/Booting</v>
      </c>
    </row>
    <row r="388" ht="15.75" hidden="1" customHeight="1">
      <c r="A388" s="3">
        <v>387.0</v>
      </c>
      <c r="B388" s="3" t="s">
        <v>23</v>
      </c>
      <c r="C388" s="3" t="s">
        <v>68</v>
      </c>
      <c r="D388" s="3" t="s">
        <v>420</v>
      </c>
      <c r="E388" s="3" t="s">
        <v>689</v>
      </c>
      <c r="F388" s="3">
        <v>1197000.0</v>
      </c>
      <c r="G388" s="4">
        <v>46032.0</v>
      </c>
      <c r="H388" s="4">
        <v>46134.0</v>
      </c>
      <c r="I388" s="3" t="s">
        <v>1297</v>
      </c>
      <c r="J388" s="3" t="s">
        <v>1298</v>
      </c>
      <c r="K388" s="3" t="s">
        <v>319</v>
      </c>
      <c r="L388" s="3">
        <v>0.1158</v>
      </c>
      <c r="M388" s="3">
        <v>2895.0</v>
      </c>
      <c r="N388" s="3">
        <v>2.0</v>
      </c>
      <c r="O388" s="3">
        <v>206743.0</v>
      </c>
      <c r="P388" s="3" t="s">
        <v>1299</v>
      </c>
      <c r="Q388" s="3">
        <v>1327658.0</v>
      </c>
      <c r="R388" s="3"/>
      <c r="S388" s="3">
        <v>2026.5</v>
      </c>
      <c r="T388" s="3" t="s">
        <v>31</v>
      </c>
      <c r="U388" s="3">
        <v>2026.5</v>
      </c>
      <c r="V388" s="5">
        <f>(DATE(2026,2,3)-'RICE_Insured Farms_with PPI Pol'!$G388)+IF('RICE_Insured Farms_with PPI Pol'!$H388&lt;&gt;'RICE_Insured Farms_with PPI Pol'!$G388,18,0)</f>
        <v>42</v>
      </c>
      <c r="W388" s="3" t="str">
        <f t="array" ref="W388">IFS(V388&gt;120, "Harvested", V388&gt;=113, "Yellow Ripening", V388&gt;=101, "Dough Stage", V388&gt;=93, "Milking Stage", V388&gt;=86, "Flowering", V388&gt;=56, "Panicle Initiation/Booting", V388&lt;56, "Vegetative/Tillering")</f>
        <v>Vegetative/Tillering</v>
      </c>
    </row>
    <row r="389" ht="15.75" hidden="1" customHeight="1">
      <c r="A389" s="3">
        <v>388.0</v>
      </c>
      <c r="B389" s="3" t="s">
        <v>23</v>
      </c>
      <c r="C389" s="3" t="s">
        <v>68</v>
      </c>
      <c r="D389" s="3" t="s">
        <v>420</v>
      </c>
      <c r="E389" s="3" t="s">
        <v>689</v>
      </c>
      <c r="F389" s="3">
        <v>1197000.0</v>
      </c>
      <c r="G389" s="4">
        <v>46032.0</v>
      </c>
      <c r="H389" s="4">
        <v>46134.0</v>
      </c>
      <c r="I389" s="3" t="s">
        <v>1297</v>
      </c>
      <c r="J389" s="3" t="s">
        <v>1298</v>
      </c>
      <c r="K389" s="3" t="s">
        <v>319</v>
      </c>
      <c r="L389" s="3">
        <v>0.1158</v>
      </c>
      <c r="M389" s="3">
        <v>2895.0</v>
      </c>
      <c r="N389" s="3">
        <v>2.0</v>
      </c>
      <c r="O389" s="3">
        <v>206743.0</v>
      </c>
      <c r="P389" s="3" t="s">
        <v>1299</v>
      </c>
      <c r="Q389" s="3">
        <v>1327658.0</v>
      </c>
      <c r="R389" s="3"/>
      <c r="S389" s="3">
        <v>2026.5</v>
      </c>
      <c r="T389" s="3" t="s">
        <v>31</v>
      </c>
      <c r="U389" s="3">
        <v>2026.5</v>
      </c>
      <c r="V389" s="5">
        <f>(DATE(2026,2,3)-'RICE_Insured Farms_with PPI Pol'!$G389)+IF('RICE_Insured Farms_with PPI Pol'!$H389&lt;&gt;'RICE_Insured Farms_with PPI Pol'!$G389,18,0)</f>
        <v>42</v>
      </c>
      <c r="W389" s="3" t="str">
        <f t="array" ref="W389">IFS(V389&gt;120, "Harvested", V389&gt;=113, "Yellow Ripening", V389&gt;=101, "Dough Stage", V389&gt;=93, "Milking Stage", V389&gt;=86, "Flowering", V389&gt;=56, "Panicle Initiation/Booting", V389&lt;56, "Vegetative/Tillering")</f>
        <v>Vegetative/Tillering</v>
      </c>
    </row>
    <row r="390" ht="15.75" hidden="1" customHeight="1">
      <c r="A390" s="3">
        <v>389.0</v>
      </c>
      <c r="B390" s="3" t="s">
        <v>23</v>
      </c>
      <c r="C390" s="3" t="s">
        <v>68</v>
      </c>
      <c r="D390" s="3" t="s">
        <v>420</v>
      </c>
      <c r="E390" s="3" t="s">
        <v>689</v>
      </c>
      <c r="F390" s="3">
        <v>1197000.0</v>
      </c>
      <c r="G390" s="4">
        <v>46032.0</v>
      </c>
      <c r="H390" s="4">
        <v>46134.0</v>
      </c>
      <c r="I390" s="3" t="s">
        <v>1297</v>
      </c>
      <c r="J390" s="3" t="s">
        <v>1298</v>
      </c>
      <c r="K390" s="3" t="s">
        <v>319</v>
      </c>
      <c r="L390" s="3">
        <v>0.1158</v>
      </c>
      <c r="M390" s="3">
        <v>2895.0</v>
      </c>
      <c r="N390" s="3">
        <v>2.0</v>
      </c>
      <c r="O390" s="3">
        <v>206743.0</v>
      </c>
      <c r="P390" s="3" t="s">
        <v>1299</v>
      </c>
      <c r="Q390" s="3">
        <v>1327658.0</v>
      </c>
      <c r="R390" s="3"/>
      <c r="S390" s="3">
        <v>2026.5</v>
      </c>
      <c r="T390" s="3" t="s">
        <v>31</v>
      </c>
      <c r="U390" s="3">
        <v>2026.5</v>
      </c>
      <c r="V390" s="5">
        <f>(DATE(2026,2,3)-'RICE_Insured Farms_with PPI Pol'!$G390)+IF('RICE_Insured Farms_with PPI Pol'!$H390&lt;&gt;'RICE_Insured Farms_with PPI Pol'!$G390,18,0)</f>
        <v>42</v>
      </c>
      <c r="W390" s="3" t="str">
        <f t="array" ref="W390">IFS(V390&gt;120, "Harvested", V390&gt;=113, "Yellow Ripening", V390&gt;=101, "Dough Stage", V390&gt;=93, "Milking Stage", V390&gt;=86, "Flowering", V390&gt;=56, "Panicle Initiation/Booting", V390&lt;56, "Vegetative/Tillering")</f>
        <v>Vegetative/Tillering</v>
      </c>
    </row>
    <row r="391" ht="15.75" customHeight="1">
      <c r="A391" s="3">
        <v>390.0</v>
      </c>
      <c r="B391" s="3" t="s">
        <v>23</v>
      </c>
      <c r="C391" s="3" t="s">
        <v>68</v>
      </c>
      <c r="D391" s="3" t="s">
        <v>289</v>
      </c>
      <c r="E391" s="3" t="s">
        <v>685</v>
      </c>
      <c r="F391" s="3">
        <v>1760017.0</v>
      </c>
      <c r="G391" s="4">
        <v>46011.0</v>
      </c>
      <c r="H391" s="4">
        <v>46113.0</v>
      </c>
      <c r="I391" s="3" t="s">
        <v>1300</v>
      </c>
      <c r="J391" s="3" t="s">
        <v>1301</v>
      </c>
      <c r="K391" s="3" t="s">
        <v>1302</v>
      </c>
      <c r="L391" s="3">
        <v>1.7913</v>
      </c>
      <c r="M391" s="3">
        <v>44782.5</v>
      </c>
      <c r="N391" s="3">
        <v>3.0</v>
      </c>
      <c r="O391" s="3">
        <v>305911.0</v>
      </c>
      <c r="P391" s="3" t="s">
        <v>1303</v>
      </c>
      <c r="Q391" s="3">
        <v>1136136.0</v>
      </c>
      <c r="R391" s="3"/>
      <c r="S391" s="3">
        <v>35826.0</v>
      </c>
      <c r="T391" s="3" t="s">
        <v>37</v>
      </c>
      <c r="U391" s="3">
        <v>35826.0</v>
      </c>
      <c r="V391" s="5">
        <f>(DATE(2026,2,3)-'RICE_Insured Farms_with PPI Pol'!$G391)+IF('RICE_Insured Farms_with PPI Pol'!$H391&lt;&gt;'RICE_Insured Farms_with PPI Pol'!$G391,18,0)</f>
        <v>63</v>
      </c>
      <c r="W391" s="3" t="str">
        <f t="array" ref="W391">IFS(V391&gt;120, "Harvested", V391&gt;=113, "Yellow Ripening", V391&gt;=101, "Dough Stage", V391&gt;=93, "Milking Stage", V391&gt;=86, "Flowering", V391&gt;=56, "Panicle Initiation/Booting", V391&lt;56, "Vegetative/Tillering")</f>
        <v>Panicle Initiation/Booting</v>
      </c>
    </row>
    <row r="392" ht="15.75" hidden="1" customHeight="1">
      <c r="A392" s="3">
        <v>391.0</v>
      </c>
      <c r="B392" s="3" t="s">
        <v>23</v>
      </c>
      <c r="C392" s="3" t="s">
        <v>68</v>
      </c>
      <c r="D392" s="3" t="s">
        <v>262</v>
      </c>
      <c r="E392" s="3" t="s">
        <v>273</v>
      </c>
      <c r="F392" s="3">
        <v>1739597.0</v>
      </c>
      <c r="G392" s="4">
        <v>46031.0</v>
      </c>
      <c r="H392" s="4">
        <v>46133.0</v>
      </c>
      <c r="I392" s="3" t="s">
        <v>1304</v>
      </c>
      <c r="J392" s="3" t="s">
        <v>296</v>
      </c>
      <c r="K392" s="3" t="s">
        <v>1305</v>
      </c>
      <c r="L392" s="3">
        <v>0.809</v>
      </c>
      <c r="M392" s="3">
        <v>20225.0</v>
      </c>
      <c r="N392" s="3">
        <v>2.0</v>
      </c>
      <c r="O392" s="3">
        <v>338270.0</v>
      </c>
      <c r="P392" s="3" t="s">
        <v>1306</v>
      </c>
      <c r="Q392" s="3">
        <v>1338329.0</v>
      </c>
      <c r="R392" s="3"/>
      <c r="S392" s="3">
        <v>14157.5</v>
      </c>
      <c r="T392" s="3" t="s">
        <v>31</v>
      </c>
      <c r="U392" s="3">
        <v>14157.5</v>
      </c>
      <c r="V392" s="5">
        <f>(DATE(2026,2,3)-'RICE_Insured Farms_with PPI Pol'!$G392)+IF('RICE_Insured Farms_with PPI Pol'!$H392&lt;&gt;'RICE_Insured Farms_with PPI Pol'!$G392,18,0)</f>
        <v>43</v>
      </c>
      <c r="W392" s="3" t="str">
        <f t="array" ref="W392">IFS(V392&gt;120, "Harvested", V392&gt;=113, "Yellow Ripening", V392&gt;=101, "Dough Stage", V392&gt;=93, "Milking Stage", V392&gt;=86, "Flowering", V392&gt;=56, "Panicle Initiation/Booting", V392&lt;56, "Vegetative/Tillering")</f>
        <v>Vegetative/Tillering</v>
      </c>
    </row>
    <row r="393" ht="15.75" hidden="1" customHeight="1">
      <c r="A393" s="3">
        <v>392.0</v>
      </c>
      <c r="B393" s="3" t="s">
        <v>23</v>
      </c>
      <c r="C393" s="3" t="s">
        <v>68</v>
      </c>
      <c r="D393" s="3" t="s">
        <v>769</v>
      </c>
      <c r="E393" s="3" t="s">
        <v>770</v>
      </c>
      <c r="F393" s="3">
        <v>1742303.0</v>
      </c>
      <c r="G393" s="4">
        <v>46027.0</v>
      </c>
      <c r="H393" s="4">
        <v>46129.0</v>
      </c>
      <c r="I393" s="3" t="s">
        <v>1307</v>
      </c>
      <c r="J393" s="3" t="s">
        <v>1308</v>
      </c>
      <c r="K393" s="3" t="s">
        <v>1309</v>
      </c>
      <c r="L393" s="3">
        <v>1.091</v>
      </c>
      <c r="M393" s="3">
        <v>27275.0</v>
      </c>
      <c r="N393" s="3">
        <v>2.0</v>
      </c>
      <c r="O393" s="3">
        <v>35741.0</v>
      </c>
      <c r="P393" s="3" t="s">
        <v>1310</v>
      </c>
      <c r="Q393" s="3">
        <v>990272.0</v>
      </c>
      <c r="R393" s="3"/>
      <c r="S393" s="3">
        <v>19092.5</v>
      </c>
      <c r="T393" s="3" t="s">
        <v>31</v>
      </c>
      <c r="U393" s="3">
        <v>19092.5</v>
      </c>
      <c r="V393" s="5">
        <f>(DATE(2026,2,3)-'RICE_Insured Farms_with PPI Pol'!$G393)+IF('RICE_Insured Farms_with PPI Pol'!$H393&lt;&gt;'RICE_Insured Farms_with PPI Pol'!$G393,18,0)</f>
        <v>47</v>
      </c>
      <c r="W393" s="3" t="str">
        <f t="array" ref="W393">IFS(V393&gt;120, "Harvested", V393&gt;=113, "Yellow Ripening", V393&gt;=101, "Dough Stage", V393&gt;=93, "Milking Stage", V393&gt;=86, "Flowering", V393&gt;=56, "Panicle Initiation/Booting", V393&lt;56, "Vegetative/Tillering")</f>
        <v>Vegetative/Tillering</v>
      </c>
    </row>
    <row r="394" ht="15.75" hidden="1" customHeight="1">
      <c r="A394" s="3">
        <v>393.0</v>
      </c>
      <c r="B394" s="3" t="s">
        <v>23</v>
      </c>
      <c r="C394" s="3" t="s">
        <v>68</v>
      </c>
      <c r="D394" s="3" t="s">
        <v>289</v>
      </c>
      <c r="E394" s="3" t="s">
        <v>290</v>
      </c>
      <c r="F394" s="3">
        <v>1760021.0</v>
      </c>
      <c r="G394" s="4">
        <v>46025.0</v>
      </c>
      <c r="H394" s="4">
        <v>46127.0</v>
      </c>
      <c r="I394" s="3" t="s">
        <v>1047</v>
      </c>
      <c r="J394" s="3" t="s">
        <v>1311</v>
      </c>
      <c r="K394" s="3" t="s">
        <v>1312</v>
      </c>
      <c r="L394" s="3">
        <v>1.2688</v>
      </c>
      <c r="M394" s="3">
        <v>31720.0</v>
      </c>
      <c r="N394" s="3">
        <v>2.0</v>
      </c>
      <c r="O394" s="3">
        <v>151027.0</v>
      </c>
      <c r="P394" s="3"/>
      <c r="Q394" s="3">
        <v>1328937.0</v>
      </c>
      <c r="R394" s="3"/>
      <c r="S394" s="3">
        <v>22204.0</v>
      </c>
      <c r="T394" s="3" t="s">
        <v>31</v>
      </c>
      <c r="U394" s="3">
        <v>22204.0</v>
      </c>
      <c r="V394" s="5">
        <f>(DATE(2026,2,3)-'RICE_Insured Farms_with PPI Pol'!$G394)+IF('RICE_Insured Farms_with PPI Pol'!$H394&lt;&gt;'RICE_Insured Farms_with PPI Pol'!$G394,18,0)</f>
        <v>49</v>
      </c>
      <c r="W394" s="3" t="str">
        <f t="array" ref="W394">IFS(V394&gt;120, "Harvested", V394&gt;=113, "Yellow Ripening", V394&gt;=101, "Dough Stage", V394&gt;=93, "Milking Stage", V394&gt;=86, "Flowering", V394&gt;=56, "Panicle Initiation/Booting", V394&lt;56, "Vegetative/Tillering")</f>
        <v>Vegetative/Tillering</v>
      </c>
    </row>
    <row r="395" ht="15.75" hidden="1" customHeight="1">
      <c r="A395" s="3">
        <v>394.0</v>
      </c>
      <c r="B395" s="3" t="s">
        <v>23</v>
      </c>
      <c r="C395" s="3" t="s">
        <v>68</v>
      </c>
      <c r="D395" s="3" t="s">
        <v>420</v>
      </c>
      <c r="E395" s="3" t="s">
        <v>421</v>
      </c>
      <c r="F395" s="3">
        <v>1196999.0</v>
      </c>
      <c r="G395" s="4">
        <v>46063.0</v>
      </c>
      <c r="H395" s="4">
        <v>46165.0</v>
      </c>
      <c r="I395" s="3" t="s">
        <v>1087</v>
      </c>
      <c r="J395" s="3" t="s">
        <v>1313</v>
      </c>
      <c r="K395" s="3" t="s">
        <v>1314</v>
      </c>
      <c r="L395" s="3">
        <v>0.351</v>
      </c>
      <c r="M395" s="3">
        <v>8775.0</v>
      </c>
      <c r="N395" s="3">
        <v>1.0</v>
      </c>
      <c r="O395" s="3">
        <v>478631.0</v>
      </c>
      <c r="P395" s="3"/>
      <c r="Q395" s="3">
        <v>1337918.0</v>
      </c>
      <c r="R395" s="3"/>
      <c r="S395" s="3">
        <v>5265.0</v>
      </c>
      <c r="T395" s="3" t="s">
        <v>62</v>
      </c>
      <c r="U395" s="3">
        <v>5265.0</v>
      </c>
      <c r="V395" s="5">
        <f>(DATE(2026,2,3)-'RICE_Insured Farms_with PPI Pol'!$G395)+IF('RICE_Insured Farms_with PPI Pol'!$H395&lt;&gt;'RICE_Insured Farms_with PPI Pol'!$G395,18,0)</f>
        <v>11</v>
      </c>
      <c r="W395" s="3" t="str">
        <f t="array" ref="W395">IFS(V395&gt;120, "Harvested", V395&gt;=113, "Yellow Ripening", V395&gt;=101, "Dough Stage", V395&gt;=93, "Milking Stage", V395&gt;=86, "Flowering", V395&gt;=56, "Panicle Initiation/Booting", V395&lt;56, "Vegetative/Tillering")</f>
        <v>Vegetative/Tillering</v>
      </c>
    </row>
    <row r="396" ht="15.75" hidden="1" customHeight="1">
      <c r="A396" s="3">
        <v>395.0</v>
      </c>
      <c r="B396" s="3" t="s">
        <v>23</v>
      </c>
      <c r="C396" s="3" t="s">
        <v>68</v>
      </c>
      <c r="D396" s="3" t="s">
        <v>289</v>
      </c>
      <c r="E396" s="3" t="s">
        <v>290</v>
      </c>
      <c r="F396" s="3">
        <v>1760035.0</v>
      </c>
      <c r="G396" s="4">
        <v>46027.0</v>
      </c>
      <c r="H396" s="4">
        <v>46129.0</v>
      </c>
      <c r="I396" s="3" t="s">
        <v>1315</v>
      </c>
      <c r="J396" s="3" t="s">
        <v>1316</v>
      </c>
      <c r="K396" s="3" t="s">
        <v>1317</v>
      </c>
      <c r="L396" s="3">
        <v>0.6024</v>
      </c>
      <c r="M396" s="3">
        <v>15060.0</v>
      </c>
      <c r="N396" s="3">
        <v>2.0</v>
      </c>
      <c r="O396" s="3">
        <v>199738.0</v>
      </c>
      <c r="P396" s="3" t="s">
        <v>1318</v>
      </c>
      <c r="Q396" s="3">
        <v>1324633.0</v>
      </c>
      <c r="R396" s="3"/>
      <c r="S396" s="3">
        <v>10542.0</v>
      </c>
      <c r="T396" s="3" t="s">
        <v>31</v>
      </c>
      <c r="U396" s="3">
        <v>10542.0</v>
      </c>
      <c r="V396" s="5">
        <f>(DATE(2026,2,3)-'RICE_Insured Farms_with PPI Pol'!$G396)+IF('RICE_Insured Farms_with PPI Pol'!$H396&lt;&gt;'RICE_Insured Farms_with PPI Pol'!$G396,18,0)</f>
        <v>47</v>
      </c>
      <c r="W396" s="3" t="str">
        <f t="array" ref="W396">IFS(V396&gt;120, "Harvested", V396&gt;=113, "Yellow Ripening", V396&gt;=101, "Dough Stage", V396&gt;=93, "Milking Stage", V396&gt;=86, "Flowering", V396&gt;=56, "Panicle Initiation/Booting", V396&lt;56, "Vegetative/Tillering")</f>
        <v>Vegetative/Tillering</v>
      </c>
    </row>
    <row r="397" ht="15.75" customHeight="1">
      <c r="A397" s="3">
        <v>396.0</v>
      </c>
      <c r="B397" s="3" t="s">
        <v>23</v>
      </c>
      <c r="C397" s="3" t="s">
        <v>68</v>
      </c>
      <c r="D397" s="3" t="s">
        <v>289</v>
      </c>
      <c r="E397" s="3" t="s">
        <v>685</v>
      </c>
      <c r="F397" s="3">
        <v>1760004.0</v>
      </c>
      <c r="G397" s="4">
        <v>46021.0</v>
      </c>
      <c r="H397" s="4">
        <v>46123.0</v>
      </c>
      <c r="I397" s="3" t="s">
        <v>1319</v>
      </c>
      <c r="J397" s="3" t="s">
        <v>1320</v>
      </c>
      <c r="K397" s="3" t="s">
        <v>1321</v>
      </c>
      <c r="L397" s="3">
        <v>0.8189</v>
      </c>
      <c r="M397" s="3">
        <v>20472.5</v>
      </c>
      <c r="N397" s="3">
        <v>3.0</v>
      </c>
      <c r="O397" s="3">
        <v>530196.0</v>
      </c>
      <c r="P397" s="3"/>
      <c r="Q397" s="3">
        <v>1328479.0</v>
      </c>
      <c r="R397" s="3"/>
      <c r="S397" s="3">
        <v>16378.0</v>
      </c>
      <c r="T397" s="3" t="s">
        <v>37</v>
      </c>
      <c r="U397" s="3">
        <v>16378.0</v>
      </c>
      <c r="V397" s="5">
        <f>(DATE(2026,2,3)-'RICE_Insured Farms_with PPI Pol'!$G397)+IF('RICE_Insured Farms_with PPI Pol'!$H397&lt;&gt;'RICE_Insured Farms_with PPI Pol'!$G397,18,0)</f>
        <v>53</v>
      </c>
      <c r="W397" s="3" t="str">
        <f t="array" ref="W397">IFS(V397&gt;120, "Harvested", V397&gt;=113, "Yellow Ripening", V397&gt;=101, "Dough Stage", V397&gt;=93, "Milking Stage", V397&gt;=86, "Flowering", V397&gt;=56, "Panicle Initiation/Booting", V397&lt;56, "Vegetative/Tillering")</f>
        <v>Vegetative/Tillering</v>
      </c>
    </row>
    <row r="398" ht="15.75" hidden="1" customHeight="1">
      <c r="A398" s="3">
        <v>397.0</v>
      </c>
      <c r="B398" s="3" t="s">
        <v>23</v>
      </c>
      <c r="C398" s="3" t="s">
        <v>68</v>
      </c>
      <c r="D398" s="3" t="s">
        <v>289</v>
      </c>
      <c r="E398" s="3" t="s">
        <v>352</v>
      </c>
      <c r="F398" s="3">
        <v>1760050.0</v>
      </c>
      <c r="G398" s="4">
        <v>46035.0</v>
      </c>
      <c r="H398" s="4">
        <v>46137.0</v>
      </c>
      <c r="I398" s="3" t="s">
        <v>688</v>
      </c>
      <c r="J398" s="3" t="s">
        <v>1322</v>
      </c>
      <c r="K398" s="3" t="s">
        <v>1139</v>
      </c>
      <c r="L398" s="3">
        <v>0.6888</v>
      </c>
      <c r="M398" s="3">
        <v>17220.0</v>
      </c>
      <c r="N398" s="3">
        <v>2.0</v>
      </c>
      <c r="O398" s="3">
        <v>336179.0</v>
      </c>
      <c r="P398" s="3"/>
      <c r="Q398" s="3">
        <v>1331634.0</v>
      </c>
      <c r="R398" s="3"/>
      <c r="S398" s="3">
        <v>12054.0</v>
      </c>
      <c r="T398" s="3" t="s">
        <v>31</v>
      </c>
      <c r="U398" s="3">
        <v>12054.0</v>
      </c>
      <c r="V398" s="5">
        <f>(DATE(2026,2,3)-'RICE_Insured Farms_with PPI Pol'!$G398)+IF('RICE_Insured Farms_with PPI Pol'!$H398&lt;&gt;'RICE_Insured Farms_with PPI Pol'!$G398,18,0)</f>
        <v>39</v>
      </c>
      <c r="W398" s="3" t="str">
        <f t="array" ref="W398">IFS(V398&gt;120, "Harvested", V398&gt;=113, "Yellow Ripening", V398&gt;=101, "Dough Stage", V398&gt;=93, "Milking Stage", V398&gt;=86, "Flowering", V398&gt;=56, "Panicle Initiation/Booting", V398&lt;56, "Vegetative/Tillering")</f>
        <v>Vegetative/Tillering</v>
      </c>
    </row>
    <row r="399" ht="15.75" hidden="1" customHeight="1">
      <c r="A399" s="3">
        <v>398.0</v>
      </c>
      <c r="B399" s="3" t="s">
        <v>23</v>
      </c>
      <c r="C399" s="3" t="s">
        <v>68</v>
      </c>
      <c r="D399" s="3" t="s">
        <v>289</v>
      </c>
      <c r="E399" s="3" t="s">
        <v>352</v>
      </c>
      <c r="F399" s="3">
        <v>1760050.0</v>
      </c>
      <c r="G399" s="4">
        <v>46036.0</v>
      </c>
      <c r="H399" s="4">
        <v>46138.0</v>
      </c>
      <c r="I399" s="3" t="s">
        <v>1323</v>
      </c>
      <c r="J399" s="3" t="s">
        <v>1324</v>
      </c>
      <c r="K399" s="3" t="s">
        <v>126</v>
      </c>
      <c r="L399" s="3">
        <v>0.3803</v>
      </c>
      <c r="M399" s="3">
        <v>9507.5</v>
      </c>
      <c r="N399" s="3">
        <v>2.0</v>
      </c>
      <c r="O399" s="3">
        <v>305314.0</v>
      </c>
      <c r="P399" s="3"/>
      <c r="Q399" s="3">
        <v>1331446.0</v>
      </c>
      <c r="R399" s="3"/>
      <c r="S399" s="3">
        <v>6655.25</v>
      </c>
      <c r="T399" s="3" t="s">
        <v>31</v>
      </c>
      <c r="U399" s="3">
        <v>6655.25</v>
      </c>
      <c r="V399" s="5">
        <f>(DATE(2026,2,3)-'RICE_Insured Farms_with PPI Pol'!$G399)+IF('RICE_Insured Farms_with PPI Pol'!$H399&lt;&gt;'RICE_Insured Farms_with PPI Pol'!$G399,18,0)</f>
        <v>38</v>
      </c>
      <c r="W399" s="3" t="str">
        <f t="array" ref="W399">IFS(V399&gt;120, "Harvested", V399&gt;=113, "Yellow Ripening", V399&gt;=101, "Dough Stage", V399&gt;=93, "Milking Stage", V399&gt;=86, "Flowering", V399&gt;=56, "Panicle Initiation/Booting", V399&lt;56, "Vegetative/Tillering")</f>
        <v>Vegetative/Tillering</v>
      </c>
    </row>
    <row r="400" ht="15.75" hidden="1" customHeight="1">
      <c r="A400" s="3">
        <v>399.0</v>
      </c>
      <c r="B400" s="3" t="s">
        <v>23</v>
      </c>
      <c r="C400" s="3" t="s">
        <v>68</v>
      </c>
      <c r="D400" s="3" t="s">
        <v>289</v>
      </c>
      <c r="E400" s="3" t="s">
        <v>507</v>
      </c>
      <c r="F400" s="3">
        <v>1760042.0</v>
      </c>
      <c r="G400" s="4">
        <v>46037.0</v>
      </c>
      <c r="H400" s="4">
        <v>46139.0</v>
      </c>
      <c r="I400" s="3" t="s">
        <v>1325</v>
      </c>
      <c r="J400" s="3" t="s">
        <v>1326</v>
      </c>
      <c r="K400" s="3" t="s">
        <v>1327</v>
      </c>
      <c r="L400" s="3">
        <v>0.3929</v>
      </c>
      <c r="M400" s="3">
        <v>9822.5</v>
      </c>
      <c r="N400" s="3">
        <v>2.0</v>
      </c>
      <c r="O400" s="3">
        <v>479999.0</v>
      </c>
      <c r="P400" s="3"/>
      <c r="Q400" s="3">
        <v>1326239.0</v>
      </c>
      <c r="R400" s="3"/>
      <c r="S400" s="3">
        <v>6875.75</v>
      </c>
      <c r="T400" s="3" t="s">
        <v>31</v>
      </c>
      <c r="U400" s="3">
        <v>6875.75</v>
      </c>
      <c r="V400" s="5">
        <f>(DATE(2026,2,3)-'RICE_Insured Farms_with PPI Pol'!$G400)+IF('RICE_Insured Farms_with PPI Pol'!$H400&lt;&gt;'RICE_Insured Farms_with PPI Pol'!$G400,18,0)</f>
        <v>37</v>
      </c>
      <c r="W400" s="3" t="str">
        <f t="array" ref="W400">IFS(V400&gt;120, "Harvested", V400&gt;=113, "Yellow Ripening", V400&gt;=101, "Dough Stage", V400&gt;=93, "Milking Stage", V400&gt;=86, "Flowering", V400&gt;=56, "Panicle Initiation/Booting", V400&lt;56, "Vegetative/Tillering")</f>
        <v>Vegetative/Tillering</v>
      </c>
    </row>
    <row r="401" ht="15.75" hidden="1" customHeight="1">
      <c r="A401" s="3">
        <v>400.0</v>
      </c>
      <c r="B401" s="3" t="s">
        <v>23</v>
      </c>
      <c r="C401" s="3" t="s">
        <v>68</v>
      </c>
      <c r="D401" s="3" t="s">
        <v>289</v>
      </c>
      <c r="E401" s="3" t="s">
        <v>507</v>
      </c>
      <c r="F401" s="3">
        <v>1760042.0</v>
      </c>
      <c r="G401" s="4">
        <v>46037.0</v>
      </c>
      <c r="H401" s="4">
        <v>46139.0</v>
      </c>
      <c r="I401" s="3" t="s">
        <v>1325</v>
      </c>
      <c r="J401" s="3" t="s">
        <v>1326</v>
      </c>
      <c r="K401" s="3" t="s">
        <v>1327</v>
      </c>
      <c r="L401" s="3">
        <v>0.2251</v>
      </c>
      <c r="M401" s="3">
        <v>5627.5</v>
      </c>
      <c r="N401" s="3">
        <v>2.0</v>
      </c>
      <c r="O401" s="3">
        <v>479999.0</v>
      </c>
      <c r="P401" s="3"/>
      <c r="Q401" s="3">
        <v>1326242.0</v>
      </c>
      <c r="R401" s="3"/>
      <c r="S401" s="3">
        <v>3939.25</v>
      </c>
      <c r="T401" s="3" t="s">
        <v>31</v>
      </c>
      <c r="U401" s="3">
        <v>3939.25</v>
      </c>
      <c r="V401" s="5">
        <f>(DATE(2026,2,3)-'RICE_Insured Farms_with PPI Pol'!$G401)+IF('RICE_Insured Farms_with PPI Pol'!$H401&lt;&gt;'RICE_Insured Farms_with PPI Pol'!$G401,18,0)</f>
        <v>37</v>
      </c>
      <c r="W401" s="3" t="str">
        <f t="array" ref="W401">IFS(V401&gt;120, "Harvested", V401&gt;=113, "Yellow Ripening", V401&gt;=101, "Dough Stage", V401&gt;=93, "Milking Stage", V401&gt;=86, "Flowering", V401&gt;=56, "Panicle Initiation/Booting", V401&lt;56, "Vegetative/Tillering")</f>
        <v>Vegetative/Tillering</v>
      </c>
    </row>
    <row r="402" ht="15.75" hidden="1" customHeight="1">
      <c r="A402" s="3">
        <v>401.0</v>
      </c>
      <c r="B402" s="3" t="s">
        <v>23</v>
      </c>
      <c r="C402" s="3" t="s">
        <v>68</v>
      </c>
      <c r="D402" s="3" t="s">
        <v>289</v>
      </c>
      <c r="E402" s="3" t="s">
        <v>507</v>
      </c>
      <c r="F402" s="3">
        <v>1760042.0</v>
      </c>
      <c r="G402" s="4">
        <v>46037.0</v>
      </c>
      <c r="H402" s="4">
        <v>46139.0</v>
      </c>
      <c r="I402" s="3" t="s">
        <v>1325</v>
      </c>
      <c r="J402" s="3" t="s">
        <v>1326</v>
      </c>
      <c r="K402" s="3" t="s">
        <v>1327</v>
      </c>
      <c r="L402" s="3">
        <v>0.245</v>
      </c>
      <c r="M402" s="3">
        <v>6125.0</v>
      </c>
      <c r="N402" s="3">
        <v>2.0</v>
      </c>
      <c r="O402" s="3">
        <v>479999.0</v>
      </c>
      <c r="P402" s="3"/>
      <c r="Q402" s="3">
        <v>1326244.0</v>
      </c>
      <c r="R402" s="3"/>
      <c r="S402" s="3">
        <v>4287.5</v>
      </c>
      <c r="T402" s="3" t="s">
        <v>31</v>
      </c>
      <c r="U402" s="3">
        <v>4287.5</v>
      </c>
      <c r="V402" s="5">
        <f>(DATE(2026,2,3)-'RICE_Insured Farms_with PPI Pol'!$G402)+IF('RICE_Insured Farms_with PPI Pol'!$H402&lt;&gt;'RICE_Insured Farms_with PPI Pol'!$G402,18,0)</f>
        <v>37</v>
      </c>
      <c r="W402" s="3" t="str">
        <f t="array" ref="W402">IFS(V402&gt;120, "Harvested", V402&gt;=113, "Yellow Ripening", V402&gt;=101, "Dough Stage", V402&gt;=93, "Milking Stage", V402&gt;=86, "Flowering", V402&gt;=56, "Panicle Initiation/Booting", V402&lt;56, "Vegetative/Tillering")</f>
        <v>Vegetative/Tillering</v>
      </c>
    </row>
    <row r="403" ht="15.75" hidden="1" customHeight="1">
      <c r="A403" s="3">
        <v>402.0</v>
      </c>
      <c r="B403" s="3" t="s">
        <v>23</v>
      </c>
      <c r="C403" s="3" t="s">
        <v>68</v>
      </c>
      <c r="D403" s="3" t="s">
        <v>289</v>
      </c>
      <c r="E403" s="3" t="s">
        <v>507</v>
      </c>
      <c r="F403" s="3">
        <v>1760040.0</v>
      </c>
      <c r="G403" s="4">
        <v>46033.0</v>
      </c>
      <c r="H403" s="4">
        <v>46135.0</v>
      </c>
      <c r="I403" s="3" t="s">
        <v>1328</v>
      </c>
      <c r="J403" s="3" t="s">
        <v>79</v>
      </c>
      <c r="K403" s="3" t="s">
        <v>1329</v>
      </c>
      <c r="L403" s="3">
        <v>0.3073</v>
      </c>
      <c r="M403" s="3">
        <v>7682.5</v>
      </c>
      <c r="N403" s="3">
        <v>2.0</v>
      </c>
      <c r="O403" s="3">
        <v>15857.0</v>
      </c>
      <c r="P403" s="3" t="s">
        <v>1330</v>
      </c>
      <c r="Q403" s="3">
        <v>1326208.0</v>
      </c>
      <c r="R403" s="3"/>
      <c r="S403" s="3">
        <v>5377.75</v>
      </c>
      <c r="T403" s="3" t="s">
        <v>31</v>
      </c>
      <c r="U403" s="3">
        <v>5377.75</v>
      </c>
      <c r="V403" s="5">
        <f>(DATE(2026,2,3)-'RICE_Insured Farms_with PPI Pol'!$G403)+IF('RICE_Insured Farms_with PPI Pol'!$H403&lt;&gt;'RICE_Insured Farms_with PPI Pol'!$G403,18,0)</f>
        <v>41</v>
      </c>
      <c r="W403" s="3" t="str">
        <f t="array" ref="W403">IFS(V403&gt;120, "Harvested", V403&gt;=113, "Yellow Ripening", V403&gt;=101, "Dough Stage", V403&gt;=93, "Milking Stage", V403&gt;=86, "Flowering", V403&gt;=56, "Panicle Initiation/Booting", V403&lt;56, "Vegetative/Tillering")</f>
        <v>Vegetative/Tillering</v>
      </c>
    </row>
    <row r="404" ht="15.75" hidden="1" customHeight="1">
      <c r="A404" s="3">
        <v>403.0</v>
      </c>
      <c r="B404" s="3" t="s">
        <v>23</v>
      </c>
      <c r="C404" s="3" t="s">
        <v>121</v>
      </c>
      <c r="D404" s="3" t="s">
        <v>384</v>
      </c>
      <c r="E404" s="3" t="s">
        <v>321</v>
      </c>
      <c r="F404" s="3">
        <v>1742509.0</v>
      </c>
      <c r="G404" s="4">
        <v>46019.0</v>
      </c>
      <c r="H404" s="4">
        <v>46139.0</v>
      </c>
      <c r="I404" s="3" t="s">
        <v>1331</v>
      </c>
      <c r="J404" s="3" t="s">
        <v>1332</v>
      </c>
      <c r="K404" s="3" t="s">
        <v>156</v>
      </c>
      <c r="L404" s="3">
        <v>0.7128</v>
      </c>
      <c r="M404" s="3">
        <v>17820.0</v>
      </c>
      <c r="N404" s="3">
        <v>2.0</v>
      </c>
      <c r="O404" s="3">
        <v>335625.0</v>
      </c>
      <c r="P404" s="3" t="s">
        <v>1333</v>
      </c>
      <c r="Q404" s="3">
        <v>1283759.0</v>
      </c>
      <c r="R404" s="3"/>
      <c r="S404" s="3">
        <v>12474.0</v>
      </c>
      <c r="T404" s="3" t="s">
        <v>31</v>
      </c>
      <c r="U404" s="3">
        <v>12474.0</v>
      </c>
      <c r="V404" s="5">
        <f>(DATE(2026,2,3)-'RICE_Insured Farms_with PPI Pol'!$G404)+IF('RICE_Insured Farms_with PPI Pol'!$H404&lt;&gt;'RICE_Insured Farms_with PPI Pol'!$G404,18,0)</f>
        <v>55</v>
      </c>
      <c r="W404" s="3" t="str">
        <f t="array" ref="W404">IFS(V404&gt;120, "Harvested", V404&gt;=113, "Yellow Ripening", V404&gt;=101, "Dough Stage", V404&gt;=93, "Milking Stage", V404&gt;=86, "Flowering", V404&gt;=56, "Panicle Initiation/Booting", V404&lt;56, "Vegetative/Tillering")</f>
        <v>Vegetative/Tillering</v>
      </c>
    </row>
    <row r="405" ht="15.75" hidden="1" customHeight="1">
      <c r="A405" s="3">
        <v>404.0</v>
      </c>
      <c r="B405" s="3" t="s">
        <v>23</v>
      </c>
      <c r="C405" s="3" t="s">
        <v>68</v>
      </c>
      <c r="D405" s="3" t="s">
        <v>262</v>
      </c>
      <c r="E405" s="3" t="s">
        <v>405</v>
      </c>
      <c r="F405" s="3">
        <v>1739592.0</v>
      </c>
      <c r="G405" s="4">
        <v>46027.0</v>
      </c>
      <c r="H405" s="4">
        <v>46129.0</v>
      </c>
      <c r="I405" s="3" t="s">
        <v>1334</v>
      </c>
      <c r="J405" s="3" t="s">
        <v>621</v>
      </c>
      <c r="K405" s="3" t="s">
        <v>1335</v>
      </c>
      <c r="L405" s="3">
        <v>1.4525</v>
      </c>
      <c r="M405" s="3">
        <v>36312.5</v>
      </c>
      <c r="N405" s="3">
        <v>2.0</v>
      </c>
      <c r="O405" s="3">
        <v>110557.0</v>
      </c>
      <c r="P405" s="3" t="s">
        <v>1336</v>
      </c>
      <c r="Q405" s="3">
        <v>1314964.0</v>
      </c>
      <c r="R405" s="3"/>
      <c r="S405" s="3">
        <v>25418.75</v>
      </c>
      <c r="T405" s="3" t="s">
        <v>31</v>
      </c>
      <c r="U405" s="3">
        <v>25418.75</v>
      </c>
      <c r="V405" s="5">
        <f>(DATE(2026,2,3)-'RICE_Insured Farms_with PPI Pol'!$G405)+IF('RICE_Insured Farms_with PPI Pol'!$H405&lt;&gt;'RICE_Insured Farms_with PPI Pol'!$G405,18,0)</f>
        <v>47</v>
      </c>
      <c r="W405" s="3" t="str">
        <f t="array" ref="W405">IFS(V405&gt;120, "Harvested", V405&gt;=113, "Yellow Ripening", V405&gt;=101, "Dough Stage", V405&gt;=93, "Milking Stage", V405&gt;=86, "Flowering", V405&gt;=56, "Panicle Initiation/Booting", V405&lt;56, "Vegetative/Tillering")</f>
        <v>Vegetative/Tillering</v>
      </c>
    </row>
    <row r="406" ht="15.75" hidden="1" customHeight="1">
      <c r="A406" s="3">
        <v>405.0</v>
      </c>
      <c r="B406" s="3" t="s">
        <v>23</v>
      </c>
      <c r="C406" s="3" t="s">
        <v>68</v>
      </c>
      <c r="D406" s="3" t="s">
        <v>262</v>
      </c>
      <c r="E406" s="3" t="s">
        <v>405</v>
      </c>
      <c r="F406" s="3">
        <v>1739592.0</v>
      </c>
      <c r="G406" s="4">
        <v>46027.0</v>
      </c>
      <c r="H406" s="4">
        <v>46129.0</v>
      </c>
      <c r="I406" s="3" t="s">
        <v>1334</v>
      </c>
      <c r="J406" s="3" t="s">
        <v>621</v>
      </c>
      <c r="K406" s="3" t="s">
        <v>1335</v>
      </c>
      <c r="L406" s="3">
        <v>1.4525</v>
      </c>
      <c r="M406" s="3">
        <v>36312.5</v>
      </c>
      <c r="N406" s="3">
        <v>2.0</v>
      </c>
      <c r="O406" s="3">
        <v>110557.0</v>
      </c>
      <c r="P406" s="3" t="s">
        <v>1336</v>
      </c>
      <c r="Q406" s="3">
        <v>1314964.0</v>
      </c>
      <c r="R406" s="3"/>
      <c r="S406" s="3">
        <v>25418.75</v>
      </c>
      <c r="T406" s="3" t="s">
        <v>31</v>
      </c>
      <c r="U406" s="3">
        <v>25418.75</v>
      </c>
      <c r="V406" s="5">
        <f>(DATE(2026,2,3)-'RICE_Insured Farms_with PPI Pol'!$G406)+IF('RICE_Insured Farms_with PPI Pol'!$H406&lt;&gt;'RICE_Insured Farms_with PPI Pol'!$G406,18,0)</f>
        <v>47</v>
      </c>
      <c r="W406" s="3" t="str">
        <f t="array" ref="W406">IFS(V406&gt;120, "Harvested", V406&gt;=113, "Yellow Ripening", V406&gt;=101, "Dough Stage", V406&gt;=93, "Milking Stage", V406&gt;=86, "Flowering", V406&gt;=56, "Panicle Initiation/Booting", V406&lt;56, "Vegetative/Tillering")</f>
        <v>Vegetative/Tillering</v>
      </c>
    </row>
    <row r="407" ht="15.75" hidden="1" customHeight="1">
      <c r="A407" s="3">
        <v>406.0</v>
      </c>
      <c r="B407" s="3" t="s">
        <v>23</v>
      </c>
      <c r="C407" s="3" t="s">
        <v>68</v>
      </c>
      <c r="D407" s="3" t="s">
        <v>289</v>
      </c>
      <c r="E407" s="3" t="s">
        <v>743</v>
      </c>
      <c r="F407" s="3">
        <v>1760046.0</v>
      </c>
      <c r="G407" s="4">
        <v>46038.0</v>
      </c>
      <c r="H407" s="4">
        <v>46140.0</v>
      </c>
      <c r="I407" s="3" t="s">
        <v>1337</v>
      </c>
      <c r="J407" s="3" t="s">
        <v>1338</v>
      </c>
      <c r="K407" s="3" t="s">
        <v>1339</v>
      </c>
      <c r="L407" s="3">
        <v>0.1442</v>
      </c>
      <c r="M407" s="3">
        <v>3605.0</v>
      </c>
      <c r="N407" s="3">
        <v>2.0</v>
      </c>
      <c r="O407" s="3">
        <v>198505.0</v>
      </c>
      <c r="P407" s="3" t="s">
        <v>1340</v>
      </c>
      <c r="Q407" s="3">
        <v>1285756.0</v>
      </c>
      <c r="R407" s="3"/>
      <c r="S407" s="3">
        <v>2523.5</v>
      </c>
      <c r="T407" s="3" t="s">
        <v>31</v>
      </c>
      <c r="U407" s="3">
        <v>2523.5</v>
      </c>
      <c r="V407" s="5">
        <f>(DATE(2026,2,3)-'RICE_Insured Farms_with PPI Pol'!$G407)+IF('RICE_Insured Farms_with PPI Pol'!$H407&lt;&gt;'RICE_Insured Farms_with PPI Pol'!$G407,18,0)</f>
        <v>36</v>
      </c>
      <c r="W407" s="3" t="str">
        <f t="array" ref="W407">IFS(V407&gt;120, "Harvested", V407&gt;=113, "Yellow Ripening", V407&gt;=101, "Dough Stage", V407&gt;=93, "Milking Stage", V407&gt;=86, "Flowering", V407&gt;=56, "Panicle Initiation/Booting", V407&lt;56, "Vegetative/Tillering")</f>
        <v>Vegetative/Tillering</v>
      </c>
    </row>
    <row r="408" ht="15.75" hidden="1" customHeight="1">
      <c r="A408" s="3">
        <v>499.0</v>
      </c>
      <c r="B408" s="3" t="s">
        <v>23</v>
      </c>
      <c r="C408" s="3" t="s">
        <v>24</v>
      </c>
      <c r="D408" s="3" t="s">
        <v>25</v>
      </c>
      <c r="E408" s="3" t="s">
        <v>1164</v>
      </c>
      <c r="F408" s="3">
        <v>1760491.0</v>
      </c>
      <c r="G408" s="4">
        <v>46013.0</v>
      </c>
      <c r="H408" s="4">
        <v>46109.0</v>
      </c>
      <c r="I408" s="3" t="s">
        <v>1341</v>
      </c>
      <c r="J408" s="3" t="s">
        <v>1342</v>
      </c>
      <c r="K408" s="3" t="s">
        <v>1343</v>
      </c>
      <c r="L408" s="3">
        <v>0.8537</v>
      </c>
      <c r="M408" s="3">
        <v>21342.5</v>
      </c>
      <c r="N408" s="3">
        <v>4.0</v>
      </c>
      <c r="O408" s="3">
        <v>496667.0</v>
      </c>
      <c r="P408" s="3"/>
      <c r="Q408" s="3">
        <v>1232068.0</v>
      </c>
      <c r="R408" s="3"/>
      <c r="S408" s="3">
        <v>17074.0</v>
      </c>
      <c r="T408" s="3" t="s">
        <v>56</v>
      </c>
      <c r="U408" s="3">
        <v>17074.0</v>
      </c>
      <c r="V408" s="5">
        <f>(DATE(2026,2,3)-'RICE_Insured Farms_with PPI Pol'!$G408)+IF('RICE_Insured Farms_with PPI Pol'!$H408&lt;&gt;'RICE_Insured Farms_with PPI Pol'!$G408,18,0)</f>
        <v>61</v>
      </c>
      <c r="W408" s="3" t="str">
        <f t="array" ref="W408">IFS(V408&gt;120, "Harvested", V408&gt;=113, "Yellow Ripening", V408&gt;=101, "Dough Stage", V408&gt;=93, "Milking Stage", V408&gt;=86, "Flowering", V408&gt;=56, "Panicle Initiation/Booting", V408&lt;56, "Vegetative/Tillering")</f>
        <v>Panicle Initiation/Booting</v>
      </c>
    </row>
    <row r="409" ht="15.75" customHeight="1">
      <c r="A409" s="3">
        <v>408.0</v>
      </c>
      <c r="B409" s="3" t="s">
        <v>23</v>
      </c>
      <c r="C409" s="3" t="s">
        <v>24</v>
      </c>
      <c r="D409" s="3" t="s">
        <v>25</v>
      </c>
      <c r="E409" s="3" t="s">
        <v>781</v>
      </c>
      <c r="F409" s="3">
        <v>1760497.0</v>
      </c>
      <c r="G409" s="4">
        <v>46018.0</v>
      </c>
      <c r="H409" s="4">
        <v>46113.0</v>
      </c>
      <c r="I409" s="3" t="s">
        <v>1214</v>
      </c>
      <c r="J409" s="3" t="s">
        <v>162</v>
      </c>
      <c r="K409" s="3" t="s">
        <v>1344</v>
      </c>
      <c r="L409" s="3">
        <v>0.749</v>
      </c>
      <c r="M409" s="3">
        <v>18725.0</v>
      </c>
      <c r="N409" s="3">
        <v>3.0</v>
      </c>
      <c r="O409" s="3">
        <v>7863.0</v>
      </c>
      <c r="P409" s="3" t="s">
        <v>1345</v>
      </c>
      <c r="Q409" s="3">
        <v>689089.0</v>
      </c>
      <c r="R409" s="3"/>
      <c r="S409" s="3">
        <v>14980.0</v>
      </c>
      <c r="T409" s="3" t="s">
        <v>37</v>
      </c>
      <c r="U409" s="3">
        <v>14980.0</v>
      </c>
      <c r="V409" s="5">
        <f>(DATE(2026,2,3)-'RICE_Insured Farms_with PPI Pol'!$G409)+IF('RICE_Insured Farms_with PPI Pol'!$H409&lt;&gt;'RICE_Insured Farms_with PPI Pol'!$G409,18,0)</f>
        <v>56</v>
      </c>
      <c r="W409" s="3" t="str">
        <f t="array" ref="W409">IFS(V409&gt;120, "Harvested", V409&gt;=113, "Yellow Ripening", V409&gt;=101, "Dough Stage", V409&gt;=93, "Milking Stage", V409&gt;=86, "Flowering", V409&gt;=56, "Panicle Initiation/Booting", V409&lt;56, "Vegetative/Tillering")</f>
        <v>Panicle Initiation/Booting</v>
      </c>
    </row>
    <row r="410" ht="15.75" customHeight="1">
      <c r="A410" s="3">
        <v>409.0</v>
      </c>
      <c r="B410" s="3" t="s">
        <v>23</v>
      </c>
      <c r="C410" s="3" t="s">
        <v>24</v>
      </c>
      <c r="D410" s="3" t="s">
        <v>25</v>
      </c>
      <c r="E410" s="3" t="s">
        <v>63</v>
      </c>
      <c r="F410" s="3">
        <v>1760482.0</v>
      </c>
      <c r="G410" s="4">
        <v>46021.0</v>
      </c>
      <c r="H410" s="4">
        <v>46116.0</v>
      </c>
      <c r="I410" s="3" t="s">
        <v>1346</v>
      </c>
      <c r="J410" s="3" t="s">
        <v>761</v>
      </c>
      <c r="K410" s="3" t="s">
        <v>1347</v>
      </c>
      <c r="L410" s="3">
        <v>1.2</v>
      </c>
      <c r="M410" s="3">
        <v>30000.0</v>
      </c>
      <c r="N410" s="3">
        <v>3.0</v>
      </c>
      <c r="O410" s="3">
        <v>368392.0</v>
      </c>
      <c r="P410" s="3" t="s">
        <v>1348</v>
      </c>
      <c r="Q410" s="3">
        <v>723043.0</v>
      </c>
      <c r="R410" s="3"/>
      <c r="S410" s="3">
        <v>24000.0</v>
      </c>
      <c r="T410" s="3" t="s">
        <v>37</v>
      </c>
      <c r="U410" s="3">
        <v>24000.0</v>
      </c>
      <c r="V410" s="5">
        <f>(DATE(2026,2,3)-'RICE_Insured Farms_with PPI Pol'!$G410)+IF('RICE_Insured Farms_with PPI Pol'!$H410&lt;&gt;'RICE_Insured Farms_with PPI Pol'!$G410,18,0)</f>
        <v>53</v>
      </c>
      <c r="W410" s="3" t="str">
        <f t="array" ref="W410">IFS(V410&gt;120, "Harvested", V410&gt;=113, "Yellow Ripening", V410&gt;=101, "Dough Stage", V410&gt;=93, "Milking Stage", V410&gt;=86, "Flowering", V410&gt;=56, "Panicle Initiation/Booting", V410&lt;56, "Vegetative/Tillering")</f>
        <v>Vegetative/Tillering</v>
      </c>
    </row>
    <row r="411" ht="15.75" hidden="1" customHeight="1">
      <c r="A411" s="3">
        <v>410.0</v>
      </c>
      <c r="B411" s="3" t="s">
        <v>23</v>
      </c>
      <c r="C411" s="3" t="s">
        <v>24</v>
      </c>
      <c r="D411" s="3" t="s">
        <v>25</v>
      </c>
      <c r="E411" s="3" t="s">
        <v>781</v>
      </c>
      <c r="F411" s="3">
        <v>1760497.0</v>
      </c>
      <c r="G411" s="4">
        <v>46011.0</v>
      </c>
      <c r="H411" s="4">
        <v>46131.0</v>
      </c>
      <c r="I411" s="3" t="s">
        <v>1349</v>
      </c>
      <c r="J411" s="3" t="s">
        <v>1350</v>
      </c>
      <c r="K411" s="3" t="s">
        <v>1351</v>
      </c>
      <c r="L411" s="3">
        <v>0.9626</v>
      </c>
      <c r="M411" s="3">
        <v>24065.0</v>
      </c>
      <c r="N411" s="3">
        <v>2.0</v>
      </c>
      <c r="O411" s="3">
        <v>113231.0</v>
      </c>
      <c r="P411" s="3" t="s">
        <v>1352</v>
      </c>
      <c r="Q411" s="3">
        <v>602891.0</v>
      </c>
      <c r="R411" s="3"/>
      <c r="S411" s="3">
        <v>16845.5</v>
      </c>
      <c r="T411" s="3" t="s">
        <v>31</v>
      </c>
      <c r="U411" s="3">
        <v>16845.5</v>
      </c>
      <c r="V411" s="5">
        <f>(DATE(2026,2,3)-'RICE_Insured Farms_with PPI Pol'!$G411)+IF('RICE_Insured Farms_with PPI Pol'!$H411&lt;&gt;'RICE_Insured Farms_with PPI Pol'!$G411,18,0)</f>
        <v>63</v>
      </c>
      <c r="W411" s="3" t="str">
        <f t="array" ref="W411">IFS(V411&gt;120, "Harvested", V411&gt;=113, "Yellow Ripening", V411&gt;=101, "Dough Stage", V411&gt;=93, "Milking Stage", V411&gt;=86, "Flowering", V411&gt;=56, "Panicle Initiation/Booting", V411&lt;56, "Vegetative/Tillering")</f>
        <v>Panicle Initiation/Booting</v>
      </c>
    </row>
    <row r="412" ht="15.75" customHeight="1">
      <c r="A412" s="3">
        <v>411.0</v>
      </c>
      <c r="B412" s="3" t="s">
        <v>23</v>
      </c>
      <c r="C412" s="3" t="s">
        <v>24</v>
      </c>
      <c r="D412" s="3" t="s">
        <v>25</v>
      </c>
      <c r="E412" s="3" t="s">
        <v>112</v>
      </c>
      <c r="F412" s="3">
        <v>1761028.0</v>
      </c>
      <c r="G412" s="4">
        <v>46021.0</v>
      </c>
      <c r="H412" s="4">
        <v>46118.0</v>
      </c>
      <c r="I412" s="3" t="s">
        <v>1353</v>
      </c>
      <c r="J412" s="3" t="s">
        <v>544</v>
      </c>
      <c r="K412" s="3" t="s">
        <v>1354</v>
      </c>
      <c r="L412" s="3">
        <v>0.5096</v>
      </c>
      <c r="M412" s="3">
        <v>12740.0</v>
      </c>
      <c r="N412" s="3">
        <v>3.0</v>
      </c>
      <c r="O412" s="3">
        <v>310342.0</v>
      </c>
      <c r="P412" s="3"/>
      <c r="Q412" s="3">
        <v>723586.0</v>
      </c>
      <c r="R412" s="3"/>
      <c r="S412" s="3">
        <v>10192.0</v>
      </c>
      <c r="T412" s="3" t="s">
        <v>37</v>
      </c>
      <c r="U412" s="3">
        <v>10192.0</v>
      </c>
      <c r="V412" s="5">
        <f>(DATE(2026,2,3)-'RICE_Insured Farms_with PPI Pol'!$G412)+IF('RICE_Insured Farms_with PPI Pol'!$H412&lt;&gt;'RICE_Insured Farms_with PPI Pol'!$G412,18,0)</f>
        <v>53</v>
      </c>
      <c r="W412" s="3" t="str">
        <f t="array" ref="W412">IFS(V412&gt;120, "Harvested", V412&gt;=113, "Yellow Ripening", V412&gt;=101, "Dough Stage", V412&gt;=93, "Milking Stage", V412&gt;=86, "Flowering", V412&gt;=56, "Panicle Initiation/Booting", V412&lt;56, "Vegetative/Tillering")</f>
        <v>Vegetative/Tillering</v>
      </c>
    </row>
    <row r="413" ht="15.75" hidden="1" customHeight="1">
      <c r="A413" s="3">
        <v>412.0</v>
      </c>
      <c r="B413" s="3" t="s">
        <v>23</v>
      </c>
      <c r="C413" s="3" t="s">
        <v>24</v>
      </c>
      <c r="D413" s="3" t="s">
        <v>25</v>
      </c>
      <c r="E413" s="3" t="s">
        <v>63</v>
      </c>
      <c r="F413" s="3">
        <v>1760477.0</v>
      </c>
      <c r="G413" s="4">
        <v>46011.0</v>
      </c>
      <c r="H413" s="4">
        <v>46131.0</v>
      </c>
      <c r="I413" s="3" t="s">
        <v>1355</v>
      </c>
      <c r="J413" s="3" t="s">
        <v>1356</v>
      </c>
      <c r="K413" s="3" t="s">
        <v>1357</v>
      </c>
      <c r="L413" s="3">
        <v>1.0056</v>
      </c>
      <c r="M413" s="3">
        <v>25140.0</v>
      </c>
      <c r="N413" s="3">
        <v>2.0</v>
      </c>
      <c r="O413" s="3">
        <v>21314.0</v>
      </c>
      <c r="P413" s="3" t="s">
        <v>1358</v>
      </c>
      <c r="Q413" s="3">
        <v>715876.0</v>
      </c>
      <c r="R413" s="3"/>
      <c r="S413" s="3">
        <v>17598.0</v>
      </c>
      <c r="T413" s="3" t="s">
        <v>31</v>
      </c>
      <c r="U413" s="3">
        <v>17598.0</v>
      </c>
      <c r="V413" s="5">
        <f>(DATE(2026,2,3)-'RICE_Insured Farms_with PPI Pol'!$G413)+IF('RICE_Insured Farms_with PPI Pol'!$H413&lt;&gt;'RICE_Insured Farms_with PPI Pol'!$G413,18,0)</f>
        <v>63</v>
      </c>
      <c r="W413" s="3" t="str">
        <f t="array" ref="W413">IFS(V413&gt;120, "Harvested", V413&gt;=113, "Yellow Ripening", V413&gt;=101, "Dough Stage", V413&gt;=93, "Milking Stage", V413&gt;=86, "Flowering", V413&gt;=56, "Panicle Initiation/Booting", V413&lt;56, "Vegetative/Tillering")</f>
        <v>Panicle Initiation/Booting</v>
      </c>
    </row>
    <row r="414" ht="15.75" hidden="1" customHeight="1">
      <c r="A414" s="3">
        <v>548.0</v>
      </c>
      <c r="B414" s="3" t="s">
        <v>23</v>
      </c>
      <c r="C414" s="3" t="s">
        <v>24</v>
      </c>
      <c r="D414" s="3" t="s">
        <v>25</v>
      </c>
      <c r="E414" s="3" t="s">
        <v>1164</v>
      </c>
      <c r="F414" s="3">
        <v>1760491.0</v>
      </c>
      <c r="G414" s="4">
        <v>46013.0</v>
      </c>
      <c r="H414" s="4">
        <v>46109.0</v>
      </c>
      <c r="I414" s="3" t="s">
        <v>1359</v>
      </c>
      <c r="J414" s="3" t="s">
        <v>1360</v>
      </c>
      <c r="K414" s="3" t="s">
        <v>163</v>
      </c>
      <c r="L414" s="3">
        <v>0.3783</v>
      </c>
      <c r="M414" s="3">
        <v>9457.5</v>
      </c>
      <c r="N414" s="3">
        <v>4.0</v>
      </c>
      <c r="O414" s="3">
        <v>325595.0</v>
      </c>
      <c r="P414" s="3" t="s">
        <v>1361</v>
      </c>
      <c r="Q414" s="3">
        <v>1232069.0</v>
      </c>
      <c r="R414" s="3"/>
      <c r="S414" s="3">
        <v>7566.0</v>
      </c>
      <c r="T414" s="3" t="s">
        <v>56</v>
      </c>
      <c r="U414" s="3">
        <v>7566.0</v>
      </c>
      <c r="V414" s="5">
        <f>(DATE(2026,2,3)-'RICE_Insured Farms_with PPI Pol'!$G414)+IF('RICE_Insured Farms_with PPI Pol'!$H414&lt;&gt;'RICE_Insured Farms_with PPI Pol'!$G414,18,0)</f>
        <v>61</v>
      </c>
      <c r="W414" s="3" t="str">
        <f t="array" ref="W414">IFS(V414&gt;120, "Harvested", V414&gt;=113, "Yellow Ripening", V414&gt;=101, "Dough Stage", V414&gt;=93, "Milking Stage", V414&gt;=86, "Flowering", V414&gt;=56, "Panicle Initiation/Booting", V414&lt;56, "Vegetative/Tillering")</f>
        <v>Panicle Initiation/Booting</v>
      </c>
    </row>
    <row r="415" ht="15.75" customHeight="1">
      <c r="A415" s="3">
        <v>414.0</v>
      </c>
      <c r="B415" s="3" t="s">
        <v>23</v>
      </c>
      <c r="C415" s="3" t="s">
        <v>24</v>
      </c>
      <c r="D415" s="3" t="s">
        <v>25</v>
      </c>
      <c r="E415" s="3" t="s">
        <v>63</v>
      </c>
      <c r="F415" s="3">
        <v>1760477.0</v>
      </c>
      <c r="G415" s="4">
        <v>46006.0</v>
      </c>
      <c r="H415" s="4">
        <v>46126.0</v>
      </c>
      <c r="I415" s="3" t="s">
        <v>1362</v>
      </c>
      <c r="J415" s="3" t="s">
        <v>1363</v>
      </c>
      <c r="K415" s="3" t="s">
        <v>968</v>
      </c>
      <c r="L415" s="3">
        <v>1.0369</v>
      </c>
      <c r="M415" s="3">
        <v>25922.5</v>
      </c>
      <c r="N415" s="3">
        <v>3.0</v>
      </c>
      <c r="O415" s="3">
        <v>368393.0</v>
      </c>
      <c r="P415" s="3" t="s">
        <v>1364</v>
      </c>
      <c r="Q415" s="3">
        <v>723044.0</v>
      </c>
      <c r="R415" s="3"/>
      <c r="S415" s="3">
        <v>20738.0</v>
      </c>
      <c r="T415" s="3" t="s">
        <v>37</v>
      </c>
      <c r="U415" s="3">
        <v>20738.0</v>
      </c>
      <c r="V415" s="5">
        <f>(DATE(2026,2,3)-'RICE_Insured Farms_with PPI Pol'!$G415)+IF('RICE_Insured Farms_with PPI Pol'!$H415&lt;&gt;'RICE_Insured Farms_with PPI Pol'!$G415,18,0)</f>
        <v>68</v>
      </c>
      <c r="W415" s="3" t="str">
        <f t="array" ref="W415">IFS(V415&gt;120, "Harvested", V415&gt;=113, "Yellow Ripening", V415&gt;=101, "Dough Stage", V415&gt;=93, "Milking Stage", V415&gt;=86, "Flowering", V415&gt;=56, "Panicle Initiation/Booting", V415&lt;56, "Vegetative/Tillering")</f>
        <v>Panicle Initiation/Booting</v>
      </c>
    </row>
    <row r="416" ht="15.75" customHeight="1">
      <c r="A416" s="3">
        <v>415.0</v>
      </c>
      <c r="B416" s="3" t="s">
        <v>23</v>
      </c>
      <c r="C416" s="3" t="s">
        <v>24</v>
      </c>
      <c r="D416" s="3" t="s">
        <v>25</v>
      </c>
      <c r="E416" s="3" t="s">
        <v>63</v>
      </c>
      <c r="F416" s="3">
        <v>1760477.0</v>
      </c>
      <c r="G416" s="4">
        <v>46003.0</v>
      </c>
      <c r="H416" s="4">
        <v>46123.0</v>
      </c>
      <c r="I416" s="3" t="s">
        <v>1362</v>
      </c>
      <c r="J416" s="3" t="s">
        <v>1365</v>
      </c>
      <c r="K416" s="3" t="s">
        <v>1366</v>
      </c>
      <c r="L416" s="3">
        <v>1.9462</v>
      </c>
      <c r="M416" s="3">
        <v>48655.0</v>
      </c>
      <c r="N416" s="3">
        <v>3.0</v>
      </c>
      <c r="O416" s="3">
        <v>121577.0</v>
      </c>
      <c r="P416" s="3" t="s">
        <v>1367</v>
      </c>
      <c r="Q416" s="3">
        <v>723047.0</v>
      </c>
      <c r="R416" s="3"/>
      <c r="S416" s="3">
        <v>38924.0</v>
      </c>
      <c r="T416" s="3" t="s">
        <v>37</v>
      </c>
      <c r="U416" s="3">
        <v>38924.0</v>
      </c>
      <c r="V416" s="5">
        <f>(DATE(2026,2,3)-'RICE_Insured Farms_with PPI Pol'!$G416)+IF('RICE_Insured Farms_with PPI Pol'!$H416&lt;&gt;'RICE_Insured Farms_with PPI Pol'!$G416,18,0)</f>
        <v>71</v>
      </c>
      <c r="W416" s="3" t="str">
        <f t="array" ref="W416">IFS(V416&gt;120, "Harvested", V416&gt;=113, "Yellow Ripening", V416&gt;=101, "Dough Stage", V416&gt;=93, "Milking Stage", V416&gt;=86, "Flowering", V416&gt;=56, "Panicle Initiation/Booting", V416&lt;56, "Vegetative/Tillering")</f>
        <v>Panicle Initiation/Booting</v>
      </c>
    </row>
    <row r="417" ht="15.75" hidden="1" customHeight="1">
      <c r="A417" s="3">
        <v>416.0</v>
      </c>
      <c r="B417" s="3" t="s">
        <v>23</v>
      </c>
      <c r="C417" s="3" t="s">
        <v>121</v>
      </c>
      <c r="D417" s="3" t="s">
        <v>1368</v>
      </c>
      <c r="E417" s="3" t="s">
        <v>1369</v>
      </c>
      <c r="F417" s="3">
        <v>1742653.0</v>
      </c>
      <c r="G417" s="4">
        <v>46029.0</v>
      </c>
      <c r="H417" s="4">
        <v>46149.0</v>
      </c>
      <c r="I417" s="3" t="s">
        <v>1370</v>
      </c>
      <c r="J417" s="3" t="s">
        <v>1371</v>
      </c>
      <c r="K417" s="3" t="s">
        <v>1372</v>
      </c>
      <c r="L417" s="3">
        <v>1.1353</v>
      </c>
      <c r="M417" s="3">
        <v>28382.5</v>
      </c>
      <c r="N417" s="3">
        <v>1.0</v>
      </c>
      <c r="O417" s="3">
        <v>166190.0</v>
      </c>
      <c r="P417" s="3" t="s">
        <v>1373</v>
      </c>
      <c r="Q417" s="3">
        <v>875853.0</v>
      </c>
      <c r="R417" s="3"/>
      <c r="S417" s="3">
        <v>17029.5</v>
      </c>
      <c r="T417" s="3" t="s">
        <v>62</v>
      </c>
      <c r="U417" s="3">
        <v>17029.5</v>
      </c>
      <c r="V417" s="5">
        <f>(DATE(2026,2,3)-'RICE_Insured Farms_with PPI Pol'!$G417)+IF('RICE_Insured Farms_with PPI Pol'!$H417&lt;&gt;'RICE_Insured Farms_with PPI Pol'!$G417,18,0)</f>
        <v>45</v>
      </c>
      <c r="W417" s="3" t="str">
        <f t="array" ref="W417">IFS(V417&gt;120, "Harvested", V417&gt;=113, "Yellow Ripening", V417&gt;=101, "Dough Stage", V417&gt;=93, "Milking Stage", V417&gt;=86, "Flowering", V417&gt;=56, "Panicle Initiation/Booting", V417&lt;56, "Vegetative/Tillering")</f>
        <v>Vegetative/Tillering</v>
      </c>
    </row>
    <row r="418" ht="15.75" hidden="1" customHeight="1">
      <c r="A418" s="3">
        <v>550.0</v>
      </c>
      <c r="B418" s="3" t="s">
        <v>23</v>
      </c>
      <c r="C418" s="3" t="s">
        <v>24</v>
      </c>
      <c r="D418" s="3" t="s">
        <v>25</v>
      </c>
      <c r="E418" s="3" t="s">
        <v>1374</v>
      </c>
      <c r="F418" s="3">
        <v>1760463.0</v>
      </c>
      <c r="G418" s="4">
        <v>46006.0</v>
      </c>
      <c r="H418" s="4">
        <v>46101.0</v>
      </c>
      <c r="I418" s="3" t="s">
        <v>1375</v>
      </c>
      <c r="J418" s="3" t="s">
        <v>259</v>
      </c>
      <c r="K418" s="3" t="s">
        <v>1376</v>
      </c>
      <c r="L418" s="3">
        <v>2.0</v>
      </c>
      <c r="M418" s="3">
        <v>50000.0</v>
      </c>
      <c r="N418" s="3">
        <v>5.0</v>
      </c>
      <c r="O418" s="3">
        <v>87172.0</v>
      </c>
      <c r="P418" s="3" t="s">
        <v>1377</v>
      </c>
      <c r="Q418" s="3">
        <v>1034013.0</v>
      </c>
      <c r="R418" s="3"/>
      <c r="S418" s="3">
        <v>45000.0</v>
      </c>
      <c r="T418" s="3" t="s">
        <v>1002</v>
      </c>
      <c r="U418" s="3">
        <v>45000.0</v>
      </c>
      <c r="V418" s="5">
        <f>(DATE(2026,2,3)-'RICE_Insured Farms_with PPI Pol'!$G418)+IF('RICE_Insured Farms_with PPI Pol'!$H418&lt;&gt;'RICE_Insured Farms_with PPI Pol'!$G418,18,0)</f>
        <v>68</v>
      </c>
      <c r="W418" s="3" t="str">
        <f t="array" ref="W418">IFS(V418&gt;120, "Harvested", V418&gt;=113, "Yellow Ripening", V418&gt;=101, "Dough Stage", V418&gt;=93, "Milking Stage", V418&gt;=86, "Flowering", V418&gt;=56, "Panicle Initiation/Booting", V418&lt;56, "Vegetative/Tillering")</f>
        <v>Panicle Initiation/Booting</v>
      </c>
    </row>
    <row r="419" ht="15.75" hidden="1" customHeight="1">
      <c r="A419" s="3">
        <v>556.0</v>
      </c>
      <c r="B419" s="3" t="s">
        <v>1213</v>
      </c>
      <c r="C419" s="3" t="s">
        <v>24</v>
      </c>
      <c r="D419" s="3" t="s">
        <v>25</v>
      </c>
      <c r="E419" s="3" t="s">
        <v>674</v>
      </c>
      <c r="F419" s="3">
        <v>1760484.0</v>
      </c>
      <c r="G419" s="4">
        <v>46007.0</v>
      </c>
      <c r="H419" s="4">
        <v>46102.0</v>
      </c>
      <c r="I419" s="3" t="s">
        <v>1378</v>
      </c>
      <c r="J419" s="3" t="s">
        <v>1379</v>
      </c>
      <c r="K419" s="3" t="s">
        <v>394</v>
      </c>
      <c r="L419" s="3">
        <v>2.6669</v>
      </c>
      <c r="M419" s="3">
        <v>120000.0</v>
      </c>
      <c r="N419" s="3">
        <v>4.0</v>
      </c>
      <c r="O419" s="3">
        <v>170895.0</v>
      </c>
      <c r="P419" s="3" t="s">
        <v>1380</v>
      </c>
      <c r="Q419" s="3">
        <v>1199086.0</v>
      </c>
      <c r="R419" s="3"/>
      <c r="S419" s="3">
        <v>96000.0</v>
      </c>
      <c r="T419" s="3" t="s">
        <v>56</v>
      </c>
      <c r="U419" s="3">
        <v>96000.0</v>
      </c>
      <c r="V419" s="5">
        <f>(DATE(2026,2,3)-'RICE_Insured Farms_with PPI Pol'!$G419)+IF('RICE_Insured Farms_with PPI Pol'!$H419&lt;&gt;'RICE_Insured Farms_with PPI Pol'!$G419,18,0)</f>
        <v>67</v>
      </c>
      <c r="W419" s="3" t="str">
        <f t="array" ref="W419">IFS(V419&gt;120, "Harvested", V419&gt;=113, "Yellow Ripening", V419&gt;=101, "Dough Stage", V419&gt;=93, "Milking Stage", V419&gt;=86, "Flowering", V419&gt;=56, "Panicle Initiation/Booting", V419&lt;56, "Vegetative/Tillering")</f>
        <v>Panicle Initiation/Booting</v>
      </c>
    </row>
    <row r="420" ht="15.75" hidden="1" customHeight="1">
      <c r="A420" s="3">
        <v>419.0</v>
      </c>
      <c r="B420" s="3" t="s">
        <v>23</v>
      </c>
      <c r="C420" s="3" t="s">
        <v>24</v>
      </c>
      <c r="D420" s="3" t="s">
        <v>25</v>
      </c>
      <c r="E420" s="3" t="s">
        <v>781</v>
      </c>
      <c r="F420" s="3">
        <v>1760497.0</v>
      </c>
      <c r="G420" s="4">
        <v>46011.0</v>
      </c>
      <c r="H420" s="4">
        <v>46131.0</v>
      </c>
      <c r="I420" s="3" t="s">
        <v>945</v>
      </c>
      <c r="J420" s="3" t="s">
        <v>1381</v>
      </c>
      <c r="K420" s="3" t="s">
        <v>1351</v>
      </c>
      <c r="L420" s="3">
        <v>1.0912</v>
      </c>
      <c r="M420" s="3">
        <v>27280.0</v>
      </c>
      <c r="N420" s="3">
        <v>2.0</v>
      </c>
      <c r="O420" s="3">
        <v>356297.0</v>
      </c>
      <c r="P420" s="3"/>
      <c r="Q420" s="3">
        <v>693392.0</v>
      </c>
      <c r="R420" s="3"/>
      <c r="S420" s="3">
        <v>19096.0</v>
      </c>
      <c r="T420" s="3" t="s">
        <v>31</v>
      </c>
      <c r="U420" s="3">
        <v>19096.0</v>
      </c>
      <c r="V420" s="5">
        <f>(DATE(2026,2,3)-'RICE_Insured Farms_with PPI Pol'!$G420)+IF('RICE_Insured Farms_with PPI Pol'!$H420&lt;&gt;'RICE_Insured Farms_with PPI Pol'!$G420,18,0)</f>
        <v>63</v>
      </c>
      <c r="W420" s="3" t="str">
        <f t="array" ref="W420">IFS(V420&gt;120, "Harvested", V420&gt;=113, "Yellow Ripening", V420&gt;=101, "Dough Stage", V420&gt;=93, "Milking Stage", V420&gt;=86, "Flowering", V420&gt;=56, "Panicle Initiation/Booting", V420&lt;56, "Vegetative/Tillering")</f>
        <v>Panicle Initiation/Booting</v>
      </c>
    </row>
    <row r="421" ht="15.75" hidden="1" customHeight="1">
      <c r="A421" s="3">
        <v>420.0</v>
      </c>
      <c r="B421" s="3" t="s">
        <v>23</v>
      </c>
      <c r="C421" s="3" t="s">
        <v>24</v>
      </c>
      <c r="D421" s="3" t="s">
        <v>25</v>
      </c>
      <c r="E421" s="3" t="s">
        <v>63</v>
      </c>
      <c r="F421" s="3">
        <v>1760477.0</v>
      </c>
      <c r="G421" s="4">
        <v>46019.0</v>
      </c>
      <c r="H421" s="4">
        <v>46139.0</v>
      </c>
      <c r="I421" s="3" t="s">
        <v>1382</v>
      </c>
      <c r="J421" s="3" t="s">
        <v>1383</v>
      </c>
      <c r="K421" s="3" t="s">
        <v>1384</v>
      </c>
      <c r="L421" s="3">
        <v>0.4845</v>
      </c>
      <c r="M421" s="3">
        <v>12112.5</v>
      </c>
      <c r="N421" s="3">
        <v>2.0</v>
      </c>
      <c r="O421" s="3">
        <v>368398.0</v>
      </c>
      <c r="P421" s="3" t="s">
        <v>1385</v>
      </c>
      <c r="Q421" s="3">
        <v>723052.0</v>
      </c>
      <c r="R421" s="3"/>
      <c r="S421" s="3">
        <v>8478.75</v>
      </c>
      <c r="T421" s="3" t="s">
        <v>31</v>
      </c>
      <c r="U421" s="3">
        <v>8478.75</v>
      </c>
      <c r="V421" s="5">
        <f>(DATE(2026,2,3)-'RICE_Insured Farms_with PPI Pol'!$G421)+IF('RICE_Insured Farms_with PPI Pol'!$H421&lt;&gt;'RICE_Insured Farms_with PPI Pol'!$G421,18,0)</f>
        <v>55</v>
      </c>
      <c r="W421" s="3" t="str">
        <f t="array" ref="W421">IFS(V421&gt;120, "Harvested", V421&gt;=113, "Yellow Ripening", V421&gt;=101, "Dough Stage", V421&gt;=93, "Milking Stage", V421&gt;=86, "Flowering", V421&gt;=56, "Panicle Initiation/Booting", V421&lt;56, "Vegetative/Tillering")</f>
        <v>Vegetative/Tillering</v>
      </c>
    </row>
    <row r="422" ht="15.75" hidden="1" customHeight="1">
      <c r="A422" s="3">
        <v>421.0</v>
      </c>
      <c r="B422" s="3" t="s">
        <v>23</v>
      </c>
      <c r="C422" s="3" t="s">
        <v>24</v>
      </c>
      <c r="D422" s="3" t="s">
        <v>25</v>
      </c>
      <c r="E422" s="3" t="s">
        <v>63</v>
      </c>
      <c r="F422" s="3">
        <v>1760477.0</v>
      </c>
      <c r="G422" s="4">
        <v>46019.0</v>
      </c>
      <c r="H422" s="4">
        <v>46129.0</v>
      </c>
      <c r="I422" s="3" t="s">
        <v>1382</v>
      </c>
      <c r="J422" s="3" t="s">
        <v>1386</v>
      </c>
      <c r="K422" s="3" t="s">
        <v>378</v>
      </c>
      <c r="L422" s="3">
        <v>0.6185</v>
      </c>
      <c r="M422" s="3">
        <v>15462.5</v>
      </c>
      <c r="N422" s="3">
        <v>2.0</v>
      </c>
      <c r="O422" s="3">
        <v>121578.0</v>
      </c>
      <c r="P422" s="3" t="s">
        <v>1387</v>
      </c>
      <c r="Q422" s="3">
        <v>723056.0</v>
      </c>
      <c r="R422" s="3"/>
      <c r="S422" s="3">
        <v>10823.75</v>
      </c>
      <c r="T422" s="3" t="s">
        <v>31</v>
      </c>
      <c r="U422" s="3">
        <v>10823.75</v>
      </c>
      <c r="V422" s="5">
        <f>(DATE(2026,2,3)-'RICE_Insured Farms_with PPI Pol'!$G422)+IF('RICE_Insured Farms_with PPI Pol'!$H422&lt;&gt;'RICE_Insured Farms_with PPI Pol'!$G422,18,0)</f>
        <v>55</v>
      </c>
      <c r="W422" s="3" t="str">
        <f t="array" ref="W422">IFS(V422&gt;120, "Harvested", V422&gt;=113, "Yellow Ripening", V422&gt;=101, "Dough Stage", V422&gt;=93, "Milking Stage", V422&gt;=86, "Flowering", V422&gt;=56, "Panicle Initiation/Booting", V422&lt;56, "Vegetative/Tillering")</f>
        <v>Vegetative/Tillering</v>
      </c>
    </row>
    <row r="423" ht="15.75" customHeight="1">
      <c r="A423" s="3">
        <v>422.0</v>
      </c>
      <c r="B423" s="3" t="s">
        <v>23</v>
      </c>
      <c r="C423" s="3" t="s">
        <v>24</v>
      </c>
      <c r="D423" s="3" t="s">
        <v>25</v>
      </c>
      <c r="E423" s="3" t="s">
        <v>63</v>
      </c>
      <c r="F423" s="3">
        <v>1760477.0</v>
      </c>
      <c r="G423" s="4">
        <v>46003.0</v>
      </c>
      <c r="H423" s="4">
        <v>46123.0</v>
      </c>
      <c r="I423" s="3" t="s">
        <v>1382</v>
      </c>
      <c r="J423" s="3" t="s">
        <v>1388</v>
      </c>
      <c r="K423" s="3" t="s">
        <v>1384</v>
      </c>
      <c r="L423" s="3">
        <v>1.4956</v>
      </c>
      <c r="M423" s="3">
        <v>37390.0</v>
      </c>
      <c r="N423" s="3">
        <v>3.0</v>
      </c>
      <c r="O423" s="3">
        <v>313337.0</v>
      </c>
      <c r="P423" s="3" t="s">
        <v>1389</v>
      </c>
      <c r="Q423" s="3">
        <v>723050.0</v>
      </c>
      <c r="R423" s="3"/>
      <c r="S423" s="3">
        <v>29912.0</v>
      </c>
      <c r="T423" s="3" t="s">
        <v>37</v>
      </c>
      <c r="U423" s="3">
        <v>29912.0</v>
      </c>
      <c r="V423" s="5">
        <f>(DATE(2026,2,3)-'RICE_Insured Farms_with PPI Pol'!$G423)+IF('RICE_Insured Farms_with PPI Pol'!$H423&lt;&gt;'RICE_Insured Farms_with PPI Pol'!$G423,18,0)</f>
        <v>71</v>
      </c>
      <c r="W423" s="3" t="str">
        <f t="array" ref="W423">IFS(V423&gt;120, "Harvested", V423&gt;=113, "Yellow Ripening", V423&gt;=101, "Dough Stage", V423&gt;=93, "Milking Stage", V423&gt;=86, "Flowering", V423&gt;=56, "Panicle Initiation/Booting", V423&lt;56, "Vegetative/Tillering")</f>
        <v>Panicle Initiation/Booting</v>
      </c>
    </row>
    <row r="424" ht="15.75" hidden="1" customHeight="1">
      <c r="A424" s="3">
        <v>423.0</v>
      </c>
      <c r="B424" s="3" t="s">
        <v>23</v>
      </c>
      <c r="C424" s="3" t="s">
        <v>24</v>
      </c>
      <c r="D424" s="3" t="s">
        <v>25</v>
      </c>
      <c r="E424" s="3" t="s">
        <v>63</v>
      </c>
      <c r="F424" s="3">
        <v>1760477.0</v>
      </c>
      <c r="G424" s="4">
        <v>46011.0</v>
      </c>
      <c r="H424" s="4">
        <v>46131.0</v>
      </c>
      <c r="I424" s="3" t="s">
        <v>1390</v>
      </c>
      <c r="J424" s="3" t="s">
        <v>621</v>
      </c>
      <c r="K424" s="3" t="s">
        <v>1391</v>
      </c>
      <c r="L424" s="3">
        <v>1.2835</v>
      </c>
      <c r="M424" s="3">
        <v>32087.5</v>
      </c>
      <c r="N424" s="3">
        <v>2.0</v>
      </c>
      <c r="O424" s="3">
        <v>121574.0</v>
      </c>
      <c r="P424" s="3" t="s">
        <v>1392</v>
      </c>
      <c r="Q424" s="3">
        <v>192422.0</v>
      </c>
      <c r="R424" s="3"/>
      <c r="S424" s="3">
        <v>22461.25</v>
      </c>
      <c r="T424" s="3" t="s">
        <v>31</v>
      </c>
      <c r="U424" s="3">
        <v>22461.25</v>
      </c>
      <c r="V424" s="5">
        <f>(DATE(2026,2,3)-'RICE_Insured Farms_with PPI Pol'!$G424)+IF('RICE_Insured Farms_with PPI Pol'!$H424&lt;&gt;'RICE_Insured Farms_with PPI Pol'!$G424,18,0)</f>
        <v>63</v>
      </c>
      <c r="W424" s="3" t="str">
        <f t="array" ref="W424">IFS(V424&gt;120, "Harvested", V424&gt;=113, "Yellow Ripening", V424&gt;=101, "Dough Stage", V424&gt;=93, "Milking Stage", V424&gt;=86, "Flowering", V424&gt;=56, "Panicle Initiation/Booting", V424&lt;56, "Vegetative/Tillering")</f>
        <v>Panicle Initiation/Booting</v>
      </c>
    </row>
    <row r="425" ht="15.75" hidden="1" customHeight="1">
      <c r="A425" s="3">
        <v>424.0</v>
      </c>
      <c r="B425" s="3" t="s">
        <v>23</v>
      </c>
      <c r="C425" s="3" t="s">
        <v>24</v>
      </c>
      <c r="D425" s="3" t="s">
        <v>25</v>
      </c>
      <c r="E425" s="3" t="s">
        <v>63</v>
      </c>
      <c r="F425" s="3">
        <v>1761018.0</v>
      </c>
      <c r="G425" s="4">
        <v>46017.0</v>
      </c>
      <c r="H425" s="4">
        <v>46137.0</v>
      </c>
      <c r="I425" s="3" t="s">
        <v>1393</v>
      </c>
      <c r="J425" s="3" t="s">
        <v>596</v>
      </c>
      <c r="K425" s="3" t="s">
        <v>1394</v>
      </c>
      <c r="L425" s="3">
        <v>0.8263</v>
      </c>
      <c r="M425" s="3">
        <v>20657.5</v>
      </c>
      <c r="N425" s="3">
        <v>2.0</v>
      </c>
      <c r="O425" s="3">
        <v>129569.0</v>
      </c>
      <c r="P425" s="3"/>
      <c r="Q425" s="3">
        <v>722637.0</v>
      </c>
      <c r="R425" s="3"/>
      <c r="S425" s="3">
        <v>14460.25</v>
      </c>
      <c r="T425" s="3" t="s">
        <v>31</v>
      </c>
      <c r="U425" s="3">
        <v>14460.25</v>
      </c>
      <c r="V425" s="5">
        <f>(DATE(2026,2,3)-'RICE_Insured Farms_with PPI Pol'!$G425)+IF('RICE_Insured Farms_with PPI Pol'!$H425&lt;&gt;'RICE_Insured Farms_with PPI Pol'!$G425,18,0)</f>
        <v>57</v>
      </c>
      <c r="W425" s="3" t="str">
        <f t="array" ref="W425">IFS(V425&gt;120, "Harvested", V425&gt;=113, "Yellow Ripening", V425&gt;=101, "Dough Stage", V425&gt;=93, "Milking Stage", V425&gt;=86, "Flowering", V425&gt;=56, "Panicle Initiation/Booting", V425&lt;56, "Vegetative/Tillering")</f>
        <v>Panicle Initiation/Booting</v>
      </c>
    </row>
    <row r="426" ht="15.75" hidden="1" customHeight="1">
      <c r="A426" s="3">
        <v>594.0</v>
      </c>
      <c r="B426" s="3" t="s">
        <v>23</v>
      </c>
      <c r="C426" s="3" t="s">
        <v>24</v>
      </c>
      <c r="D426" s="3" t="s">
        <v>25</v>
      </c>
      <c r="E426" s="3" t="s">
        <v>1164</v>
      </c>
      <c r="F426" s="3">
        <v>1761008.0</v>
      </c>
      <c r="G426" s="4">
        <v>46017.0</v>
      </c>
      <c r="H426" s="4">
        <v>46109.0</v>
      </c>
      <c r="I426" s="3" t="s">
        <v>1395</v>
      </c>
      <c r="J426" s="3" t="s">
        <v>1396</v>
      </c>
      <c r="K426" s="3" t="s">
        <v>1397</v>
      </c>
      <c r="L426" s="3">
        <v>0.6385</v>
      </c>
      <c r="M426" s="3">
        <v>15962.5</v>
      </c>
      <c r="N426" s="3">
        <v>4.0</v>
      </c>
      <c r="O426" s="3">
        <v>131767.0</v>
      </c>
      <c r="P426" s="3" t="s">
        <v>1398</v>
      </c>
      <c r="Q426" s="3">
        <v>1330247.0</v>
      </c>
      <c r="R426" s="3"/>
      <c r="S426" s="3">
        <v>12770.0</v>
      </c>
      <c r="T426" s="3" t="s">
        <v>56</v>
      </c>
      <c r="U426" s="3">
        <v>12770.0</v>
      </c>
      <c r="V426" s="5">
        <f>(DATE(2026,2,3)-'RICE_Insured Farms_with PPI Pol'!$G426)+IF('RICE_Insured Farms_with PPI Pol'!$H426&lt;&gt;'RICE_Insured Farms_with PPI Pol'!$G426,18,0)</f>
        <v>57</v>
      </c>
      <c r="W426" s="3" t="str">
        <f t="array" ref="W426">IFS(V426&gt;120, "Harvested", V426&gt;=113, "Yellow Ripening", V426&gt;=101, "Dough Stage", V426&gt;=93, "Milking Stage", V426&gt;=86, "Flowering", V426&gt;=56, "Panicle Initiation/Booting", V426&lt;56, "Vegetative/Tillering")</f>
        <v>Panicle Initiation/Booting</v>
      </c>
    </row>
    <row r="427" ht="15.75" hidden="1" customHeight="1">
      <c r="A427" s="3">
        <v>598.0</v>
      </c>
      <c r="B427" s="3" t="s">
        <v>1213</v>
      </c>
      <c r="C427" s="3" t="s">
        <v>24</v>
      </c>
      <c r="D427" s="3" t="s">
        <v>25</v>
      </c>
      <c r="E427" s="3" t="s">
        <v>348</v>
      </c>
      <c r="F427" s="3">
        <v>1760484.0</v>
      </c>
      <c r="G427" s="4">
        <v>46001.0</v>
      </c>
      <c r="H427" s="4">
        <v>46096.0</v>
      </c>
      <c r="I427" s="3" t="s">
        <v>1399</v>
      </c>
      <c r="J427" s="3" t="s">
        <v>1400</v>
      </c>
      <c r="K427" s="3" t="s">
        <v>1401</v>
      </c>
      <c r="L427" s="3">
        <v>1.8476</v>
      </c>
      <c r="M427" s="3">
        <v>80000.0</v>
      </c>
      <c r="N427" s="3">
        <v>5.0</v>
      </c>
      <c r="O427" s="3">
        <v>16816.0</v>
      </c>
      <c r="P427" s="3" t="s">
        <v>1402</v>
      </c>
      <c r="Q427" s="3">
        <v>1044382.0</v>
      </c>
      <c r="R427" s="3"/>
      <c r="S427" s="3">
        <v>72000.0</v>
      </c>
      <c r="T427" s="3" t="s">
        <v>1002</v>
      </c>
      <c r="U427" s="3">
        <v>72000.0</v>
      </c>
      <c r="V427" s="5">
        <f>(DATE(2026,2,3)-'RICE_Insured Farms_with PPI Pol'!$G427)+IF('RICE_Insured Farms_with PPI Pol'!$H427&lt;&gt;'RICE_Insured Farms_with PPI Pol'!$G427,18,0)</f>
        <v>73</v>
      </c>
      <c r="W427" s="3" t="str">
        <f t="array" ref="W427">IFS(V427&gt;120, "Harvested", V427&gt;=113, "Yellow Ripening", V427&gt;=101, "Dough Stage", V427&gt;=93, "Milking Stage", V427&gt;=86, "Flowering", V427&gt;=56, "Panicle Initiation/Booting", V427&lt;56, "Vegetative/Tillering")</f>
        <v>Panicle Initiation/Booting</v>
      </c>
    </row>
    <row r="428" ht="15.75" hidden="1" customHeight="1">
      <c r="A428" s="3">
        <v>427.0</v>
      </c>
      <c r="B428" s="3" t="s">
        <v>23</v>
      </c>
      <c r="C428" s="3" t="s">
        <v>24</v>
      </c>
      <c r="D428" s="3" t="s">
        <v>25</v>
      </c>
      <c r="E428" s="3" t="s">
        <v>637</v>
      </c>
      <c r="F428" s="3">
        <v>1760494.0</v>
      </c>
      <c r="G428" s="4">
        <v>46037.0</v>
      </c>
      <c r="H428" s="4">
        <v>46139.0</v>
      </c>
      <c r="I428" s="3" t="s">
        <v>1403</v>
      </c>
      <c r="J428" s="3" t="s">
        <v>1404</v>
      </c>
      <c r="K428" s="3" t="s">
        <v>1405</v>
      </c>
      <c r="L428" s="3">
        <v>1.4891</v>
      </c>
      <c r="M428" s="3">
        <v>37227.5</v>
      </c>
      <c r="N428" s="3">
        <v>2.0</v>
      </c>
      <c r="O428" s="3">
        <v>298109.0</v>
      </c>
      <c r="P428" s="3"/>
      <c r="Q428" s="3">
        <v>617354.0</v>
      </c>
      <c r="R428" s="3"/>
      <c r="S428" s="3">
        <v>26059.25</v>
      </c>
      <c r="T428" s="3" t="s">
        <v>31</v>
      </c>
      <c r="U428" s="3">
        <v>26059.25</v>
      </c>
      <c r="V428" s="5">
        <f>(DATE(2026,2,3)-'RICE_Insured Farms_with PPI Pol'!$G428)+IF('RICE_Insured Farms_with PPI Pol'!$H428&lt;&gt;'RICE_Insured Farms_with PPI Pol'!$G428,18,0)</f>
        <v>37</v>
      </c>
      <c r="W428" s="3" t="str">
        <f t="array" ref="W428">IFS(V428&gt;120, "Harvested", V428&gt;=113, "Yellow Ripening", V428&gt;=101, "Dough Stage", V428&gt;=93, "Milking Stage", V428&gt;=86, "Flowering", V428&gt;=56, "Panicle Initiation/Booting", V428&lt;56, "Vegetative/Tillering")</f>
        <v>Vegetative/Tillering</v>
      </c>
    </row>
    <row r="429" ht="15.75" customHeight="1">
      <c r="A429" s="3">
        <v>428.0</v>
      </c>
      <c r="B429" s="3" t="s">
        <v>23</v>
      </c>
      <c r="C429" s="3" t="s">
        <v>24</v>
      </c>
      <c r="D429" s="3" t="s">
        <v>25</v>
      </c>
      <c r="E429" s="3" t="s">
        <v>781</v>
      </c>
      <c r="F429" s="3">
        <v>1760497.0</v>
      </c>
      <c r="G429" s="4">
        <v>46017.0</v>
      </c>
      <c r="H429" s="4">
        <v>46112.0</v>
      </c>
      <c r="I429" s="3" t="s">
        <v>1406</v>
      </c>
      <c r="J429" s="3" t="s">
        <v>888</v>
      </c>
      <c r="K429" s="3" t="s">
        <v>1407</v>
      </c>
      <c r="L429" s="3">
        <v>1.3403</v>
      </c>
      <c r="M429" s="3">
        <v>33507.5</v>
      </c>
      <c r="N429" s="3">
        <v>3.0</v>
      </c>
      <c r="O429" s="3">
        <v>231384.0</v>
      </c>
      <c r="P429" s="3"/>
      <c r="Q429" s="3">
        <v>602955.0</v>
      </c>
      <c r="R429" s="3"/>
      <c r="S429" s="3">
        <v>26806.0</v>
      </c>
      <c r="T429" s="3" t="s">
        <v>37</v>
      </c>
      <c r="U429" s="3">
        <v>26806.0</v>
      </c>
      <c r="V429" s="5">
        <f>(DATE(2026,2,3)-'RICE_Insured Farms_with PPI Pol'!$G429)+IF('RICE_Insured Farms_with PPI Pol'!$H429&lt;&gt;'RICE_Insured Farms_with PPI Pol'!$G429,18,0)</f>
        <v>57</v>
      </c>
      <c r="W429" s="3" t="str">
        <f t="array" ref="W429">IFS(V429&gt;120, "Harvested", V429&gt;=113, "Yellow Ripening", V429&gt;=101, "Dough Stage", V429&gt;=93, "Milking Stage", V429&gt;=86, "Flowering", V429&gt;=56, "Panicle Initiation/Booting", V429&lt;56, "Vegetative/Tillering")</f>
        <v>Panicle Initiation/Booting</v>
      </c>
    </row>
    <row r="430" ht="15.75" customHeight="1">
      <c r="A430" s="3">
        <v>429.0</v>
      </c>
      <c r="B430" s="3" t="s">
        <v>23</v>
      </c>
      <c r="C430" s="3" t="s">
        <v>24</v>
      </c>
      <c r="D430" s="3" t="s">
        <v>25</v>
      </c>
      <c r="E430" s="3" t="s">
        <v>781</v>
      </c>
      <c r="F430" s="3">
        <v>1760497.0</v>
      </c>
      <c r="G430" s="4">
        <v>46017.0</v>
      </c>
      <c r="H430" s="4">
        <v>46112.0</v>
      </c>
      <c r="I430" s="3" t="s">
        <v>1408</v>
      </c>
      <c r="J430" s="3" t="s">
        <v>1409</v>
      </c>
      <c r="K430" s="3" t="s">
        <v>1407</v>
      </c>
      <c r="L430" s="3">
        <v>1.0849</v>
      </c>
      <c r="M430" s="3">
        <v>27122.5</v>
      </c>
      <c r="N430" s="3">
        <v>3.0</v>
      </c>
      <c r="O430" s="3">
        <v>231299.0</v>
      </c>
      <c r="P430" s="3" t="s">
        <v>1410</v>
      </c>
      <c r="Q430" s="3">
        <v>603061.0</v>
      </c>
      <c r="R430" s="3"/>
      <c r="S430" s="3">
        <v>21698.0</v>
      </c>
      <c r="T430" s="3" t="s">
        <v>37</v>
      </c>
      <c r="U430" s="3">
        <v>21698.0</v>
      </c>
      <c r="V430" s="5">
        <f>(DATE(2026,2,3)-'RICE_Insured Farms_with PPI Pol'!$G430)+IF('RICE_Insured Farms_with PPI Pol'!$H430&lt;&gt;'RICE_Insured Farms_with PPI Pol'!$G430,18,0)</f>
        <v>57</v>
      </c>
      <c r="W430" s="3" t="str">
        <f t="array" ref="W430">IFS(V430&gt;120, "Harvested", V430&gt;=113, "Yellow Ripening", V430&gt;=101, "Dough Stage", V430&gt;=93, "Milking Stage", V430&gt;=86, "Flowering", V430&gt;=56, "Panicle Initiation/Booting", V430&lt;56, "Vegetative/Tillering")</f>
        <v>Panicle Initiation/Booting</v>
      </c>
    </row>
    <row r="431" ht="15.75" customHeight="1">
      <c r="A431" s="3">
        <v>430.0</v>
      </c>
      <c r="B431" s="3" t="s">
        <v>23</v>
      </c>
      <c r="C431" s="3" t="s">
        <v>24</v>
      </c>
      <c r="D431" s="3" t="s">
        <v>25</v>
      </c>
      <c r="E431" s="3" t="s">
        <v>63</v>
      </c>
      <c r="F431" s="3">
        <v>1760477.0</v>
      </c>
      <c r="G431" s="4">
        <v>46014.0</v>
      </c>
      <c r="H431" s="4">
        <v>46124.0</v>
      </c>
      <c r="I431" s="3" t="s">
        <v>1411</v>
      </c>
      <c r="J431" s="3" t="s">
        <v>1412</v>
      </c>
      <c r="K431" s="3" t="s">
        <v>1413</v>
      </c>
      <c r="L431" s="3">
        <v>0.6905</v>
      </c>
      <c r="M431" s="3">
        <v>17262.5</v>
      </c>
      <c r="N431" s="3">
        <v>3.0</v>
      </c>
      <c r="O431" s="3">
        <v>326090.0</v>
      </c>
      <c r="P431" s="3" t="s">
        <v>1414</v>
      </c>
      <c r="Q431" s="3">
        <v>723038.0</v>
      </c>
      <c r="R431" s="3"/>
      <c r="S431" s="3">
        <v>13810.0</v>
      </c>
      <c r="T431" s="3" t="s">
        <v>37</v>
      </c>
      <c r="U431" s="3">
        <v>13810.0</v>
      </c>
      <c r="V431" s="5">
        <f>(DATE(2026,2,3)-'RICE_Insured Farms_with PPI Pol'!$G431)+IF('RICE_Insured Farms_with PPI Pol'!$H431&lt;&gt;'RICE_Insured Farms_with PPI Pol'!$G431,18,0)</f>
        <v>60</v>
      </c>
      <c r="W431" s="3" t="str">
        <f t="array" ref="W431">IFS(V431&gt;120, "Harvested", V431&gt;=113, "Yellow Ripening", V431&gt;=101, "Dough Stage", V431&gt;=93, "Milking Stage", V431&gt;=86, "Flowering", V431&gt;=56, "Panicle Initiation/Booting", V431&lt;56, "Vegetative/Tillering")</f>
        <v>Panicle Initiation/Booting</v>
      </c>
    </row>
    <row r="432" ht="15.75" hidden="1" customHeight="1">
      <c r="A432" s="3">
        <v>431.0</v>
      </c>
      <c r="B432" s="3" t="s">
        <v>23</v>
      </c>
      <c r="C432" s="3" t="s">
        <v>24</v>
      </c>
      <c r="D432" s="3" t="s">
        <v>25</v>
      </c>
      <c r="E432" s="3" t="s">
        <v>63</v>
      </c>
      <c r="F432" s="3">
        <v>1760477.0</v>
      </c>
      <c r="G432" s="4">
        <v>46013.0</v>
      </c>
      <c r="H432" s="4">
        <v>46133.0</v>
      </c>
      <c r="I432" s="3" t="s">
        <v>1415</v>
      </c>
      <c r="J432" s="3" t="s">
        <v>1416</v>
      </c>
      <c r="K432" s="3" t="s">
        <v>1417</v>
      </c>
      <c r="L432" s="3">
        <v>2.2362</v>
      </c>
      <c r="M432" s="3">
        <v>55905.0</v>
      </c>
      <c r="N432" s="3">
        <v>2.0</v>
      </c>
      <c r="O432" s="3">
        <v>21342.0</v>
      </c>
      <c r="P432" s="3" t="s">
        <v>1418</v>
      </c>
      <c r="Q432" s="3">
        <v>603444.0</v>
      </c>
      <c r="R432" s="3"/>
      <c r="S432" s="3">
        <v>39133.5</v>
      </c>
      <c r="T432" s="3" t="s">
        <v>31</v>
      </c>
      <c r="U432" s="3">
        <v>39133.5</v>
      </c>
      <c r="V432" s="5">
        <f>(DATE(2026,2,3)-'RICE_Insured Farms_with PPI Pol'!$G432)+IF('RICE_Insured Farms_with PPI Pol'!$H432&lt;&gt;'RICE_Insured Farms_with PPI Pol'!$G432,18,0)</f>
        <v>61</v>
      </c>
      <c r="W432" s="3" t="str">
        <f t="array" ref="W432">IFS(V432&gt;120, "Harvested", V432&gt;=113, "Yellow Ripening", V432&gt;=101, "Dough Stage", V432&gt;=93, "Milking Stage", V432&gt;=86, "Flowering", V432&gt;=56, "Panicle Initiation/Booting", V432&lt;56, "Vegetative/Tillering")</f>
        <v>Panicle Initiation/Booting</v>
      </c>
    </row>
    <row r="433" ht="15.75" customHeight="1">
      <c r="A433" s="3">
        <v>432.0</v>
      </c>
      <c r="B433" s="3" t="s">
        <v>23</v>
      </c>
      <c r="C433" s="3" t="s">
        <v>24</v>
      </c>
      <c r="D433" s="3" t="s">
        <v>25</v>
      </c>
      <c r="E433" s="3" t="s">
        <v>63</v>
      </c>
      <c r="F433" s="3">
        <v>1760477.0</v>
      </c>
      <c r="G433" s="4">
        <v>46021.0</v>
      </c>
      <c r="H433" s="4">
        <v>46121.0</v>
      </c>
      <c r="I433" s="3" t="s">
        <v>1415</v>
      </c>
      <c r="J433" s="3" t="s">
        <v>1419</v>
      </c>
      <c r="K433" s="3" t="s">
        <v>1417</v>
      </c>
      <c r="L433" s="3">
        <v>2.0656</v>
      </c>
      <c r="M433" s="3">
        <v>51640.0</v>
      </c>
      <c r="N433" s="3">
        <v>3.0</v>
      </c>
      <c r="O433" s="3">
        <v>16133.0</v>
      </c>
      <c r="P433" s="3"/>
      <c r="Q433" s="3">
        <v>603459.0</v>
      </c>
      <c r="R433" s="3"/>
      <c r="S433" s="3">
        <v>41312.0</v>
      </c>
      <c r="T433" s="3" t="s">
        <v>37</v>
      </c>
      <c r="U433" s="3">
        <v>41312.0</v>
      </c>
      <c r="V433" s="5">
        <f>(DATE(2026,2,3)-'RICE_Insured Farms_with PPI Pol'!$G433)+IF('RICE_Insured Farms_with PPI Pol'!$H433&lt;&gt;'RICE_Insured Farms_with PPI Pol'!$G433,18,0)</f>
        <v>53</v>
      </c>
      <c r="W433" s="3" t="str">
        <f t="array" ref="W433">IFS(V433&gt;120, "Harvested", V433&gt;=113, "Yellow Ripening", V433&gt;=101, "Dough Stage", V433&gt;=93, "Milking Stage", V433&gt;=86, "Flowering", V433&gt;=56, "Panicle Initiation/Booting", V433&lt;56, "Vegetative/Tillering")</f>
        <v>Vegetative/Tillering</v>
      </c>
    </row>
    <row r="434" ht="15.75" hidden="1" customHeight="1">
      <c r="A434" s="3">
        <v>633.0</v>
      </c>
      <c r="B434" s="3" t="s">
        <v>23</v>
      </c>
      <c r="C434" s="3" t="s">
        <v>24</v>
      </c>
      <c r="D434" s="3" t="s">
        <v>25</v>
      </c>
      <c r="E434" s="3" t="s">
        <v>1164</v>
      </c>
      <c r="F434" s="3">
        <v>1760491.0</v>
      </c>
      <c r="G434" s="4">
        <v>46012.0</v>
      </c>
      <c r="H434" s="4">
        <v>46110.0</v>
      </c>
      <c r="I434" s="3" t="s">
        <v>1420</v>
      </c>
      <c r="J434" s="3" t="s">
        <v>540</v>
      </c>
      <c r="K434" s="3" t="s">
        <v>1421</v>
      </c>
      <c r="L434" s="3">
        <v>0.5893</v>
      </c>
      <c r="M434" s="3">
        <v>14732.5</v>
      </c>
      <c r="N434" s="3">
        <v>4.0</v>
      </c>
      <c r="O434" s="3">
        <v>441219.0</v>
      </c>
      <c r="P434" s="3" t="s">
        <v>1422</v>
      </c>
      <c r="Q434" s="3">
        <v>1149544.0</v>
      </c>
      <c r="R434" s="3"/>
      <c r="S434" s="3">
        <v>11786.0</v>
      </c>
      <c r="T434" s="3" t="s">
        <v>56</v>
      </c>
      <c r="U434" s="3">
        <v>11786.0</v>
      </c>
      <c r="V434" s="5">
        <f>(DATE(2026,2,3)-'RICE_Insured Farms_with PPI Pol'!$G434)+IF('RICE_Insured Farms_with PPI Pol'!$H434&lt;&gt;'RICE_Insured Farms_with PPI Pol'!$G434,18,0)</f>
        <v>62</v>
      </c>
      <c r="W434" s="3" t="str">
        <f t="array" ref="W434">IFS(V434&gt;120, "Harvested", V434&gt;=113, "Yellow Ripening", V434&gt;=101, "Dough Stage", V434&gt;=93, "Milking Stage", V434&gt;=86, "Flowering", V434&gt;=56, "Panicle Initiation/Booting", V434&lt;56, "Vegetative/Tillering")</f>
        <v>Panicle Initiation/Booting</v>
      </c>
    </row>
    <row r="435" ht="15.75" hidden="1" customHeight="1">
      <c r="A435" s="3">
        <v>634.0</v>
      </c>
      <c r="B435" s="3" t="s">
        <v>23</v>
      </c>
      <c r="C435" s="3" t="s">
        <v>24</v>
      </c>
      <c r="D435" s="3" t="s">
        <v>25</v>
      </c>
      <c r="E435" s="3" t="s">
        <v>1164</v>
      </c>
      <c r="F435" s="3">
        <v>1760492.0</v>
      </c>
      <c r="G435" s="4">
        <v>46014.0</v>
      </c>
      <c r="H435" s="4">
        <v>46109.0</v>
      </c>
      <c r="I435" s="3" t="s">
        <v>1420</v>
      </c>
      <c r="J435" s="3" t="s">
        <v>544</v>
      </c>
      <c r="K435" s="3" t="s">
        <v>1423</v>
      </c>
      <c r="L435" s="3">
        <v>0.3</v>
      </c>
      <c r="M435" s="3">
        <v>7500.0</v>
      </c>
      <c r="N435" s="3">
        <v>4.0</v>
      </c>
      <c r="O435" s="3">
        <v>103007.0</v>
      </c>
      <c r="P435" s="3" t="s">
        <v>1424</v>
      </c>
      <c r="Q435" s="3">
        <v>1276853.0</v>
      </c>
      <c r="R435" s="3"/>
      <c r="S435" s="3">
        <v>6000.0</v>
      </c>
      <c r="T435" s="3" t="s">
        <v>56</v>
      </c>
      <c r="U435" s="3">
        <v>6000.0</v>
      </c>
      <c r="V435" s="5">
        <f>(DATE(2026,2,3)-'RICE_Insured Farms_with PPI Pol'!$G435)+IF('RICE_Insured Farms_with PPI Pol'!$H435&lt;&gt;'RICE_Insured Farms_with PPI Pol'!$G435,18,0)</f>
        <v>60</v>
      </c>
      <c r="W435" s="3" t="str">
        <f t="array" ref="W435">IFS(V435&gt;120, "Harvested", V435&gt;=113, "Yellow Ripening", V435&gt;=101, "Dough Stage", V435&gt;=93, "Milking Stage", V435&gt;=86, "Flowering", V435&gt;=56, "Panicle Initiation/Booting", V435&lt;56, "Vegetative/Tillering")</f>
        <v>Panicle Initiation/Booting</v>
      </c>
    </row>
    <row r="436" ht="15.75" customHeight="1">
      <c r="A436" s="3">
        <v>435.0</v>
      </c>
      <c r="B436" s="3" t="s">
        <v>23</v>
      </c>
      <c r="C436" s="3" t="s">
        <v>24</v>
      </c>
      <c r="D436" s="3" t="s">
        <v>25</v>
      </c>
      <c r="E436" s="3" t="s">
        <v>112</v>
      </c>
      <c r="F436" s="3">
        <v>1761019.0</v>
      </c>
      <c r="G436" s="4">
        <v>46021.0</v>
      </c>
      <c r="H436" s="4">
        <v>46116.0</v>
      </c>
      <c r="I436" s="3" t="s">
        <v>1328</v>
      </c>
      <c r="J436" s="3" t="s">
        <v>1425</v>
      </c>
      <c r="K436" s="3" t="s">
        <v>1426</v>
      </c>
      <c r="L436" s="3">
        <v>1.8624</v>
      </c>
      <c r="M436" s="3">
        <v>46560.0</v>
      </c>
      <c r="N436" s="3">
        <v>3.0</v>
      </c>
      <c r="O436" s="3">
        <v>161078.0</v>
      </c>
      <c r="P436" s="3" t="s">
        <v>1427</v>
      </c>
      <c r="Q436" s="3">
        <v>723576.0</v>
      </c>
      <c r="R436" s="3"/>
      <c r="S436" s="3">
        <v>37248.0</v>
      </c>
      <c r="T436" s="3" t="s">
        <v>37</v>
      </c>
      <c r="U436" s="3">
        <v>37248.0</v>
      </c>
      <c r="V436" s="5">
        <f>(DATE(2026,2,3)-'RICE_Insured Farms_with PPI Pol'!$G436)+IF('RICE_Insured Farms_with PPI Pol'!$H436&lt;&gt;'RICE_Insured Farms_with PPI Pol'!$G436,18,0)</f>
        <v>53</v>
      </c>
      <c r="W436" s="3" t="str">
        <f t="array" ref="W436">IFS(V436&gt;120, "Harvested", V436&gt;=113, "Yellow Ripening", V436&gt;=101, "Dough Stage", V436&gt;=93, "Milking Stage", V436&gt;=86, "Flowering", V436&gt;=56, "Panicle Initiation/Booting", V436&lt;56, "Vegetative/Tillering")</f>
        <v>Vegetative/Tillering</v>
      </c>
    </row>
    <row r="437" ht="15.75" hidden="1" customHeight="1">
      <c r="A437" s="3">
        <v>436.0</v>
      </c>
      <c r="B437" s="3" t="s">
        <v>23</v>
      </c>
      <c r="C437" s="3" t="s">
        <v>24</v>
      </c>
      <c r="D437" s="3" t="s">
        <v>25</v>
      </c>
      <c r="E437" s="3" t="s">
        <v>63</v>
      </c>
      <c r="F437" s="3">
        <v>1760477.0</v>
      </c>
      <c r="G437" s="4">
        <v>46011.0</v>
      </c>
      <c r="H437" s="4">
        <v>46131.0</v>
      </c>
      <c r="I437" s="3" t="s">
        <v>1428</v>
      </c>
      <c r="J437" s="3" t="s">
        <v>1429</v>
      </c>
      <c r="K437" s="3" t="s">
        <v>1430</v>
      </c>
      <c r="L437" s="3">
        <v>1.3071</v>
      </c>
      <c r="M437" s="3">
        <v>32677.5</v>
      </c>
      <c r="N437" s="3">
        <v>2.0</v>
      </c>
      <c r="O437" s="3">
        <v>121573.0</v>
      </c>
      <c r="P437" s="3" t="s">
        <v>1431</v>
      </c>
      <c r="Q437" s="3">
        <v>192421.0</v>
      </c>
      <c r="R437" s="3"/>
      <c r="S437" s="3">
        <v>22874.25</v>
      </c>
      <c r="T437" s="3" t="s">
        <v>31</v>
      </c>
      <c r="U437" s="3">
        <v>22874.25</v>
      </c>
      <c r="V437" s="5">
        <f>(DATE(2026,2,3)-'RICE_Insured Farms_with PPI Pol'!$G437)+IF('RICE_Insured Farms_with PPI Pol'!$H437&lt;&gt;'RICE_Insured Farms_with PPI Pol'!$G437,18,0)</f>
        <v>63</v>
      </c>
      <c r="W437" s="3" t="str">
        <f t="array" ref="W437">IFS(V437&gt;120, "Harvested", V437&gt;=113, "Yellow Ripening", V437&gt;=101, "Dough Stage", V437&gt;=93, "Milking Stage", V437&gt;=86, "Flowering", V437&gt;=56, "Panicle Initiation/Booting", V437&lt;56, "Vegetative/Tillering")</f>
        <v>Panicle Initiation/Booting</v>
      </c>
    </row>
    <row r="438" ht="15.75" customHeight="1">
      <c r="A438" s="3">
        <v>437.0</v>
      </c>
      <c r="B438" s="3" t="s">
        <v>23</v>
      </c>
      <c r="C438" s="3" t="s">
        <v>24</v>
      </c>
      <c r="D438" s="3" t="s">
        <v>25</v>
      </c>
      <c r="E438" s="3" t="s">
        <v>781</v>
      </c>
      <c r="F438" s="3">
        <v>1760497.0</v>
      </c>
      <c r="G438" s="4">
        <v>46020.0</v>
      </c>
      <c r="H438" s="4">
        <v>46115.0</v>
      </c>
      <c r="I438" s="3" t="s">
        <v>1432</v>
      </c>
      <c r="J438" s="3" t="s">
        <v>1433</v>
      </c>
      <c r="K438" s="3" t="s">
        <v>1434</v>
      </c>
      <c r="L438" s="3">
        <v>1.176</v>
      </c>
      <c r="M438" s="3">
        <v>29400.0</v>
      </c>
      <c r="N438" s="3">
        <v>3.0</v>
      </c>
      <c r="O438" s="3">
        <v>109524.0</v>
      </c>
      <c r="P438" s="3" t="s">
        <v>1435</v>
      </c>
      <c r="Q438" s="3">
        <v>548778.0</v>
      </c>
      <c r="R438" s="3"/>
      <c r="S438" s="3">
        <v>23520.0</v>
      </c>
      <c r="T438" s="3" t="s">
        <v>37</v>
      </c>
      <c r="U438" s="3">
        <v>23520.0</v>
      </c>
      <c r="V438" s="5">
        <f>(DATE(2026,2,3)-'RICE_Insured Farms_with PPI Pol'!$G438)+IF('RICE_Insured Farms_with PPI Pol'!$H438&lt;&gt;'RICE_Insured Farms_with PPI Pol'!$G438,18,0)</f>
        <v>54</v>
      </c>
      <c r="W438" s="3" t="str">
        <f t="array" ref="W438">IFS(V438&gt;120, "Harvested", V438&gt;=113, "Yellow Ripening", V438&gt;=101, "Dough Stage", V438&gt;=93, "Milking Stage", V438&gt;=86, "Flowering", V438&gt;=56, "Panicle Initiation/Booting", V438&lt;56, "Vegetative/Tillering")</f>
        <v>Vegetative/Tillering</v>
      </c>
    </row>
    <row r="439" ht="15.75" customHeight="1">
      <c r="A439" s="3">
        <v>438.0</v>
      </c>
      <c r="B439" s="3" t="s">
        <v>23</v>
      </c>
      <c r="C439" s="3" t="s">
        <v>24</v>
      </c>
      <c r="D439" s="3" t="s">
        <v>25</v>
      </c>
      <c r="E439" s="3" t="s">
        <v>781</v>
      </c>
      <c r="F439" s="3">
        <v>1760497.0</v>
      </c>
      <c r="G439" s="4">
        <v>46019.0</v>
      </c>
      <c r="H439" s="4">
        <v>46114.0</v>
      </c>
      <c r="I439" s="3" t="s">
        <v>1432</v>
      </c>
      <c r="J439" s="3" t="s">
        <v>1436</v>
      </c>
      <c r="K439" s="3" t="s">
        <v>1437</v>
      </c>
      <c r="L439" s="3">
        <v>1.4566</v>
      </c>
      <c r="M439" s="3">
        <v>36415.0</v>
      </c>
      <c r="N439" s="3">
        <v>3.0</v>
      </c>
      <c r="O439" s="3">
        <v>231378.0</v>
      </c>
      <c r="P439" s="3" t="s">
        <v>1438</v>
      </c>
      <c r="Q439" s="3">
        <v>688325.0</v>
      </c>
      <c r="R439" s="3"/>
      <c r="S439" s="3">
        <v>29132.0</v>
      </c>
      <c r="T439" s="3" t="s">
        <v>37</v>
      </c>
      <c r="U439" s="3">
        <v>29132.0</v>
      </c>
      <c r="V439" s="5">
        <f>(DATE(2026,2,3)-'RICE_Insured Farms_with PPI Pol'!$G439)+IF('RICE_Insured Farms_with PPI Pol'!$H439&lt;&gt;'RICE_Insured Farms_with PPI Pol'!$G439,18,0)</f>
        <v>55</v>
      </c>
      <c r="W439" s="3" t="str">
        <f t="array" ref="W439">IFS(V439&gt;120, "Harvested", V439&gt;=113, "Yellow Ripening", V439&gt;=101, "Dough Stage", V439&gt;=93, "Milking Stage", V439&gt;=86, "Flowering", V439&gt;=56, "Panicle Initiation/Booting", V439&lt;56, "Vegetative/Tillering")</f>
        <v>Vegetative/Tillering</v>
      </c>
    </row>
    <row r="440" ht="15.75" customHeight="1">
      <c r="A440" s="3">
        <v>439.0</v>
      </c>
      <c r="B440" s="3" t="s">
        <v>23</v>
      </c>
      <c r="C440" s="3" t="s">
        <v>24</v>
      </c>
      <c r="D440" s="3" t="s">
        <v>25</v>
      </c>
      <c r="E440" s="3" t="s">
        <v>781</v>
      </c>
      <c r="F440" s="3">
        <v>1760497.0</v>
      </c>
      <c r="G440" s="4">
        <v>46019.0</v>
      </c>
      <c r="H440" s="4">
        <v>46114.0</v>
      </c>
      <c r="I440" s="3" t="s">
        <v>1432</v>
      </c>
      <c r="J440" s="3" t="s">
        <v>1439</v>
      </c>
      <c r="K440" s="3" t="s">
        <v>1440</v>
      </c>
      <c r="L440" s="3">
        <v>0.9359</v>
      </c>
      <c r="M440" s="3">
        <v>23397.5</v>
      </c>
      <c r="N440" s="3">
        <v>3.0</v>
      </c>
      <c r="O440" s="3">
        <v>321100.0</v>
      </c>
      <c r="P440" s="3"/>
      <c r="Q440" s="3">
        <v>686810.0</v>
      </c>
      <c r="R440" s="3"/>
      <c r="S440" s="3">
        <v>18718.0</v>
      </c>
      <c r="T440" s="3" t="s">
        <v>37</v>
      </c>
      <c r="U440" s="3">
        <v>18718.0</v>
      </c>
      <c r="V440" s="5">
        <f>(DATE(2026,2,3)-'RICE_Insured Farms_with PPI Pol'!$G440)+IF('RICE_Insured Farms_with PPI Pol'!$H440&lt;&gt;'RICE_Insured Farms_with PPI Pol'!$G440,18,0)</f>
        <v>55</v>
      </c>
      <c r="W440" s="3" t="str">
        <f t="array" ref="W440">IFS(V440&gt;120, "Harvested", V440&gt;=113, "Yellow Ripening", V440&gt;=101, "Dough Stage", V440&gt;=93, "Milking Stage", V440&gt;=86, "Flowering", V440&gt;=56, "Panicle Initiation/Booting", V440&lt;56, "Vegetative/Tillering")</f>
        <v>Vegetative/Tillering</v>
      </c>
    </row>
    <row r="441" ht="15.75" hidden="1" customHeight="1">
      <c r="A441" s="3">
        <v>440.0</v>
      </c>
      <c r="B441" s="3" t="s">
        <v>23</v>
      </c>
      <c r="C441" s="3" t="s">
        <v>68</v>
      </c>
      <c r="D441" s="3" t="s">
        <v>289</v>
      </c>
      <c r="E441" s="3" t="s">
        <v>743</v>
      </c>
      <c r="F441" s="3">
        <v>1760047.0</v>
      </c>
      <c r="G441" s="4">
        <v>46034.0</v>
      </c>
      <c r="H441" s="4">
        <v>46136.0</v>
      </c>
      <c r="I441" s="3" t="s">
        <v>1441</v>
      </c>
      <c r="J441" s="3" t="s">
        <v>1442</v>
      </c>
      <c r="K441" s="3" t="s">
        <v>1443</v>
      </c>
      <c r="L441" s="3">
        <v>0.4825</v>
      </c>
      <c r="M441" s="3">
        <v>12062.5</v>
      </c>
      <c r="N441" s="3">
        <v>2.0</v>
      </c>
      <c r="O441" s="3">
        <v>48828.0</v>
      </c>
      <c r="P441" s="3" t="s">
        <v>1444</v>
      </c>
      <c r="Q441" s="3">
        <v>1034957.0</v>
      </c>
      <c r="R441" s="3"/>
      <c r="S441" s="3">
        <v>8443.75</v>
      </c>
      <c r="T441" s="3" t="s">
        <v>31</v>
      </c>
      <c r="U441" s="3">
        <v>8443.75</v>
      </c>
      <c r="V441" s="5">
        <f>(DATE(2026,2,3)-'RICE_Insured Farms_with PPI Pol'!$G441)+IF('RICE_Insured Farms_with PPI Pol'!$H441&lt;&gt;'RICE_Insured Farms_with PPI Pol'!$G441,18,0)</f>
        <v>40</v>
      </c>
      <c r="W441" s="3" t="str">
        <f t="array" ref="W441">IFS(V441&gt;120, "Harvested", V441&gt;=113, "Yellow Ripening", V441&gt;=101, "Dough Stage", V441&gt;=93, "Milking Stage", V441&gt;=86, "Flowering", V441&gt;=56, "Panicle Initiation/Booting", V441&lt;56, "Vegetative/Tillering")</f>
        <v>Vegetative/Tillering</v>
      </c>
    </row>
    <row r="442" ht="15.75" hidden="1" customHeight="1">
      <c r="A442" s="3">
        <v>441.0</v>
      </c>
      <c r="B442" s="3" t="s">
        <v>23</v>
      </c>
      <c r="C442" s="3" t="s">
        <v>68</v>
      </c>
      <c r="D442" s="3" t="s">
        <v>289</v>
      </c>
      <c r="E442" s="3" t="s">
        <v>743</v>
      </c>
      <c r="F442" s="3">
        <v>1760047.0</v>
      </c>
      <c r="G442" s="4">
        <v>46034.0</v>
      </c>
      <c r="H442" s="4">
        <v>46136.0</v>
      </c>
      <c r="I442" s="3" t="s">
        <v>1441</v>
      </c>
      <c r="J442" s="3" t="s">
        <v>1442</v>
      </c>
      <c r="K442" s="3" t="s">
        <v>1443</v>
      </c>
      <c r="L442" s="3">
        <v>0.2471</v>
      </c>
      <c r="M442" s="3">
        <v>6177.5</v>
      </c>
      <c r="N442" s="3">
        <v>2.0</v>
      </c>
      <c r="O442" s="3">
        <v>48828.0</v>
      </c>
      <c r="P442" s="3" t="s">
        <v>1444</v>
      </c>
      <c r="Q442" s="3">
        <v>1034960.0</v>
      </c>
      <c r="R442" s="3"/>
      <c r="S442" s="3">
        <v>4324.25</v>
      </c>
      <c r="T442" s="3" t="s">
        <v>31</v>
      </c>
      <c r="U442" s="3">
        <v>4324.25</v>
      </c>
      <c r="V442" s="5">
        <f>(DATE(2026,2,3)-'RICE_Insured Farms_with PPI Pol'!$G442)+IF('RICE_Insured Farms_with PPI Pol'!$H442&lt;&gt;'RICE_Insured Farms_with PPI Pol'!$G442,18,0)</f>
        <v>40</v>
      </c>
      <c r="W442" s="3" t="str">
        <f t="array" ref="W442">IFS(V442&gt;120, "Harvested", V442&gt;=113, "Yellow Ripening", V442&gt;=101, "Dough Stage", V442&gt;=93, "Milking Stage", V442&gt;=86, "Flowering", V442&gt;=56, "Panicle Initiation/Booting", V442&lt;56, "Vegetative/Tillering")</f>
        <v>Vegetative/Tillering</v>
      </c>
    </row>
    <row r="443" ht="15.75" hidden="1" customHeight="1">
      <c r="A443" s="3">
        <v>442.0</v>
      </c>
      <c r="B443" s="3" t="s">
        <v>23</v>
      </c>
      <c r="C443" s="3" t="s">
        <v>68</v>
      </c>
      <c r="D443" s="3" t="s">
        <v>289</v>
      </c>
      <c r="E443" s="3" t="s">
        <v>743</v>
      </c>
      <c r="F443" s="3">
        <v>1760047.0</v>
      </c>
      <c r="G443" s="4">
        <v>46034.0</v>
      </c>
      <c r="H443" s="4">
        <v>46136.0</v>
      </c>
      <c r="I443" s="3" t="s">
        <v>1441</v>
      </c>
      <c r="J443" s="3" t="s">
        <v>1442</v>
      </c>
      <c r="K443" s="3" t="s">
        <v>1443</v>
      </c>
      <c r="L443" s="3">
        <v>0.2009</v>
      </c>
      <c r="M443" s="3">
        <v>5022.5</v>
      </c>
      <c r="N443" s="3">
        <v>2.0</v>
      </c>
      <c r="O443" s="3">
        <v>48828.0</v>
      </c>
      <c r="P443" s="3" t="s">
        <v>1444</v>
      </c>
      <c r="Q443" s="3">
        <v>1034966.0</v>
      </c>
      <c r="R443" s="3"/>
      <c r="S443" s="3">
        <v>3515.75</v>
      </c>
      <c r="T443" s="3" t="s">
        <v>31</v>
      </c>
      <c r="U443" s="3">
        <v>3515.75</v>
      </c>
      <c r="V443" s="5">
        <f>(DATE(2026,2,3)-'RICE_Insured Farms_with PPI Pol'!$G443)+IF('RICE_Insured Farms_with PPI Pol'!$H443&lt;&gt;'RICE_Insured Farms_with PPI Pol'!$G443,18,0)</f>
        <v>40</v>
      </c>
      <c r="W443" s="3" t="str">
        <f t="array" ref="W443">IFS(V443&gt;120, "Harvested", V443&gt;=113, "Yellow Ripening", V443&gt;=101, "Dough Stage", V443&gt;=93, "Milking Stage", V443&gt;=86, "Flowering", V443&gt;=56, "Panicle Initiation/Booting", V443&lt;56, "Vegetative/Tillering")</f>
        <v>Vegetative/Tillering</v>
      </c>
    </row>
    <row r="444" ht="15.75" hidden="1" customHeight="1">
      <c r="A444" s="3">
        <v>443.0</v>
      </c>
      <c r="B444" s="3" t="s">
        <v>23</v>
      </c>
      <c r="C444" s="3" t="s">
        <v>68</v>
      </c>
      <c r="D444" s="3" t="s">
        <v>289</v>
      </c>
      <c r="E444" s="3" t="s">
        <v>743</v>
      </c>
      <c r="F444" s="3">
        <v>1760047.0</v>
      </c>
      <c r="G444" s="4">
        <v>46034.0</v>
      </c>
      <c r="H444" s="4">
        <v>46136.0</v>
      </c>
      <c r="I444" s="3" t="s">
        <v>1441</v>
      </c>
      <c r="J444" s="3" t="s">
        <v>1442</v>
      </c>
      <c r="K444" s="3" t="s">
        <v>1443</v>
      </c>
      <c r="L444" s="3">
        <v>0.25</v>
      </c>
      <c r="M444" s="3">
        <v>6250.0</v>
      </c>
      <c r="N444" s="3">
        <v>2.0</v>
      </c>
      <c r="O444" s="3">
        <v>48828.0</v>
      </c>
      <c r="P444" s="3" t="s">
        <v>1444</v>
      </c>
      <c r="Q444" s="3">
        <v>1034980.0</v>
      </c>
      <c r="R444" s="3"/>
      <c r="S444" s="3">
        <v>4375.0</v>
      </c>
      <c r="T444" s="3" t="s">
        <v>31</v>
      </c>
      <c r="U444" s="3">
        <v>4375.0</v>
      </c>
      <c r="V444" s="5">
        <f>(DATE(2026,2,3)-'RICE_Insured Farms_with PPI Pol'!$G444)+IF('RICE_Insured Farms_with PPI Pol'!$H444&lt;&gt;'RICE_Insured Farms_with PPI Pol'!$G444,18,0)</f>
        <v>40</v>
      </c>
      <c r="W444" s="3" t="str">
        <f t="array" ref="W444">IFS(V444&gt;120, "Harvested", V444&gt;=113, "Yellow Ripening", V444&gt;=101, "Dough Stage", V444&gt;=93, "Milking Stage", V444&gt;=86, "Flowering", V444&gt;=56, "Panicle Initiation/Booting", V444&lt;56, "Vegetative/Tillering")</f>
        <v>Vegetative/Tillering</v>
      </c>
    </row>
    <row r="445" ht="15.75" hidden="1" customHeight="1">
      <c r="A445" s="3">
        <v>650.0</v>
      </c>
      <c r="B445" s="3" t="s">
        <v>23</v>
      </c>
      <c r="C445" s="3" t="s">
        <v>24</v>
      </c>
      <c r="D445" s="3" t="s">
        <v>25</v>
      </c>
      <c r="E445" s="3" t="s">
        <v>32</v>
      </c>
      <c r="F445" s="3">
        <v>1760476.0</v>
      </c>
      <c r="G445" s="4">
        <v>46011.0</v>
      </c>
      <c r="H445" s="4">
        <v>46104.0</v>
      </c>
      <c r="I445" s="3" t="s">
        <v>1445</v>
      </c>
      <c r="J445" s="3" t="s">
        <v>1446</v>
      </c>
      <c r="K445" s="3" t="s">
        <v>515</v>
      </c>
      <c r="L445" s="3">
        <v>0.4313</v>
      </c>
      <c r="M445" s="3">
        <v>10782.5</v>
      </c>
      <c r="N445" s="3">
        <v>4.0</v>
      </c>
      <c r="O445" s="3">
        <v>496305.0</v>
      </c>
      <c r="P445" s="3" t="s">
        <v>1447</v>
      </c>
      <c r="Q445" s="3">
        <v>1276977.0</v>
      </c>
      <c r="R445" s="3"/>
      <c r="S445" s="3">
        <v>8626.0</v>
      </c>
      <c r="T445" s="3" t="s">
        <v>56</v>
      </c>
      <c r="U445" s="3">
        <v>8626.0</v>
      </c>
      <c r="V445" s="5">
        <f>(DATE(2026,2,3)-'RICE_Insured Farms_with PPI Pol'!$G445)+IF('RICE_Insured Farms_with PPI Pol'!$H445&lt;&gt;'RICE_Insured Farms_with PPI Pol'!$G445,18,0)</f>
        <v>63</v>
      </c>
      <c r="W445" s="3" t="str">
        <f t="array" ref="W445">IFS(V445&gt;120, "Harvested", V445&gt;=113, "Yellow Ripening", V445&gt;=101, "Dough Stage", V445&gt;=93, "Milking Stage", V445&gt;=86, "Flowering", V445&gt;=56, "Panicle Initiation/Booting", V445&lt;56, "Vegetative/Tillering")</f>
        <v>Panicle Initiation/Booting</v>
      </c>
    </row>
    <row r="446" ht="15.75" hidden="1" customHeight="1">
      <c r="A446" s="3">
        <v>683.0</v>
      </c>
      <c r="B446" s="3" t="s">
        <v>23</v>
      </c>
      <c r="C446" s="3" t="s">
        <v>24</v>
      </c>
      <c r="D446" s="3" t="s">
        <v>25</v>
      </c>
      <c r="E446" s="3" t="s">
        <v>1374</v>
      </c>
      <c r="F446" s="3">
        <v>1760463.0</v>
      </c>
      <c r="G446" s="4">
        <v>46008.0</v>
      </c>
      <c r="H446" s="4">
        <v>46103.0</v>
      </c>
      <c r="I446" s="3" t="s">
        <v>1448</v>
      </c>
      <c r="J446" s="3" t="s">
        <v>1449</v>
      </c>
      <c r="K446" s="3" t="s">
        <v>1376</v>
      </c>
      <c r="L446" s="3">
        <v>2.0</v>
      </c>
      <c r="M446" s="3">
        <v>50000.0</v>
      </c>
      <c r="N446" s="3">
        <v>4.0</v>
      </c>
      <c r="O446" s="3">
        <v>87173.0</v>
      </c>
      <c r="P446" s="3" t="s">
        <v>1450</v>
      </c>
      <c r="Q446" s="3">
        <v>1133199.0</v>
      </c>
      <c r="R446" s="3"/>
      <c r="S446" s="3">
        <v>40000.0</v>
      </c>
      <c r="T446" s="3" t="s">
        <v>56</v>
      </c>
      <c r="U446" s="3">
        <v>40000.0</v>
      </c>
      <c r="V446" s="5">
        <f>(DATE(2026,2,3)-'RICE_Insured Farms_with PPI Pol'!$G446)+IF('RICE_Insured Farms_with PPI Pol'!$H446&lt;&gt;'RICE_Insured Farms_with PPI Pol'!$G446,18,0)</f>
        <v>66</v>
      </c>
      <c r="W446" s="3" t="str">
        <f t="array" ref="W446">IFS(V446&gt;120, "Harvested", V446&gt;=113, "Yellow Ripening", V446&gt;=101, "Dough Stage", V446&gt;=93, "Milking Stage", V446&gt;=86, "Flowering", V446&gt;=56, "Panicle Initiation/Booting", V446&lt;56, "Vegetative/Tillering")</f>
        <v>Panicle Initiation/Booting</v>
      </c>
    </row>
    <row r="447" ht="15.75" hidden="1" customHeight="1">
      <c r="A447" s="3">
        <v>446.0</v>
      </c>
      <c r="B447" s="3" t="s">
        <v>23</v>
      </c>
      <c r="C447" s="3" t="s">
        <v>68</v>
      </c>
      <c r="D447" s="3" t="s">
        <v>289</v>
      </c>
      <c r="E447" s="3" t="s">
        <v>290</v>
      </c>
      <c r="F447" s="3">
        <v>1760042.0</v>
      </c>
      <c r="G447" s="4">
        <v>46033.0</v>
      </c>
      <c r="H447" s="4">
        <v>46135.0</v>
      </c>
      <c r="I447" s="3" t="s">
        <v>1441</v>
      </c>
      <c r="J447" s="3" t="s">
        <v>1451</v>
      </c>
      <c r="K447" s="3" t="s">
        <v>1047</v>
      </c>
      <c r="L447" s="3">
        <v>1.0425</v>
      </c>
      <c r="M447" s="3">
        <v>26062.5</v>
      </c>
      <c r="N447" s="3">
        <v>2.0</v>
      </c>
      <c r="O447" s="3">
        <v>151037.0</v>
      </c>
      <c r="P447" s="3" t="s">
        <v>1452</v>
      </c>
      <c r="Q447" s="3">
        <v>1147385.0</v>
      </c>
      <c r="R447" s="3"/>
      <c r="S447" s="3">
        <v>18243.75</v>
      </c>
      <c r="T447" s="3" t="s">
        <v>31</v>
      </c>
      <c r="U447" s="3">
        <v>18243.75</v>
      </c>
      <c r="V447" s="5">
        <f>(DATE(2026,2,3)-'RICE_Insured Farms_with PPI Pol'!$G447)+IF('RICE_Insured Farms_with PPI Pol'!$H447&lt;&gt;'RICE_Insured Farms_with PPI Pol'!$G447,18,0)</f>
        <v>41</v>
      </c>
      <c r="W447" s="3" t="str">
        <f t="array" ref="W447">IFS(V447&gt;120, "Harvested", V447&gt;=113, "Yellow Ripening", V447&gt;=101, "Dough Stage", V447&gt;=93, "Milking Stage", V447&gt;=86, "Flowering", V447&gt;=56, "Panicle Initiation/Booting", V447&lt;56, "Vegetative/Tillering")</f>
        <v>Vegetative/Tillering</v>
      </c>
    </row>
    <row r="448" ht="15.75" hidden="1" customHeight="1">
      <c r="A448" s="3">
        <v>447.0</v>
      </c>
      <c r="B448" s="3" t="s">
        <v>23</v>
      </c>
      <c r="C448" s="3" t="s">
        <v>68</v>
      </c>
      <c r="D448" s="3" t="s">
        <v>289</v>
      </c>
      <c r="E448" s="3" t="s">
        <v>290</v>
      </c>
      <c r="F448" s="3">
        <v>1760042.0</v>
      </c>
      <c r="G448" s="4">
        <v>46033.0</v>
      </c>
      <c r="H448" s="4">
        <v>46135.0</v>
      </c>
      <c r="I448" s="3" t="s">
        <v>1441</v>
      </c>
      <c r="J448" s="3" t="s">
        <v>1451</v>
      </c>
      <c r="K448" s="3" t="s">
        <v>1047</v>
      </c>
      <c r="L448" s="3">
        <v>0.3184</v>
      </c>
      <c r="M448" s="3">
        <v>7960.0</v>
      </c>
      <c r="N448" s="3">
        <v>2.0</v>
      </c>
      <c r="O448" s="3">
        <v>151037.0</v>
      </c>
      <c r="P448" s="3" t="s">
        <v>1452</v>
      </c>
      <c r="Q448" s="3">
        <v>1147386.0</v>
      </c>
      <c r="R448" s="3"/>
      <c r="S448" s="3">
        <v>5572.0</v>
      </c>
      <c r="T448" s="3" t="s">
        <v>31</v>
      </c>
      <c r="U448" s="3">
        <v>5572.0</v>
      </c>
      <c r="V448" s="5">
        <f>(DATE(2026,2,3)-'RICE_Insured Farms_with PPI Pol'!$G448)+IF('RICE_Insured Farms_with PPI Pol'!$H448&lt;&gt;'RICE_Insured Farms_with PPI Pol'!$G448,18,0)</f>
        <v>41</v>
      </c>
      <c r="W448" s="3" t="str">
        <f t="array" ref="W448">IFS(V448&gt;120, "Harvested", V448&gt;=113, "Yellow Ripening", V448&gt;=101, "Dough Stage", V448&gt;=93, "Milking Stage", V448&gt;=86, "Flowering", V448&gt;=56, "Panicle Initiation/Booting", V448&lt;56, "Vegetative/Tillering")</f>
        <v>Vegetative/Tillering</v>
      </c>
    </row>
    <row r="449" ht="15.75" hidden="1" customHeight="1">
      <c r="A449" s="3">
        <v>448.0</v>
      </c>
      <c r="B449" s="3" t="s">
        <v>23</v>
      </c>
      <c r="C449" s="3" t="s">
        <v>1453</v>
      </c>
      <c r="D449" s="3" t="s">
        <v>1454</v>
      </c>
      <c r="E449" s="3" t="s">
        <v>1455</v>
      </c>
      <c r="F449" s="3">
        <v>1742042.0</v>
      </c>
      <c r="G449" s="4">
        <v>46025.0</v>
      </c>
      <c r="H449" s="4">
        <v>46127.0</v>
      </c>
      <c r="I449" s="3" t="s">
        <v>1456</v>
      </c>
      <c r="J449" s="3" t="s">
        <v>1457</v>
      </c>
      <c r="K449" s="3" t="s">
        <v>1458</v>
      </c>
      <c r="L449" s="3">
        <v>0.1982</v>
      </c>
      <c r="M449" s="3">
        <v>4955.0</v>
      </c>
      <c r="N449" s="3">
        <v>2.0</v>
      </c>
      <c r="O449" s="3">
        <v>77649.0</v>
      </c>
      <c r="P449" s="3" t="s">
        <v>1459</v>
      </c>
      <c r="Q449" s="3">
        <v>1135712.0</v>
      </c>
      <c r="R449" s="3"/>
      <c r="S449" s="3">
        <v>3468.5</v>
      </c>
      <c r="T449" s="3" t="s">
        <v>31</v>
      </c>
      <c r="U449" s="3">
        <v>3468.5</v>
      </c>
      <c r="V449" s="5">
        <f>(DATE(2026,2,3)-'RICE_Insured Farms_with PPI Pol'!$G449)+IF('RICE_Insured Farms_with PPI Pol'!$H449&lt;&gt;'RICE_Insured Farms_with PPI Pol'!$G449,18,0)</f>
        <v>49</v>
      </c>
      <c r="W449" s="3" t="str">
        <f t="array" ref="W449">IFS(V449&gt;120, "Harvested", V449&gt;=113, "Yellow Ripening", V449&gt;=101, "Dough Stage", V449&gt;=93, "Milking Stage", V449&gt;=86, "Flowering", V449&gt;=56, "Panicle Initiation/Booting", V449&lt;56, "Vegetative/Tillering")</f>
        <v>Vegetative/Tillering</v>
      </c>
    </row>
    <row r="450" ht="15.75" hidden="1" customHeight="1">
      <c r="A450" s="3">
        <v>692.0</v>
      </c>
      <c r="B450" s="3" t="s">
        <v>23</v>
      </c>
      <c r="C450" s="3" t="s">
        <v>24</v>
      </c>
      <c r="D450" s="3" t="s">
        <v>25</v>
      </c>
      <c r="E450" s="3" t="s">
        <v>637</v>
      </c>
      <c r="F450" s="3">
        <v>1760465.0</v>
      </c>
      <c r="G450" s="4">
        <v>46016.0</v>
      </c>
      <c r="H450" s="4">
        <v>46111.0</v>
      </c>
      <c r="I450" s="3" t="s">
        <v>1460</v>
      </c>
      <c r="J450" s="3" t="s">
        <v>1461</v>
      </c>
      <c r="K450" s="3" t="s">
        <v>1462</v>
      </c>
      <c r="L450" s="3">
        <v>2.0</v>
      </c>
      <c r="M450" s="3">
        <v>50000.0</v>
      </c>
      <c r="N450" s="3">
        <v>4.0</v>
      </c>
      <c r="O450" s="3">
        <v>196783.0</v>
      </c>
      <c r="P450" s="3" t="s">
        <v>1463</v>
      </c>
      <c r="Q450" s="3">
        <v>1273079.0</v>
      </c>
      <c r="R450" s="3"/>
      <c r="S450" s="3">
        <v>40000.0</v>
      </c>
      <c r="T450" s="3" t="s">
        <v>56</v>
      </c>
      <c r="U450" s="3">
        <v>40000.0</v>
      </c>
      <c r="V450" s="5">
        <f>(DATE(2026,2,3)-'RICE_Insured Farms_with PPI Pol'!$G450)+IF('RICE_Insured Farms_with PPI Pol'!$H450&lt;&gt;'RICE_Insured Farms_with PPI Pol'!$G450,18,0)</f>
        <v>58</v>
      </c>
      <c r="W450" s="3" t="str">
        <f t="array" ref="W450">IFS(V450&gt;120, "Harvested", V450&gt;=113, "Yellow Ripening", V450&gt;=101, "Dough Stage", V450&gt;=93, "Milking Stage", V450&gt;=86, "Flowering", V450&gt;=56, "Panicle Initiation/Booting", V450&lt;56, "Vegetative/Tillering")</f>
        <v>Panicle Initiation/Booting</v>
      </c>
    </row>
    <row r="451" ht="15.75" customHeight="1">
      <c r="A451" s="3">
        <v>450.0</v>
      </c>
      <c r="B451" s="3" t="s">
        <v>23</v>
      </c>
      <c r="C451" s="3" t="s">
        <v>68</v>
      </c>
      <c r="D451" s="3" t="s">
        <v>289</v>
      </c>
      <c r="E451" s="3" t="s">
        <v>290</v>
      </c>
      <c r="F451" s="3">
        <v>1760032.0</v>
      </c>
      <c r="G451" s="4">
        <v>46021.0</v>
      </c>
      <c r="H451" s="4">
        <v>46123.0</v>
      </c>
      <c r="I451" s="3" t="s">
        <v>1464</v>
      </c>
      <c r="J451" s="3" t="s">
        <v>1465</v>
      </c>
      <c r="K451" s="3" t="s">
        <v>595</v>
      </c>
      <c r="L451" s="3">
        <v>0.2988</v>
      </c>
      <c r="M451" s="3">
        <v>7470.0</v>
      </c>
      <c r="N451" s="3">
        <v>3.0</v>
      </c>
      <c r="O451" s="3">
        <v>195188.0</v>
      </c>
      <c r="P451" s="3" t="s">
        <v>1466</v>
      </c>
      <c r="Q451" s="3">
        <v>1280399.0</v>
      </c>
      <c r="R451" s="3"/>
      <c r="S451" s="3">
        <v>5976.0</v>
      </c>
      <c r="T451" s="3" t="s">
        <v>37</v>
      </c>
      <c r="U451" s="3">
        <v>5976.0</v>
      </c>
      <c r="V451" s="5">
        <f>(DATE(2026,2,3)-'RICE_Insured Farms_with PPI Pol'!$G451)+IF('RICE_Insured Farms_with PPI Pol'!$H451&lt;&gt;'RICE_Insured Farms_with PPI Pol'!$G451,18,0)</f>
        <v>53</v>
      </c>
      <c r="W451" s="3" t="str">
        <f t="array" ref="W451">IFS(V451&gt;120, "Harvested", V451&gt;=113, "Yellow Ripening", V451&gt;=101, "Dough Stage", V451&gt;=93, "Milking Stage", V451&gt;=86, "Flowering", V451&gt;=56, "Panicle Initiation/Booting", V451&lt;56, "Vegetative/Tillering")</f>
        <v>Vegetative/Tillering</v>
      </c>
    </row>
    <row r="452" ht="15.75" hidden="1" customHeight="1">
      <c r="A452" s="3">
        <v>693.0</v>
      </c>
      <c r="B452" s="3" t="s">
        <v>23</v>
      </c>
      <c r="C452" s="3" t="s">
        <v>24</v>
      </c>
      <c r="D452" s="3" t="s">
        <v>25</v>
      </c>
      <c r="E452" s="3" t="s">
        <v>32</v>
      </c>
      <c r="F452" s="3">
        <v>1760476.0</v>
      </c>
      <c r="G452" s="4">
        <v>46017.0</v>
      </c>
      <c r="H452" s="4">
        <v>46107.0</v>
      </c>
      <c r="I452" s="3" t="s">
        <v>99</v>
      </c>
      <c r="J452" s="3" t="s">
        <v>162</v>
      </c>
      <c r="K452" s="3" t="s">
        <v>1467</v>
      </c>
      <c r="L452" s="3">
        <v>0.4305</v>
      </c>
      <c r="M452" s="3">
        <v>10762.5</v>
      </c>
      <c r="N452" s="3">
        <v>4.0</v>
      </c>
      <c r="O452" s="3">
        <v>236229.0</v>
      </c>
      <c r="P452" s="3"/>
      <c r="Q452" s="3">
        <v>1272717.0</v>
      </c>
      <c r="R452" s="3"/>
      <c r="S452" s="3">
        <v>8610.0</v>
      </c>
      <c r="T452" s="3" t="s">
        <v>56</v>
      </c>
      <c r="U452" s="3">
        <v>8610.0</v>
      </c>
      <c r="V452" s="5">
        <f>(DATE(2026,2,3)-'RICE_Insured Farms_with PPI Pol'!$G452)+IF('RICE_Insured Farms_with PPI Pol'!$H452&lt;&gt;'RICE_Insured Farms_with PPI Pol'!$G452,18,0)</f>
        <v>57</v>
      </c>
      <c r="W452" s="3" t="str">
        <f t="array" ref="W452">IFS(V452&gt;120, "Harvested", V452&gt;=113, "Yellow Ripening", V452&gt;=101, "Dough Stage", V452&gt;=93, "Milking Stage", V452&gt;=86, "Flowering", V452&gt;=56, "Panicle Initiation/Booting", V452&lt;56, "Vegetative/Tillering")</f>
        <v>Panicle Initiation/Booting</v>
      </c>
    </row>
    <row r="453" ht="15.75" hidden="1" customHeight="1">
      <c r="A453" s="3">
        <v>452.0</v>
      </c>
      <c r="B453" s="3" t="s">
        <v>23</v>
      </c>
      <c r="C453" s="3" t="s">
        <v>68</v>
      </c>
      <c r="D453" s="3" t="s">
        <v>420</v>
      </c>
      <c r="E453" s="3" t="s">
        <v>421</v>
      </c>
      <c r="F453" s="3">
        <v>1197002.0</v>
      </c>
      <c r="G453" s="4">
        <v>46049.0</v>
      </c>
      <c r="H453" s="4">
        <v>46151.0</v>
      </c>
      <c r="I453" s="3" t="s">
        <v>1468</v>
      </c>
      <c r="J453" s="3" t="s">
        <v>423</v>
      </c>
      <c r="K453" s="3" t="s">
        <v>545</v>
      </c>
      <c r="L453" s="3">
        <v>0.1595</v>
      </c>
      <c r="M453" s="3">
        <v>3987.5</v>
      </c>
      <c r="N453" s="3">
        <v>1.0</v>
      </c>
      <c r="O453" s="3">
        <v>200189.0</v>
      </c>
      <c r="P453" s="3" t="s">
        <v>1469</v>
      </c>
      <c r="Q453" s="3">
        <v>1287694.0</v>
      </c>
      <c r="R453" s="3"/>
      <c r="S453" s="3">
        <v>2392.5</v>
      </c>
      <c r="T453" s="3" t="s">
        <v>62</v>
      </c>
      <c r="U453" s="3">
        <v>2392.5</v>
      </c>
      <c r="V453" s="5">
        <f>(DATE(2026,2,3)-'RICE_Insured Farms_with PPI Pol'!$G453)+IF('RICE_Insured Farms_with PPI Pol'!$H453&lt;&gt;'RICE_Insured Farms_with PPI Pol'!$G453,18,0)</f>
        <v>25</v>
      </c>
      <c r="W453" s="3" t="str">
        <f t="array" ref="W453">IFS(V453&gt;120, "Harvested", V453&gt;=113, "Yellow Ripening", V453&gt;=101, "Dough Stage", V453&gt;=93, "Milking Stage", V453&gt;=86, "Flowering", V453&gt;=56, "Panicle Initiation/Booting", V453&lt;56, "Vegetative/Tillering")</f>
        <v>Vegetative/Tillering</v>
      </c>
    </row>
    <row r="454" ht="15.75" hidden="1" customHeight="1">
      <c r="A454" s="3">
        <v>453.0</v>
      </c>
      <c r="B454" s="3" t="s">
        <v>23</v>
      </c>
      <c r="C454" s="3" t="s">
        <v>68</v>
      </c>
      <c r="D454" s="3" t="s">
        <v>289</v>
      </c>
      <c r="E454" s="3" t="s">
        <v>339</v>
      </c>
      <c r="F454" s="3">
        <v>1760041.0</v>
      </c>
      <c r="G454" s="4">
        <v>46036.0</v>
      </c>
      <c r="H454" s="4">
        <v>46138.0</v>
      </c>
      <c r="I454" s="3" t="s">
        <v>1470</v>
      </c>
      <c r="J454" s="3" t="s">
        <v>1471</v>
      </c>
      <c r="K454" s="3" t="s">
        <v>735</v>
      </c>
      <c r="L454" s="3">
        <v>0.7416</v>
      </c>
      <c r="M454" s="3">
        <v>18540.0</v>
      </c>
      <c r="N454" s="3">
        <v>2.0</v>
      </c>
      <c r="O454" s="3">
        <v>173760.0</v>
      </c>
      <c r="P454" s="3"/>
      <c r="Q454" s="3">
        <v>1284485.0</v>
      </c>
      <c r="R454" s="3"/>
      <c r="S454" s="3">
        <v>12978.0</v>
      </c>
      <c r="T454" s="3" t="s">
        <v>31</v>
      </c>
      <c r="U454" s="3">
        <v>12978.0</v>
      </c>
      <c r="V454" s="5">
        <f>(DATE(2026,2,3)-'RICE_Insured Farms_with PPI Pol'!$G454)+IF('RICE_Insured Farms_with PPI Pol'!$H454&lt;&gt;'RICE_Insured Farms_with PPI Pol'!$G454,18,0)</f>
        <v>38</v>
      </c>
      <c r="W454" s="3" t="str">
        <f t="array" ref="W454">IFS(V454&gt;120, "Harvested", V454&gt;=113, "Yellow Ripening", V454&gt;=101, "Dough Stage", V454&gt;=93, "Milking Stage", V454&gt;=86, "Flowering", V454&gt;=56, "Panicle Initiation/Booting", V454&lt;56, "Vegetative/Tillering")</f>
        <v>Vegetative/Tillering</v>
      </c>
    </row>
    <row r="455" ht="15.75" customHeight="1">
      <c r="A455" s="3">
        <v>454.0</v>
      </c>
      <c r="B455" s="3" t="s">
        <v>23</v>
      </c>
      <c r="C455" s="3" t="s">
        <v>68</v>
      </c>
      <c r="D455" s="3" t="s">
        <v>289</v>
      </c>
      <c r="E455" s="3" t="s">
        <v>702</v>
      </c>
      <c r="F455" s="3">
        <v>1760032.0</v>
      </c>
      <c r="G455" s="4">
        <v>46021.0</v>
      </c>
      <c r="H455" s="4">
        <v>46123.0</v>
      </c>
      <c r="I455" s="3" t="s">
        <v>1470</v>
      </c>
      <c r="J455" s="3" t="s">
        <v>1472</v>
      </c>
      <c r="K455" s="3" t="s">
        <v>1473</v>
      </c>
      <c r="L455" s="3">
        <v>0.2862</v>
      </c>
      <c r="M455" s="3">
        <v>7155.0</v>
      </c>
      <c r="N455" s="3">
        <v>3.0</v>
      </c>
      <c r="O455" s="3">
        <v>298564.0</v>
      </c>
      <c r="P455" s="3" t="s">
        <v>1474</v>
      </c>
      <c r="Q455" s="3">
        <v>693529.0</v>
      </c>
      <c r="R455" s="3"/>
      <c r="S455" s="3">
        <v>5724.0</v>
      </c>
      <c r="T455" s="3" t="s">
        <v>37</v>
      </c>
      <c r="U455" s="3">
        <v>5724.0</v>
      </c>
      <c r="V455" s="5">
        <f>(DATE(2026,2,3)-'RICE_Insured Farms_with PPI Pol'!$G455)+IF('RICE_Insured Farms_with PPI Pol'!$H455&lt;&gt;'RICE_Insured Farms_with PPI Pol'!$G455,18,0)</f>
        <v>53</v>
      </c>
      <c r="W455" s="3" t="str">
        <f t="array" ref="W455">IFS(V455&gt;120, "Harvested", V455&gt;=113, "Yellow Ripening", V455&gt;=101, "Dough Stage", V455&gt;=93, "Milking Stage", V455&gt;=86, "Flowering", V455&gt;=56, "Panicle Initiation/Booting", V455&lt;56, "Vegetative/Tillering")</f>
        <v>Vegetative/Tillering</v>
      </c>
    </row>
    <row r="456" ht="15.75" hidden="1" customHeight="1">
      <c r="A456" s="3">
        <v>455.0</v>
      </c>
      <c r="B456" s="3" t="s">
        <v>23</v>
      </c>
      <c r="C456" s="3" t="s">
        <v>68</v>
      </c>
      <c r="D456" s="3" t="s">
        <v>289</v>
      </c>
      <c r="E456" s="3" t="s">
        <v>571</v>
      </c>
      <c r="F456" s="3">
        <v>1760033.0</v>
      </c>
      <c r="G456" s="4">
        <v>46032.0</v>
      </c>
      <c r="H456" s="4">
        <v>46134.0</v>
      </c>
      <c r="I456" s="3" t="s">
        <v>1470</v>
      </c>
      <c r="J456" s="3" t="s">
        <v>1475</v>
      </c>
      <c r="K456" s="3" t="s">
        <v>1476</v>
      </c>
      <c r="L456" s="3">
        <v>0.7348</v>
      </c>
      <c r="M456" s="3">
        <v>18370.0</v>
      </c>
      <c r="N456" s="3">
        <v>2.0</v>
      </c>
      <c r="O456" s="3">
        <v>190961.0</v>
      </c>
      <c r="P456" s="3"/>
      <c r="Q456" s="3">
        <v>1041890.0</v>
      </c>
      <c r="R456" s="3"/>
      <c r="S456" s="3">
        <v>12859.0</v>
      </c>
      <c r="T456" s="3" t="s">
        <v>31</v>
      </c>
      <c r="U456" s="3">
        <v>12859.0</v>
      </c>
      <c r="V456" s="5">
        <f>(DATE(2026,2,3)-'RICE_Insured Farms_with PPI Pol'!$G456)+IF('RICE_Insured Farms_with PPI Pol'!$H456&lt;&gt;'RICE_Insured Farms_with PPI Pol'!$G456,18,0)</f>
        <v>42</v>
      </c>
      <c r="W456" s="3" t="str">
        <f t="array" ref="W456">IFS(V456&gt;120, "Harvested", V456&gt;=113, "Yellow Ripening", V456&gt;=101, "Dough Stage", V456&gt;=93, "Milking Stage", V456&gt;=86, "Flowering", V456&gt;=56, "Panicle Initiation/Booting", V456&lt;56, "Vegetative/Tillering")</f>
        <v>Vegetative/Tillering</v>
      </c>
    </row>
    <row r="457" ht="15.75" customHeight="1">
      <c r="A457" s="3">
        <v>456.0</v>
      </c>
      <c r="B457" s="3" t="s">
        <v>23</v>
      </c>
      <c r="C457" s="3" t="s">
        <v>68</v>
      </c>
      <c r="D457" s="3" t="s">
        <v>289</v>
      </c>
      <c r="E457" s="3" t="s">
        <v>685</v>
      </c>
      <c r="F457" s="3">
        <v>1760004.0</v>
      </c>
      <c r="G457" s="4">
        <v>46018.0</v>
      </c>
      <c r="H457" s="4">
        <v>46120.0</v>
      </c>
      <c r="I457" s="3" t="s">
        <v>1477</v>
      </c>
      <c r="J457" s="3" t="s">
        <v>1478</v>
      </c>
      <c r="K457" s="3" t="s">
        <v>1479</v>
      </c>
      <c r="L457" s="3">
        <v>0.5767</v>
      </c>
      <c r="M457" s="3">
        <v>14417.5</v>
      </c>
      <c r="N457" s="3">
        <v>3.0</v>
      </c>
      <c r="O457" s="3">
        <v>193080.0</v>
      </c>
      <c r="P457" s="3" t="s">
        <v>1480</v>
      </c>
      <c r="Q457" s="3">
        <v>619208.0</v>
      </c>
      <c r="R457" s="3"/>
      <c r="S457" s="3">
        <v>11534.0</v>
      </c>
      <c r="T457" s="3" t="s">
        <v>37</v>
      </c>
      <c r="U457" s="3">
        <v>11534.0</v>
      </c>
      <c r="V457" s="5">
        <f>(DATE(2026,2,3)-'RICE_Insured Farms_with PPI Pol'!$G457)+IF('RICE_Insured Farms_with PPI Pol'!$H457&lt;&gt;'RICE_Insured Farms_with PPI Pol'!$G457,18,0)</f>
        <v>56</v>
      </c>
      <c r="W457" s="3" t="str">
        <f t="array" ref="W457">IFS(V457&gt;120, "Harvested", V457&gt;=113, "Yellow Ripening", V457&gt;=101, "Dough Stage", V457&gt;=93, "Milking Stage", V457&gt;=86, "Flowering", V457&gt;=56, "Panicle Initiation/Booting", V457&lt;56, "Vegetative/Tillering")</f>
        <v>Panicle Initiation/Booting</v>
      </c>
    </row>
    <row r="458" ht="15.75" hidden="1" customHeight="1">
      <c r="A458" s="3">
        <v>701.0</v>
      </c>
      <c r="B458" s="3" t="s">
        <v>23</v>
      </c>
      <c r="C458" s="3" t="s">
        <v>24</v>
      </c>
      <c r="D458" s="3" t="s">
        <v>25</v>
      </c>
      <c r="E458" s="3" t="s">
        <v>1164</v>
      </c>
      <c r="F458" s="3">
        <v>1761010.0</v>
      </c>
      <c r="G458" s="4">
        <v>46021.0</v>
      </c>
      <c r="H458" s="4">
        <v>46107.0</v>
      </c>
      <c r="I458" s="3" t="s">
        <v>1481</v>
      </c>
      <c r="J458" s="3" t="s">
        <v>1482</v>
      </c>
      <c r="K458" s="3" t="s">
        <v>613</v>
      </c>
      <c r="L458" s="3">
        <v>0.9957</v>
      </c>
      <c r="M458" s="3">
        <v>24892.5</v>
      </c>
      <c r="N458" s="3">
        <v>4.0</v>
      </c>
      <c r="O458" s="3">
        <v>473231.0</v>
      </c>
      <c r="P458" s="3" t="s">
        <v>1483</v>
      </c>
      <c r="Q458" s="3">
        <v>1113738.0</v>
      </c>
      <c r="R458" s="3"/>
      <c r="S458" s="3">
        <v>19914.0</v>
      </c>
      <c r="T458" s="3" t="s">
        <v>56</v>
      </c>
      <c r="U458" s="3">
        <v>19914.0</v>
      </c>
      <c r="V458" s="5">
        <f>(DATE(2026,2,3)-'RICE_Insured Farms_with PPI Pol'!$G458)+IF('RICE_Insured Farms_with PPI Pol'!$H458&lt;&gt;'RICE_Insured Farms_with PPI Pol'!$G458,18,0)</f>
        <v>53</v>
      </c>
      <c r="W458" s="3" t="str">
        <f t="array" ref="W458">IFS(V458&gt;120, "Harvested", V458&gt;=113, "Yellow Ripening", V458&gt;=101, "Dough Stage", V458&gt;=93, "Milking Stage", V458&gt;=86, "Flowering", V458&gt;=56, "Panicle Initiation/Booting", V458&lt;56, "Vegetative/Tillering")</f>
        <v>Vegetative/Tillering</v>
      </c>
    </row>
    <row r="459" ht="15.75" customHeight="1">
      <c r="A459" s="3">
        <v>458.0</v>
      </c>
      <c r="B459" s="3" t="s">
        <v>23</v>
      </c>
      <c r="C459" s="3" t="s">
        <v>50</v>
      </c>
      <c r="D459" s="3" t="s">
        <v>1484</v>
      </c>
      <c r="E459" s="3" t="s">
        <v>1485</v>
      </c>
      <c r="F459" s="3">
        <v>1741845.0</v>
      </c>
      <c r="G459" s="4">
        <v>46021.0</v>
      </c>
      <c r="H459" s="4">
        <v>46116.0</v>
      </c>
      <c r="I459" s="3" t="s">
        <v>1486</v>
      </c>
      <c r="J459" s="3" t="s">
        <v>1487</v>
      </c>
      <c r="K459" s="3" t="s">
        <v>1488</v>
      </c>
      <c r="L459" s="3">
        <v>0.218</v>
      </c>
      <c r="M459" s="3">
        <v>5450.0</v>
      </c>
      <c r="N459" s="3">
        <v>3.0</v>
      </c>
      <c r="O459" s="3">
        <v>372078.0</v>
      </c>
      <c r="P459" s="3" t="s">
        <v>1489</v>
      </c>
      <c r="Q459" s="3">
        <v>1280866.0</v>
      </c>
      <c r="R459" s="3"/>
      <c r="S459" s="3">
        <v>4360.0</v>
      </c>
      <c r="T459" s="3" t="s">
        <v>37</v>
      </c>
      <c r="U459" s="3">
        <v>4360.0</v>
      </c>
      <c r="V459" s="5">
        <f>(DATE(2026,2,3)-'RICE_Insured Farms_with PPI Pol'!$G459)+IF('RICE_Insured Farms_with PPI Pol'!$H459&lt;&gt;'RICE_Insured Farms_with PPI Pol'!$G459,18,0)</f>
        <v>53</v>
      </c>
      <c r="W459" s="3" t="str">
        <f t="array" ref="W459">IFS(V459&gt;120, "Harvested", V459&gt;=113, "Yellow Ripening", V459&gt;=101, "Dough Stage", V459&gt;=93, "Milking Stage", V459&gt;=86, "Flowering", V459&gt;=56, "Panicle Initiation/Booting", V459&lt;56, "Vegetative/Tillering")</f>
        <v>Vegetative/Tillering</v>
      </c>
    </row>
    <row r="460" ht="15.75" customHeight="1">
      <c r="A460" s="3">
        <v>459.0</v>
      </c>
      <c r="B460" s="3" t="s">
        <v>23</v>
      </c>
      <c r="C460" s="3" t="s">
        <v>50</v>
      </c>
      <c r="D460" s="3" t="s">
        <v>1484</v>
      </c>
      <c r="E460" s="3" t="s">
        <v>1485</v>
      </c>
      <c r="F460" s="3">
        <v>1741845.0</v>
      </c>
      <c r="G460" s="4">
        <v>46021.0</v>
      </c>
      <c r="H460" s="4">
        <v>46116.0</v>
      </c>
      <c r="I460" s="3" t="s">
        <v>1486</v>
      </c>
      <c r="J460" s="3" t="s">
        <v>1487</v>
      </c>
      <c r="K460" s="3" t="s">
        <v>1488</v>
      </c>
      <c r="L460" s="3">
        <v>0.1749</v>
      </c>
      <c r="M460" s="3">
        <v>4372.5</v>
      </c>
      <c r="N460" s="3">
        <v>3.0</v>
      </c>
      <c r="O460" s="3">
        <v>372078.0</v>
      </c>
      <c r="P460" s="3" t="s">
        <v>1489</v>
      </c>
      <c r="Q460" s="3">
        <v>1300586.0</v>
      </c>
      <c r="R460" s="3"/>
      <c r="S460" s="3">
        <v>3498.0</v>
      </c>
      <c r="T460" s="3" t="s">
        <v>37</v>
      </c>
      <c r="U460" s="3">
        <v>3498.0</v>
      </c>
      <c r="V460" s="5">
        <f>(DATE(2026,2,3)-'RICE_Insured Farms_with PPI Pol'!$G460)+IF('RICE_Insured Farms_with PPI Pol'!$H460&lt;&gt;'RICE_Insured Farms_with PPI Pol'!$G460,18,0)</f>
        <v>53</v>
      </c>
      <c r="W460" s="3" t="str">
        <f t="array" ref="W460">IFS(V460&gt;120, "Harvested", V460&gt;=113, "Yellow Ripening", V460&gt;=101, "Dough Stage", V460&gt;=93, "Milking Stage", V460&gt;=86, "Flowering", V460&gt;=56, "Panicle Initiation/Booting", V460&lt;56, "Vegetative/Tillering")</f>
        <v>Vegetative/Tillering</v>
      </c>
    </row>
    <row r="461" ht="15.75" hidden="1" customHeight="1">
      <c r="A461" s="3">
        <v>460.0</v>
      </c>
      <c r="B461" s="3" t="s">
        <v>23</v>
      </c>
      <c r="C461" s="3" t="s">
        <v>68</v>
      </c>
      <c r="D461" s="3" t="s">
        <v>289</v>
      </c>
      <c r="E461" s="3" t="s">
        <v>290</v>
      </c>
      <c r="F461" s="3">
        <v>1760034.0</v>
      </c>
      <c r="G461" s="4">
        <v>46029.0</v>
      </c>
      <c r="H461" s="4">
        <v>46131.0</v>
      </c>
      <c r="I461" s="3" t="s">
        <v>615</v>
      </c>
      <c r="J461" s="3" t="s">
        <v>1457</v>
      </c>
      <c r="K461" s="3" t="s">
        <v>1490</v>
      </c>
      <c r="L461" s="3">
        <v>0.6138</v>
      </c>
      <c r="M461" s="3">
        <v>15345.0</v>
      </c>
      <c r="N461" s="3">
        <v>2.0</v>
      </c>
      <c r="O461" s="3">
        <v>199754.0</v>
      </c>
      <c r="P461" s="3" t="s">
        <v>1491</v>
      </c>
      <c r="Q461" s="3">
        <v>1319617.0</v>
      </c>
      <c r="R461" s="3"/>
      <c r="S461" s="3">
        <v>10741.5</v>
      </c>
      <c r="T461" s="3" t="s">
        <v>31</v>
      </c>
      <c r="U461" s="3">
        <v>10741.5</v>
      </c>
      <c r="V461" s="5">
        <f>(DATE(2026,2,3)-'RICE_Insured Farms_with PPI Pol'!$G461)+IF('RICE_Insured Farms_with PPI Pol'!$H461&lt;&gt;'RICE_Insured Farms_with PPI Pol'!$G461,18,0)</f>
        <v>45</v>
      </c>
      <c r="W461" s="3" t="str">
        <f t="array" ref="W461">IFS(V461&gt;120, "Harvested", V461&gt;=113, "Yellow Ripening", V461&gt;=101, "Dough Stage", V461&gt;=93, "Milking Stage", V461&gt;=86, "Flowering", V461&gt;=56, "Panicle Initiation/Booting", V461&lt;56, "Vegetative/Tillering")</f>
        <v>Vegetative/Tillering</v>
      </c>
    </row>
    <row r="462" ht="15.75" hidden="1" customHeight="1">
      <c r="A462" s="3">
        <v>461.0</v>
      </c>
      <c r="B462" s="3" t="s">
        <v>23</v>
      </c>
      <c r="C462" s="3" t="s">
        <v>121</v>
      </c>
      <c r="D462" s="3" t="s">
        <v>1492</v>
      </c>
      <c r="E462" s="3" t="s">
        <v>1493</v>
      </c>
      <c r="F462" s="3">
        <v>1740661.0</v>
      </c>
      <c r="G462" s="4">
        <v>46034.0</v>
      </c>
      <c r="H462" s="4">
        <v>46129.0</v>
      </c>
      <c r="I462" s="3" t="s">
        <v>1494</v>
      </c>
      <c r="J462" s="3" t="s">
        <v>1495</v>
      </c>
      <c r="K462" s="3" t="s">
        <v>1496</v>
      </c>
      <c r="L462" s="3">
        <v>1.9096</v>
      </c>
      <c r="M462" s="3">
        <v>47740.0</v>
      </c>
      <c r="N462" s="3">
        <v>2.0</v>
      </c>
      <c r="O462" s="3">
        <v>114246.0</v>
      </c>
      <c r="P462" s="3" t="s">
        <v>1497</v>
      </c>
      <c r="Q462" s="3">
        <v>1282794.0</v>
      </c>
      <c r="R462" s="3"/>
      <c r="S462" s="3">
        <v>33418.0</v>
      </c>
      <c r="T462" s="3" t="s">
        <v>31</v>
      </c>
      <c r="U462" s="3">
        <v>33418.0</v>
      </c>
      <c r="V462" s="5">
        <f>(DATE(2026,2,3)-'RICE_Insured Farms_with PPI Pol'!$G462)+IF('RICE_Insured Farms_with PPI Pol'!$H462&lt;&gt;'RICE_Insured Farms_with PPI Pol'!$G462,18,0)</f>
        <v>40</v>
      </c>
      <c r="W462" s="3" t="str">
        <f t="array" ref="W462">IFS(V462&gt;120, "Harvested", V462&gt;=113, "Yellow Ripening", V462&gt;=101, "Dough Stage", V462&gt;=93, "Milking Stage", V462&gt;=86, "Flowering", V462&gt;=56, "Panicle Initiation/Booting", V462&lt;56, "Vegetative/Tillering")</f>
        <v>Vegetative/Tillering</v>
      </c>
    </row>
    <row r="463" ht="15.75" hidden="1" customHeight="1">
      <c r="A463" s="3">
        <v>462.0</v>
      </c>
      <c r="B463" s="3" t="s">
        <v>23</v>
      </c>
      <c r="C463" s="3" t="s">
        <v>121</v>
      </c>
      <c r="D463" s="3" t="s">
        <v>1492</v>
      </c>
      <c r="E463" s="3" t="s">
        <v>1493</v>
      </c>
      <c r="F463" s="3">
        <v>1740657.0</v>
      </c>
      <c r="G463" s="4">
        <v>46034.0</v>
      </c>
      <c r="H463" s="4">
        <v>46154.0</v>
      </c>
      <c r="I463" s="3" t="s">
        <v>1494</v>
      </c>
      <c r="J463" s="3" t="s">
        <v>1498</v>
      </c>
      <c r="K463" s="3" t="s">
        <v>1499</v>
      </c>
      <c r="L463" s="3">
        <v>2.2848</v>
      </c>
      <c r="M463" s="3">
        <v>57120.0</v>
      </c>
      <c r="N463" s="3">
        <v>1.0</v>
      </c>
      <c r="O463" s="3">
        <v>113121.0</v>
      </c>
      <c r="P463" s="3"/>
      <c r="Q463" s="3">
        <v>1226032.0</v>
      </c>
      <c r="R463" s="3"/>
      <c r="S463" s="3">
        <v>34272.0</v>
      </c>
      <c r="T463" s="3" t="s">
        <v>62</v>
      </c>
      <c r="U463" s="3">
        <v>34272.0</v>
      </c>
      <c r="V463" s="5">
        <f>(DATE(2026,2,3)-'RICE_Insured Farms_with PPI Pol'!$G463)+IF('RICE_Insured Farms_with PPI Pol'!$H463&lt;&gt;'RICE_Insured Farms_with PPI Pol'!$G463,18,0)</f>
        <v>40</v>
      </c>
      <c r="W463" s="3" t="str">
        <f t="array" ref="W463">IFS(V463&gt;120, "Harvested", V463&gt;=113, "Yellow Ripening", V463&gt;=101, "Dough Stage", V463&gt;=93, "Milking Stage", V463&gt;=86, "Flowering", V463&gt;=56, "Panicle Initiation/Booting", V463&lt;56, "Vegetative/Tillering")</f>
        <v>Vegetative/Tillering</v>
      </c>
    </row>
    <row r="464" ht="15.75" hidden="1" customHeight="1">
      <c r="A464" s="3">
        <v>463.0</v>
      </c>
      <c r="B464" s="3" t="s">
        <v>23</v>
      </c>
      <c r="C464" s="3" t="s">
        <v>50</v>
      </c>
      <c r="D464" s="3" t="s">
        <v>51</v>
      </c>
      <c r="E464" s="3" t="s">
        <v>321</v>
      </c>
      <c r="F464" s="3">
        <v>1741851.0</v>
      </c>
      <c r="G464" s="4">
        <v>46032.0</v>
      </c>
      <c r="H464" s="4">
        <v>46127.0</v>
      </c>
      <c r="I464" s="3" t="s">
        <v>1500</v>
      </c>
      <c r="J464" s="3" t="s">
        <v>1501</v>
      </c>
      <c r="K464" s="3" t="s">
        <v>1502</v>
      </c>
      <c r="L464" s="3">
        <v>0.18</v>
      </c>
      <c r="M464" s="3">
        <v>4500.0</v>
      </c>
      <c r="N464" s="3">
        <v>2.0</v>
      </c>
      <c r="O464" s="3">
        <v>137829.0</v>
      </c>
      <c r="P464" s="3" t="s">
        <v>1503</v>
      </c>
      <c r="Q464" s="3">
        <v>1280244.0</v>
      </c>
      <c r="R464" s="3"/>
      <c r="S464" s="3">
        <v>3150.0</v>
      </c>
      <c r="T464" s="3" t="s">
        <v>31</v>
      </c>
      <c r="U464" s="3">
        <v>3150.0</v>
      </c>
      <c r="V464" s="5">
        <f>(DATE(2026,2,3)-'RICE_Insured Farms_with PPI Pol'!$G464)+IF('RICE_Insured Farms_with PPI Pol'!$H464&lt;&gt;'RICE_Insured Farms_with PPI Pol'!$G464,18,0)</f>
        <v>42</v>
      </c>
      <c r="W464" s="3" t="str">
        <f t="array" ref="W464">IFS(V464&gt;120, "Harvested", V464&gt;=113, "Yellow Ripening", V464&gt;=101, "Dough Stage", V464&gt;=93, "Milking Stage", V464&gt;=86, "Flowering", V464&gt;=56, "Panicle Initiation/Booting", V464&lt;56, "Vegetative/Tillering")</f>
        <v>Vegetative/Tillering</v>
      </c>
    </row>
    <row r="465" ht="15.75" hidden="1" customHeight="1">
      <c r="A465" s="3">
        <v>464.0</v>
      </c>
      <c r="B465" s="3" t="s">
        <v>23</v>
      </c>
      <c r="C465" s="3" t="s">
        <v>68</v>
      </c>
      <c r="D465" s="3" t="s">
        <v>289</v>
      </c>
      <c r="E465" s="3" t="s">
        <v>290</v>
      </c>
      <c r="F465" s="3">
        <v>1760030.0</v>
      </c>
      <c r="G465" s="4">
        <v>46028.0</v>
      </c>
      <c r="H465" s="4">
        <v>46130.0</v>
      </c>
      <c r="I465" s="3" t="s">
        <v>1504</v>
      </c>
      <c r="J465" s="3" t="s">
        <v>1505</v>
      </c>
      <c r="K465" s="3" t="s">
        <v>735</v>
      </c>
      <c r="L465" s="3">
        <v>1.614</v>
      </c>
      <c r="M465" s="3">
        <v>40350.0</v>
      </c>
      <c r="N465" s="3">
        <v>2.0</v>
      </c>
      <c r="O465" s="3">
        <v>15952.0</v>
      </c>
      <c r="P465" s="3" t="s">
        <v>1506</v>
      </c>
      <c r="Q465" s="3">
        <v>974306.0</v>
      </c>
      <c r="R465" s="3"/>
      <c r="S465" s="3">
        <v>28245.0</v>
      </c>
      <c r="T465" s="3" t="s">
        <v>31</v>
      </c>
      <c r="U465" s="3">
        <v>28245.0</v>
      </c>
      <c r="V465" s="5">
        <f>(DATE(2026,2,3)-'RICE_Insured Farms_with PPI Pol'!$G465)+IF('RICE_Insured Farms_with PPI Pol'!$H465&lt;&gt;'RICE_Insured Farms_with PPI Pol'!$G465,18,0)</f>
        <v>46</v>
      </c>
      <c r="W465" s="3" t="str">
        <f t="array" ref="W465">IFS(V465&gt;120, "Harvested", V465&gt;=113, "Yellow Ripening", V465&gt;=101, "Dough Stage", V465&gt;=93, "Milking Stage", V465&gt;=86, "Flowering", V465&gt;=56, "Panicle Initiation/Booting", V465&lt;56, "Vegetative/Tillering")</f>
        <v>Vegetative/Tillering</v>
      </c>
    </row>
    <row r="466" ht="15.75" hidden="1" customHeight="1">
      <c r="A466" s="3">
        <v>465.0</v>
      </c>
      <c r="B466" s="3" t="s">
        <v>23</v>
      </c>
      <c r="C466" s="3" t="s">
        <v>68</v>
      </c>
      <c r="D466" s="3" t="s">
        <v>289</v>
      </c>
      <c r="E466" s="3" t="s">
        <v>290</v>
      </c>
      <c r="F466" s="3">
        <v>1760030.0</v>
      </c>
      <c r="G466" s="4">
        <v>46026.0</v>
      </c>
      <c r="H466" s="4">
        <v>46128.0</v>
      </c>
      <c r="I466" s="3" t="s">
        <v>1504</v>
      </c>
      <c r="J466" s="3" t="s">
        <v>146</v>
      </c>
      <c r="K466" s="3" t="s">
        <v>1507</v>
      </c>
      <c r="L466" s="3">
        <v>1.8911</v>
      </c>
      <c r="M466" s="3">
        <v>47277.5</v>
      </c>
      <c r="N466" s="3">
        <v>2.0</v>
      </c>
      <c r="O466" s="3">
        <v>119616.0</v>
      </c>
      <c r="P466" s="3" t="s">
        <v>1508</v>
      </c>
      <c r="Q466" s="3">
        <v>1280395.0</v>
      </c>
      <c r="R466" s="3"/>
      <c r="S466" s="3">
        <v>33094.25</v>
      </c>
      <c r="T466" s="3" t="s">
        <v>31</v>
      </c>
      <c r="U466" s="3">
        <v>33094.25</v>
      </c>
      <c r="V466" s="5">
        <f>(DATE(2026,2,3)-'RICE_Insured Farms_with PPI Pol'!$G466)+IF('RICE_Insured Farms_with PPI Pol'!$H466&lt;&gt;'RICE_Insured Farms_with PPI Pol'!$G466,18,0)</f>
        <v>48</v>
      </c>
      <c r="W466" s="3" t="str">
        <f t="array" ref="W466">IFS(V466&gt;120, "Harvested", V466&gt;=113, "Yellow Ripening", V466&gt;=101, "Dough Stage", V466&gt;=93, "Milking Stage", V466&gt;=86, "Flowering", V466&gt;=56, "Panicle Initiation/Booting", V466&lt;56, "Vegetative/Tillering")</f>
        <v>Vegetative/Tillering</v>
      </c>
    </row>
    <row r="467" ht="15.75" hidden="1" customHeight="1">
      <c r="A467" s="3">
        <v>466.0</v>
      </c>
      <c r="B467" s="3" t="s">
        <v>23</v>
      </c>
      <c r="C467" s="3" t="s">
        <v>68</v>
      </c>
      <c r="D467" s="3" t="s">
        <v>289</v>
      </c>
      <c r="E467" s="3" t="s">
        <v>290</v>
      </c>
      <c r="F467" s="3">
        <v>1760030.0</v>
      </c>
      <c r="G467" s="4">
        <v>46027.0</v>
      </c>
      <c r="H467" s="4">
        <v>46129.0</v>
      </c>
      <c r="I467" s="3" t="s">
        <v>1504</v>
      </c>
      <c r="J467" s="3" t="s">
        <v>1509</v>
      </c>
      <c r="K467" s="3" t="s">
        <v>1507</v>
      </c>
      <c r="L467" s="3">
        <v>0.8602</v>
      </c>
      <c r="M467" s="3">
        <v>21505.0</v>
      </c>
      <c r="N467" s="3">
        <v>2.0</v>
      </c>
      <c r="O467" s="3">
        <v>119618.0</v>
      </c>
      <c r="P467" s="3" t="s">
        <v>1510</v>
      </c>
      <c r="Q467" s="3">
        <v>1280396.0</v>
      </c>
      <c r="R467" s="3"/>
      <c r="S467" s="3">
        <v>15053.5</v>
      </c>
      <c r="T467" s="3" t="s">
        <v>31</v>
      </c>
      <c r="U467" s="3">
        <v>15053.5</v>
      </c>
      <c r="V467" s="5">
        <f>(DATE(2026,2,3)-'RICE_Insured Farms_with PPI Pol'!$G467)+IF('RICE_Insured Farms_with PPI Pol'!$H467&lt;&gt;'RICE_Insured Farms_with PPI Pol'!$G467,18,0)</f>
        <v>47</v>
      </c>
      <c r="W467" s="3" t="str">
        <f t="array" ref="W467">IFS(V467&gt;120, "Harvested", V467&gt;=113, "Yellow Ripening", V467&gt;=101, "Dough Stage", V467&gt;=93, "Milking Stage", V467&gt;=86, "Flowering", V467&gt;=56, "Panicle Initiation/Booting", V467&lt;56, "Vegetative/Tillering")</f>
        <v>Vegetative/Tillering</v>
      </c>
    </row>
    <row r="468" ht="15.75" hidden="1" customHeight="1">
      <c r="A468" s="3">
        <v>467.0</v>
      </c>
      <c r="B468" s="3" t="s">
        <v>23</v>
      </c>
      <c r="C468" s="3" t="s">
        <v>68</v>
      </c>
      <c r="D468" s="3" t="s">
        <v>289</v>
      </c>
      <c r="E468" s="3" t="s">
        <v>290</v>
      </c>
      <c r="F468" s="3">
        <v>1760034.0</v>
      </c>
      <c r="G468" s="4">
        <v>46025.0</v>
      </c>
      <c r="H468" s="4">
        <v>46127.0</v>
      </c>
      <c r="I468" s="3" t="s">
        <v>1504</v>
      </c>
      <c r="J468" s="3" t="s">
        <v>1511</v>
      </c>
      <c r="K468" s="3" t="s">
        <v>1507</v>
      </c>
      <c r="L468" s="3">
        <v>0.301</v>
      </c>
      <c r="M468" s="3">
        <v>7525.0</v>
      </c>
      <c r="N468" s="3">
        <v>2.0</v>
      </c>
      <c r="O468" s="3">
        <v>328559.0</v>
      </c>
      <c r="P468" s="3" t="s">
        <v>1512</v>
      </c>
      <c r="Q468" s="3">
        <v>1280411.0</v>
      </c>
      <c r="R468" s="3"/>
      <c r="S468" s="3">
        <v>5267.5</v>
      </c>
      <c r="T468" s="3" t="s">
        <v>31</v>
      </c>
      <c r="U468" s="3">
        <v>5267.5</v>
      </c>
      <c r="V468" s="5">
        <f>(DATE(2026,2,3)-'RICE_Insured Farms_with PPI Pol'!$G468)+IF('RICE_Insured Farms_with PPI Pol'!$H468&lt;&gt;'RICE_Insured Farms_with PPI Pol'!$G468,18,0)</f>
        <v>49</v>
      </c>
      <c r="W468" s="3" t="str">
        <f t="array" ref="W468">IFS(V468&gt;120, "Harvested", V468&gt;=113, "Yellow Ripening", V468&gt;=101, "Dough Stage", V468&gt;=93, "Milking Stage", V468&gt;=86, "Flowering", V468&gt;=56, "Panicle Initiation/Booting", V468&lt;56, "Vegetative/Tillering")</f>
        <v>Vegetative/Tillering</v>
      </c>
    </row>
    <row r="469" ht="15.75" customHeight="1">
      <c r="A469" s="3">
        <v>468.0</v>
      </c>
      <c r="B469" s="3" t="s">
        <v>23</v>
      </c>
      <c r="C469" s="3" t="s">
        <v>24</v>
      </c>
      <c r="D469" s="3" t="s">
        <v>538</v>
      </c>
      <c r="E469" s="3" t="s">
        <v>1513</v>
      </c>
      <c r="F469" s="3">
        <v>1190672.0</v>
      </c>
      <c r="G469" s="4">
        <v>46025.0</v>
      </c>
      <c r="H469" s="4">
        <v>46120.0</v>
      </c>
      <c r="I469" s="3" t="s">
        <v>1514</v>
      </c>
      <c r="J469" s="3" t="s">
        <v>1515</v>
      </c>
      <c r="K469" s="3" t="s">
        <v>1516</v>
      </c>
      <c r="L469" s="3">
        <v>1.143</v>
      </c>
      <c r="M469" s="3">
        <v>28575.0</v>
      </c>
      <c r="N469" s="3">
        <v>3.0</v>
      </c>
      <c r="O469" s="3">
        <v>89432.0</v>
      </c>
      <c r="P469" s="3"/>
      <c r="Q469" s="3">
        <v>1324759.0</v>
      </c>
      <c r="R469" s="3"/>
      <c r="S469" s="3">
        <v>22860.0</v>
      </c>
      <c r="T469" s="3" t="s">
        <v>37</v>
      </c>
      <c r="U469" s="3">
        <v>22860.0</v>
      </c>
      <c r="V469" s="5">
        <f>(DATE(2026,2,3)-'RICE_Insured Farms_with PPI Pol'!$G469)+IF('RICE_Insured Farms_with PPI Pol'!$H469&lt;&gt;'RICE_Insured Farms_with PPI Pol'!$G469,18,0)</f>
        <v>49</v>
      </c>
      <c r="W469" s="3" t="str">
        <f t="array" ref="W469">IFS(V469&gt;120, "Harvested", V469&gt;=113, "Yellow Ripening", V469&gt;=101, "Dough Stage", V469&gt;=93, "Milking Stage", V469&gt;=86, "Flowering", V469&gt;=56, "Panicle Initiation/Booting", V469&lt;56, "Vegetative/Tillering")</f>
        <v>Vegetative/Tillering</v>
      </c>
    </row>
    <row r="470" ht="15.75" hidden="1" customHeight="1">
      <c r="A470" s="3">
        <v>469.0</v>
      </c>
      <c r="B470" s="3" t="s">
        <v>23</v>
      </c>
      <c r="C470" s="3" t="s">
        <v>68</v>
      </c>
      <c r="D470" s="3" t="s">
        <v>289</v>
      </c>
      <c r="E470" s="3" t="s">
        <v>774</v>
      </c>
      <c r="F470" s="3">
        <v>1760034.0</v>
      </c>
      <c r="G470" s="4">
        <v>46034.0</v>
      </c>
      <c r="H470" s="4">
        <v>46136.0</v>
      </c>
      <c r="I470" s="3" t="s">
        <v>269</v>
      </c>
      <c r="J470" s="3" t="s">
        <v>1517</v>
      </c>
      <c r="K470" s="3" t="s">
        <v>1518</v>
      </c>
      <c r="L470" s="3">
        <v>0.3113</v>
      </c>
      <c r="M470" s="3">
        <v>7782.5</v>
      </c>
      <c r="N470" s="3">
        <v>2.0</v>
      </c>
      <c r="O470" s="3">
        <v>330704.0</v>
      </c>
      <c r="P470" s="3" t="s">
        <v>1519</v>
      </c>
      <c r="Q470" s="3">
        <v>1276407.0</v>
      </c>
      <c r="R470" s="3"/>
      <c r="S470" s="3">
        <v>5447.75</v>
      </c>
      <c r="T470" s="3" t="s">
        <v>31</v>
      </c>
      <c r="U470" s="3">
        <v>5447.75</v>
      </c>
      <c r="V470" s="5">
        <f>(DATE(2026,2,3)-'RICE_Insured Farms_with PPI Pol'!$G470)+IF('RICE_Insured Farms_with PPI Pol'!$H470&lt;&gt;'RICE_Insured Farms_with PPI Pol'!$G470,18,0)</f>
        <v>40</v>
      </c>
      <c r="W470" s="3" t="str">
        <f t="array" ref="W470">IFS(V470&gt;120, "Harvested", V470&gt;=113, "Yellow Ripening", V470&gt;=101, "Dough Stage", V470&gt;=93, "Milking Stage", V470&gt;=86, "Flowering", V470&gt;=56, "Panicle Initiation/Booting", V470&lt;56, "Vegetative/Tillering")</f>
        <v>Vegetative/Tillering</v>
      </c>
    </row>
    <row r="471" ht="15.75" hidden="1" customHeight="1">
      <c r="A471" s="3">
        <v>470.0</v>
      </c>
      <c r="B471" s="3" t="s">
        <v>23</v>
      </c>
      <c r="C471" s="3" t="s">
        <v>68</v>
      </c>
      <c r="D471" s="3" t="s">
        <v>69</v>
      </c>
      <c r="E471" s="3" t="s">
        <v>131</v>
      </c>
      <c r="F471" s="3">
        <v>1739649.0</v>
      </c>
      <c r="G471" s="4">
        <v>46033.0</v>
      </c>
      <c r="H471" s="4">
        <v>46135.0</v>
      </c>
      <c r="I471" s="3" t="s">
        <v>1520</v>
      </c>
      <c r="J471" s="3" t="s">
        <v>28</v>
      </c>
      <c r="K471" s="3" t="s">
        <v>1521</v>
      </c>
      <c r="L471" s="3">
        <v>0.7186</v>
      </c>
      <c r="M471" s="3">
        <v>17965.0</v>
      </c>
      <c r="N471" s="3">
        <v>2.0</v>
      </c>
      <c r="O471" s="3">
        <v>108535.0</v>
      </c>
      <c r="P471" s="3" t="s">
        <v>1522</v>
      </c>
      <c r="Q471" s="3">
        <v>1137692.0</v>
      </c>
      <c r="R471" s="3"/>
      <c r="S471" s="3">
        <v>12575.5</v>
      </c>
      <c r="T471" s="3" t="s">
        <v>31</v>
      </c>
      <c r="U471" s="3">
        <v>12575.5</v>
      </c>
      <c r="V471" s="5">
        <f>(DATE(2026,2,3)-'RICE_Insured Farms_with PPI Pol'!$G471)+IF('RICE_Insured Farms_with PPI Pol'!$H471&lt;&gt;'RICE_Insured Farms_with PPI Pol'!$G471,18,0)</f>
        <v>41</v>
      </c>
      <c r="W471" s="3" t="str">
        <f t="array" ref="W471">IFS(V471&gt;120, "Harvested", V471&gt;=113, "Yellow Ripening", V471&gt;=101, "Dough Stage", V471&gt;=93, "Milking Stage", V471&gt;=86, "Flowering", V471&gt;=56, "Panicle Initiation/Booting", V471&lt;56, "Vegetative/Tillering")</f>
        <v>Vegetative/Tillering</v>
      </c>
    </row>
    <row r="472" ht="15.75" customHeight="1">
      <c r="A472" s="3">
        <v>471.0</v>
      </c>
      <c r="B472" s="3" t="s">
        <v>23</v>
      </c>
      <c r="C472" s="3" t="s">
        <v>24</v>
      </c>
      <c r="D472" s="3" t="s">
        <v>538</v>
      </c>
      <c r="E472" s="3" t="s">
        <v>1513</v>
      </c>
      <c r="F472" s="3">
        <v>1190672.0</v>
      </c>
      <c r="G472" s="4">
        <v>46027.0</v>
      </c>
      <c r="H472" s="4">
        <v>46122.0</v>
      </c>
      <c r="I472" s="3" t="s">
        <v>1523</v>
      </c>
      <c r="J472" s="3" t="s">
        <v>1524</v>
      </c>
      <c r="K472" s="3" t="s">
        <v>1525</v>
      </c>
      <c r="L472" s="3">
        <v>0.2004</v>
      </c>
      <c r="M472" s="3">
        <v>5010.0</v>
      </c>
      <c r="N472" s="3">
        <v>3.0</v>
      </c>
      <c r="O472" s="3">
        <v>370258.0</v>
      </c>
      <c r="P472" s="3" t="s">
        <v>1526</v>
      </c>
      <c r="Q472" s="3">
        <v>1157453.0</v>
      </c>
      <c r="R472" s="3"/>
      <c r="S472" s="3">
        <v>4008.0</v>
      </c>
      <c r="T472" s="3" t="s">
        <v>37</v>
      </c>
      <c r="U472" s="3">
        <v>4008.0</v>
      </c>
      <c r="V472" s="5">
        <f>(DATE(2026,2,3)-'RICE_Insured Farms_with PPI Pol'!$G472)+IF('RICE_Insured Farms_with PPI Pol'!$H472&lt;&gt;'RICE_Insured Farms_with PPI Pol'!$G472,18,0)</f>
        <v>47</v>
      </c>
      <c r="W472" s="3" t="str">
        <f t="array" ref="W472">IFS(V472&gt;120, "Harvested", V472&gt;=113, "Yellow Ripening", V472&gt;=101, "Dough Stage", V472&gt;=93, "Milking Stage", V472&gt;=86, "Flowering", V472&gt;=56, "Panicle Initiation/Booting", V472&lt;56, "Vegetative/Tillering")</f>
        <v>Vegetative/Tillering</v>
      </c>
    </row>
    <row r="473" ht="15.75" hidden="1" customHeight="1">
      <c r="A473" s="3">
        <v>472.0</v>
      </c>
      <c r="B473" s="3" t="s">
        <v>23</v>
      </c>
      <c r="C473" s="3" t="s">
        <v>121</v>
      </c>
      <c r="D473" s="3" t="s">
        <v>399</v>
      </c>
      <c r="E473" s="3" t="s">
        <v>400</v>
      </c>
      <c r="F473" s="3">
        <v>1760154.0</v>
      </c>
      <c r="G473" s="4">
        <v>46047.0</v>
      </c>
      <c r="H473" s="4">
        <v>46167.0</v>
      </c>
      <c r="I473" s="3" t="s">
        <v>1527</v>
      </c>
      <c r="J473" s="3" t="s">
        <v>1528</v>
      </c>
      <c r="K473" s="3" t="s">
        <v>1529</v>
      </c>
      <c r="L473" s="3">
        <v>0.4791</v>
      </c>
      <c r="M473" s="3">
        <v>11977.5</v>
      </c>
      <c r="N473" s="3">
        <v>0.0</v>
      </c>
      <c r="O473" s="3">
        <v>292204.0</v>
      </c>
      <c r="P473" s="3" t="s">
        <v>1530</v>
      </c>
      <c r="Q473" s="3">
        <v>1136541.0</v>
      </c>
      <c r="R473" s="3"/>
      <c r="S473" s="3">
        <v>7186.5</v>
      </c>
      <c r="T473" s="3" t="s">
        <v>191</v>
      </c>
      <c r="U473" s="3">
        <v>7186.5</v>
      </c>
      <c r="V473" s="5">
        <f>(DATE(2026,2,3)-'RICE_Insured Farms_with PPI Pol'!$G473)+IF('RICE_Insured Farms_with PPI Pol'!$H473&lt;&gt;'RICE_Insured Farms_with PPI Pol'!$G473,18,0)</f>
        <v>27</v>
      </c>
      <c r="W473" s="3" t="str">
        <f t="array" ref="W473">IFS(V473&gt;120, "Harvested", V473&gt;=113, "Yellow Ripening", V473&gt;=101, "Dough Stage", V473&gt;=93, "Milking Stage", V473&gt;=86, "Flowering", V473&gt;=56, "Panicle Initiation/Booting", V473&lt;56, "Vegetative/Tillering")</f>
        <v>Vegetative/Tillering</v>
      </c>
    </row>
    <row r="474" ht="15.75" customHeight="1">
      <c r="A474" s="3">
        <v>473.0</v>
      </c>
      <c r="B474" s="3" t="s">
        <v>23</v>
      </c>
      <c r="C474" s="3" t="s">
        <v>68</v>
      </c>
      <c r="D474" s="3" t="s">
        <v>289</v>
      </c>
      <c r="E474" s="3" t="s">
        <v>774</v>
      </c>
      <c r="F474" s="3">
        <v>1760024.0</v>
      </c>
      <c r="G474" s="4">
        <v>46022.0</v>
      </c>
      <c r="H474" s="4">
        <v>46124.0</v>
      </c>
      <c r="I474" s="3" t="s">
        <v>1531</v>
      </c>
      <c r="J474" s="3" t="s">
        <v>1532</v>
      </c>
      <c r="K474" s="3" t="s">
        <v>1533</v>
      </c>
      <c r="L474" s="3">
        <v>0.7008</v>
      </c>
      <c r="M474" s="3">
        <v>17520.0</v>
      </c>
      <c r="N474" s="3">
        <v>3.0</v>
      </c>
      <c r="O474" s="3">
        <v>297292.0</v>
      </c>
      <c r="P474" s="3" t="s">
        <v>1534</v>
      </c>
      <c r="Q474" s="3">
        <v>1276533.0</v>
      </c>
      <c r="R474" s="3"/>
      <c r="S474" s="3">
        <v>14016.0</v>
      </c>
      <c r="T474" s="3" t="s">
        <v>37</v>
      </c>
      <c r="U474" s="3">
        <v>14016.0</v>
      </c>
      <c r="V474" s="5">
        <f>(DATE(2026,2,3)-'RICE_Insured Farms_with PPI Pol'!$G474)+IF('RICE_Insured Farms_with PPI Pol'!$H474&lt;&gt;'RICE_Insured Farms_with PPI Pol'!$G474,18,0)</f>
        <v>52</v>
      </c>
      <c r="W474" s="3" t="str">
        <f t="array" ref="W474">IFS(V474&gt;120, "Harvested", V474&gt;=113, "Yellow Ripening", V474&gt;=101, "Dough Stage", V474&gt;=93, "Milking Stage", V474&gt;=86, "Flowering", V474&gt;=56, "Panicle Initiation/Booting", V474&lt;56, "Vegetative/Tillering")</f>
        <v>Vegetative/Tillering</v>
      </c>
    </row>
    <row r="475" ht="15.75" customHeight="1">
      <c r="A475" s="3">
        <v>474.0</v>
      </c>
      <c r="B475" s="3" t="s">
        <v>23</v>
      </c>
      <c r="C475" s="3" t="s">
        <v>68</v>
      </c>
      <c r="D475" s="3" t="s">
        <v>289</v>
      </c>
      <c r="E475" s="3" t="s">
        <v>1535</v>
      </c>
      <c r="F475" s="3">
        <v>1760009.0</v>
      </c>
      <c r="G475" s="4">
        <v>46017.0</v>
      </c>
      <c r="H475" s="4">
        <v>46119.0</v>
      </c>
      <c r="I475" s="3" t="s">
        <v>1536</v>
      </c>
      <c r="J475" s="3" t="s">
        <v>1537</v>
      </c>
      <c r="K475" s="3" t="s">
        <v>1538</v>
      </c>
      <c r="L475" s="3">
        <v>0.54</v>
      </c>
      <c r="M475" s="3">
        <v>13500.0</v>
      </c>
      <c r="N475" s="3">
        <v>3.0</v>
      </c>
      <c r="O475" s="3">
        <v>31345.0</v>
      </c>
      <c r="P475" s="3" t="s">
        <v>1539</v>
      </c>
      <c r="Q475" s="3">
        <v>1140432.0</v>
      </c>
      <c r="R475" s="3"/>
      <c r="S475" s="3">
        <v>10800.0</v>
      </c>
      <c r="T475" s="3" t="s">
        <v>37</v>
      </c>
      <c r="U475" s="3">
        <v>10800.0</v>
      </c>
      <c r="V475" s="5">
        <f>(DATE(2026,2,3)-'RICE_Insured Farms_with PPI Pol'!$G475)+IF('RICE_Insured Farms_with PPI Pol'!$H475&lt;&gt;'RICE_Insured Farms_with PPI Pol'!$G475,18,0)</f>
        <v>57</v>
      </c>
      <c r="W475" s="3" t="str">
        <f t="array" ref="W475">IFS(V475&gt;120, "Harvested", V475&gt;=113, "Yellow Ripening", V475&gt;=101, "Dough Stage", V475&gt;=93, "Milking Stage", V475&gt;=86, "Flowering", V475&gt;=56, "Panicle Initiation/Booting", V475&lt;56, "Vegetative/Tillering")</f>
        <v>Panicle Initiation/Booting</v>
      </c>
    </row>
    <row r="476" ht="15.75" customHeight="1">
      <c r="A476" s="3">
        <v>475.0</v>
      </c>
      <c r="B476" s="3" t="s">
        <v>23</v>
      </c>
      <c r="C476" s="3" t="s">
        <v>68</v>
      </c>
      <c r="D476" s="3" t="s">
        <v>289</v>
      </c>
      <c r="E476" s="3" t="s">
        <v>1535</v>
      </c>
      <c r="F476" s="3">
        <v>1760008.0</v>
      </c>
      <c r="G476" s="4">
        <v>46019.0</v>
      </c>
      <c r="H476" s="4">
        <v>46121.0</v>
      </c>
      <c r="I476" s="3" t="s">
        <v>1536</v>
      </c>
      <c r="J476" s="3" t="s">
        <v>153</v>
      </c>
      <c r="K476" s="3" t="s">
        <v>1540</v>
      </c>
      <c r="L476" s="3">
        <v>0.5806</v>
      </c>
      <c r="M476" s="3">
        <v>14515.0</v>
      </c>
      <c r="N476" s="3">
        <v>3.0</v>
      </c>
      <c r="O476" s="3">
        <v>58299.0</v>
      </c>
      <c r="P476" s="3" t="s">
        <v>1541</v>
      </c>
      <c r="Q476" s="3">
        <v>967763.0</v>
      </c>
      <c r="R476" s="3"/>
      <c r="S476" s="3">
        <v>11612.0</v>
      </c>
      <c r="T476" s="3" t="s">
        <v>37</v>
      </c>
      <c r="U476" s="3">
        <v>11612.0</v>
      </c>
      <c r="V476" s="5">
        <f>(DATE(2026,2,3)-'RICE_Insured Farms_with PPI Pol'!$G476)+IF('RICE_Insured Farms_with PPI Pol'!$H476&lt;&gt;'RICE_Insured Farms_with PPI Pol'!$G476,18,0)</f>
        <v>55</v>
      </c>
      <c r="W476" s="3" t="str">
        <f t="array" ref="W476">IFS(V476&gt;120, "Harvested", V476&gt;=113, "Yellow Ripening", V476&gt;=101, "Dough Stage", V476&gt;=93, "Milking Stage", V476&gt;=86, "Flowering", V476&gt;=56, "Panicle Initiation/Booting", V476&lt;56, "Vegetative/Tillering")</f>
        <v>Vegetative/Tillering</v>
      </c>
    </row>
    <row r="477" ht="15.75" customHeight="1">
      <c r="A477" s="3">
        <v>476.0</v>
      </c>
      <c r="B477" s="3" t="s">
        <v>23</v>
      </c>
      <c r="C477" s="3" t="s">
        <v>68</v>
      </c>
      <c r="D477" s="3" t="s">
        <v>289</v>
      </c>
      <c r="E477" s="3" t="s">
        <v>1535</v>
      </c>
      <c r="F477" s="3">
        <v>1760007.0</v>
      </c>
      <c r="G477" s="4">
        <v>46017.0</v>
      </c>
      <c r="H477" s="4">
        <v>46119.0</v>
      </c>
      <c r="I477" s="3" t="s">
        <v>1536</v>
      </c>
      <c r="J477" s="3" t="s">
        <v>1542</v>
      </c>
      <c r="K477" s="3" t="s">
        <v>1543</v>
      </c>
      <c r="L477" s="3">
        <v>0.5541</v>
      </c>
      <c r="M477" s="3">
        <v>13852.5</v>
      </c>
      <c r="N477" s="3">
        <v>3.0</v>
      </c>
      <c r="O477" s="3">
        <v>388115.0</v>
      </c>
      <c r="P477" s="3" t="s">
        <v>1544</v>
      </c>
      <c r="Q477" s="3">
        <v>1034840.0</v>
      </c>
      <c r="R477" s="3"/>
      <c r="S477" s="3">
        <v>11082.0</v>
      </c>
      <c r="T477" s="3" t="s">
        <v>37</v>
      </c>
      <c r="U477" s="3">
        <v>11082.0</v>
      </c>
      <c r="V477" s="5">
        <f>(DATE(2026,2,3)-'RICE_Insured Farms_with PPI Pol'!$G477)+IF('RICE_Insured Farms_with PPI Pol'!$H477&lt;&gt;'RICE_Insured Farms_with PPI Pol'!$G477,18,0)</f>
        <v>57</v>
      </c>
      <c r="W477" s="3" t="str">
        <f t="array" ref="W477">IFS(V477&gt;120, "Harvested", V477&gt;=113, "Yellow Ripening", V477&gt;=101, "Dough Stage", V477&gt;=93, "Milking Stage", V477&gt;=86, "Flowering", V477&gt;=56, "Panicle Initiation/Booting", V477&lt;56, "Vegetative/Tillering")</f>
        <v>Panicle Initiation/Booting</v>
      </c>
    </row>
    <row r="478" ht="15.75" hidden="1" customHeight="1">
      <c r="A478" s="3">
        <v>477.0</v>
      </c>
      <c r="B478" s="3" t="s">
        <v>23</v>
      </c>
      <c r="C478" s="3" t="s">
        <v>68</v>
      </c>
      <c r="D478" s="3" t="s">
        <v>289</v>
      </c>
      <c r="E478" s="3" t="s">
        <v>431</v>
      </c>
      <c r="F478" s="3">
        <v>1760046.0</v>
      </c>
      <c r="G478" s="4">
        <v>46041.0</v>
      </c>
      <c r="H478" s="4">
        <v>46143.0</v>
      </c>
      <c r="I478" s="3" t="s">
        <v>1545</v>
      </c>
      <c r="J478" s="3" t="s">
        <v>761</v>
      </c>
      <c r="K478" s="3" t="s">
        <v>1546</v>
      </c>
      <c r="L478" s="3">
        <v>0.8781</v>
      </c>
      <c r="M478" s="3">
        <v>21952.5</v>
      </c>
      <c r="N478" s="3">
        <v>2.0</v>
      </c>
      <c r="O478" s="3">
        <v>298859.0</v>
      </c>
      <c r="P478" s="3"/>
      <c r="Q478" s="3">
        <v>1050956.0</v>
      </c>
      <c r="R478" s="3"/>
      <c r="S478" s="3">
        <v>15366.75</v>
      </c>
      <c r="T478" s="3" t="s">
        <v>31</v>
      </c>
      <c r="U478" s="3">
        <v>15366.75</v>
      </c>
      <c r="V478" s="5">
        <f>(DATE(2026,2,3)-'RICE_Insured Farms_with PPI Pol'!$G478)+IF('RICE_Insured Farms_with PPI Pol'!$H478&lt;&gt;'RICE_Insured Farms_with PPI Pol'!$G478,18,0)</f>
        <v>33</v>
      </c>
      <c r="W478" s="3" t="str">
        <f t="array" ref="W478">IFS(V478&gt;120, "Harvested", V478&gt;=113, "Yellow Ripening", V478&gt;=101, "Dough Stage", V478&gt;=93, "Milking Stage", V478&gt;=86, "Flowering", V478&gt;=56, "Panicle Initiation/Booting", V478&lt;56, "Vegetative/Tillering")</f>
        <v>Vegetative/Tillering</v>
      </c>
    </row>
    <row r="479" ht="15.75" customHeight="1">
      <c r="A479" s="3">
        <v>478.0</v>
      </c>
      <c r="B479" s="3" t="s">
        <v>23</v>
      </c>
      <c r="C479" s="3" t="s">
        <v>68</v>
      </c>
      <c r="D479" s="3" t="s">
        <v>289</v>
      </c>
      <c r="E479" s="3" t="s">
        <v>1535</v>
      </c>
      <c r="F479" s="3">
        <v>1760008.0</v>
      </c>
      <c r="G479" s="4">
        <v>46018.0</v>
      </c>
      <c r="H479" s="4">
        <v>46120.0</v>
      </c>
      <c r="I479" s="3" t="s">
        <v>1547</v>
      </c>
      <c r="J479" s="3" t="s">
        <v>213</v>
      </c>
      <c r="K479" s="3" t="s">
        <v>1548</v>
      </c>
      <c r="L479" s="3">
        <v>0.5719</v>
      </c>
      <c r="M479" s="3">
        <v>14297.5</v>
      </c>
      <c r="N479" s="3">
        <v>3.0</v>
      </c>
      <c r="O479" s="3">
        <v>195243.0</v>
      </c>
      <c r="P479" s="3" t="s">
        <v>1549</v>
      </c>
      <c r="Q479" s="3">
        <v>967794.0</v>
      </c>
      <c r="R479" s="3"/>
      <c r="S479" s="3">
        <v>11438.0</v>
      </c>
      <c r="T479" s="3" t="s">
        <v>37</v>
      </c>
      <c r="U479" s="3">
        <v>11438.0</v>
      </c>
      <c r="V479" s="5">
        <f>(DATE(2026,2,3)-'RICE_Insured Farms_with PPI Pol'!$G479)+IF('RICE_Insured Farms_with PPI Pol'!$H479&lt;&gt;'RICE_Insured Farms_with PPI Pol'!$G479,18,0)</f>
        <v>56</v>
      </c>
      <c r="W479" s="3" t="str">
        <f t="array" ref="W479">IFS(V479&gt;120, "Harvested", V479&gt;=113, "Yellow Ripening", V479&gt;=101, "Dough Stage", V479&gt;=93, "Milking Stage", V479&gt;=86, "Flowering", V479&gt;=56, "Panicle Initiation/Booting", V479&lt;56, "Vegetative/Tillering")</f>
        <v>Panicle Initiation/Booting</v>
      </c>
    </row>
    <row r="480" ht="15.75" customHeight="1">
      <c r="A480" s="3">
        <v>479.0</v>
      </c>
      <c r="B480" s="3" t="s">
        <v>23</v>
      </c>
      <c r="C480" s="3" t="s">
        <v>1453</v>
      </c>
      <c r="D480" s="3" t="s">
        <v>1454</v>
      </c>
      <c r="E480" s="3" t="s">
        <v>1550</v>
      </c>
      <c r="F480" s="3">
        <v>1742043.0</v>
      </c>
      <c r="G480" s="4">
        <v>46018.0</v>
      </c>
      <c r="H480" s="4">
        <v>46120.0</v>
      </c>
      <c r="I480" s="3" t="s">
        <v>1551</v>
      </c>
      <c r="J480" s="3" t="s">
        <v>1552</v>
      </c>
      <c r="K480" s="3" t="s">
        <v>1553</v>
      </c>
      <c r="L480" s="3">
        <v>0.3065</v>
      </c>
      <c r="M480" s="3">
        <v>7662.5</v>
      </c>
      <c r="N480" s="3">
        <v>3.0</v>
      </c>
      <c r="O480" s="3">
        <v>389872.0</v>
      </c>
      <c r="P480" s="3" t="s">
        <v>1554</v>
      </c>
      <c r="Q480" s="3">
        <v>1316303.0</v>
      </c>
      <c r="R480" s="3"/>
      <c r="S480" s="3">
        <v>6130.0</v>
      </c>
      <c r="T480" s="3" t="s">
        <v>37</v>
      </c>
      <c r="U480" s="3">
        <v>6130.0</v>
      </c>
      <c r="V480" s="5">
        <f>(DATE(2026,2,3)-'RICE_Insured Farms_with PPI Pol'!$G480)+IF('RICE_Insured Farms_with PPI Pol'!$H480&lt;&gt;'RICE_Insured Farms_with PPI Pol'!$G480,18,0)</f>
        <v>56</v>
      </c>
      <c r="W480" s="3" t="str">
        <f t="array" ref="W480">IFS(V480&gt;120, "Harvested", V480&gt;=113, "Yellow Ripening", V480&gt;=101, "Dough Stage", V480&gt;=93, "Milking Stage", V480&gt;=86, "Flowering", V480&gt;=56, "Panicle Initiation/Booting", V480&lt;56, "Vegetative/Tillering")</f>
        <v>Panicle Initiation/Booting</v>
      </c>
    </row>
    <row r="481" ht="15.75" customHeight="1">
      <c r="A481" s="3">
        <v>480.0</v>
      </c>
      <c r="B481" s="3" t="s">
        <v>1213</v>
      </c>
      <c r="C481" s="3" t="s">
        <v>24</v>
      </c>
      <c r="D481" s="3" t="s">
        <v>25</v>
      </c>
      <c r="E481" s="3" t="s">
        <v>1555</v>
      </c>
      <c r="F481" s="3">
        <v>1760484.0</v>
      </c>
      <c r="G481" s="4">
        <v>46018.0</v>
      </c>
      <c r="H481" s="4">
        <v>46113.0</v>
      </c>
      <c r="I481" s="3" t="s">
        <v>1556</v>
      </c>
      <c r="J481" s="3" t="s">
        <v>1557</v>
      </c>
      <c r="K481" s="3" t="s">
        <v>1558</v>
      </c>
      <c r="L481" s="3">
        <v>0.857</v>
      </c>
      <c r="M481" s="3">
        <v>40000.0</v>
      </c>
      <c r="N481" s="3">
        <v>3.0</v>
      </c>
      <c r="O481" s="3">
        <v>239140.0</v>
      </c>
      <c r="P481" s="3"/>
      <c r="Q481" s="3">
        <v>412579.0</v>
      </c>
      <c r="R481" s="3"/>
      <c r="S481" s="3">
        <v>32000.0</v>
      </c>
      <c r="T481" s="3" t="s">
        <v>37</v>
      </c>
      <c r="U481" s="3">
        <v>32000.0</v>
      </c>
      <c r="V481" s="5">
        <f>(DATE(2026,2,3)-'RICE_Insured Farms_with PPI Pol'!$G481)+IF('RICE_Insured Farms_with PPI Pol'!$H481&lt;&gt;'RICE_Insured Farms_with PPI Pol'!$G481,18,0)</f>
        <v>56</v>
      </c>
      <c r="W481" s="3" t="str">
        <f t="array" ref="W481">IFS(V481&gt;120, "Harvested", V481&gt;=113, "Yellow Ripening", V481&gt;=101, "Dough Stage", V481&gt;=93, "Milking Stage", V481&gt;=86, "Flowering", V481&gt;=56, "Panicle Initiation/Booting", V481&lt;56, "Vegetative/Tillering")</f>
        <v>Panicle Initiation/Booting</v>
      </c>
    </row>
    <row r="482" ht="15.75" hidden="1" customHeight="1">
      <c r="A482" s="3">
        <v>481.0</v>
      </c>
      <c r="B482" s="3" t="s">
        <v>23</v>
      </c>
      <c r="C482" s="3" t="s">
        <v>311</v>
      </c>
      <c r="D482" s="3" t="s">
        <v>329</v>
      </c>
      <c r="E482" s="3" t="s">
        <v>330</v>
      </c>
      <c r="F482" s="3">
        <v>1760905.0</v>
      </c>
      <c r="G482" s="4">
        <v>46032.0</v>
      </c>
      <c r="H482" s="4">
        <v>46128.0</v>
      </c>
      <c r="I482" s="3" t="s">
        <v>1559</v>
      </c>
      <c r="J482" s="3" t="s">
        <v>1316</v>
      </c>
      <c r="K482" s="3" t="s">
        <v>1560</v>
      </c>
      <c r="L482" s="3">
        <v>0.6889</v>
      </c>
      <c r="M482" s="3">
        <v>17222.5</v>
      </c>
      <c r="N482" s="3">
        <v>2.0</v>
      </c>
      <c r="O482" s="3">
        <v>161504.0</v>
      </c>
      <c r="P482" s="3" t="s">
        <v>1561</v>
      </c>
      <c r="Q482" s="3">
        <v>1321415.0</v>
      </c>
      <c r="R482" s="3"/>
      <c r="S482" s="3">
        <v>12055.75</v>
      </c>
      <c r="T482" s="3" t="s">
        <v>31</v>
      </c>
      <c r="U482" s="3">
        <v>12055.75</v>
      </c>
      <c r="V482" s="5">
        <f>(DATE(2026,2,3)-'RICE_Insured Farms_with PPI Pol'!$G482)+IF('RICE_Insured Farms_with PPI Pol'!$H482&lt;&gt;'RICE_Insured Farms_with PPI Pol'!$G482,18,0)</f>
        <v>42</v>
      </c>
      <c r="W482" s="3" t="str">
        <f t="array" ref="W482">IFS(V482&gt;120, "Harvested", V482&gt;=113, "Yellow Ripening", V482&gt;=101, "Dough Stage", V482&gt;=93, "Milking Stage", V482&gt;=86, "Flowering", V482&gt;=56, "Panicle Initiation/Booting", V482&lt;56, "Vegetative/Tillering")</f>
        <v>Vegetative/Tillering</v>
      </c>
    </row>
    <row r="483" ht="15.75" hidden="1" customHeight="1">
      <c r="A483" s="3">
        <v>482.0</v>
      </c>
      <c r="B483" s="3" t="s">
        <v>23</v>
      </c>
      <c r="C483" s="3" t="s">
        <v>121</v>
      </c>
      <c r="D483" s="3" t="s">
        <v>1492</v>
      </c>
      <c r="E483" s="3" t="s">
        <v>1493</v>
      </c>
      <c r="F483" s="3">
        <v>1740661.0</v>
      </c>
      <c r="G483" s="4">
        <v>46038.0</v>
      </c>
      <c r="H483" s="4">
        <v>46158.0</v>
      </c>
      <c r="I483" s="3" t="s">
        <v>1559</v>
      </c>
      <c r="J483" s="3" t="s">
        <v>833</v>
      </c>
      <c r="K483" s="3" t="s">
        <v>1562</v>
      </c>
      <c r="L483" s="3">
        <v>1.7797</v>
      </c>
      <c r="M483" s="3">
        <v>44492.5</v>
      </c>
      <c r="N483" s="3">
        <v>1.0</v>
      </c>
      <c r="O483" s="3">
        <v>18510.0</v>
      </c>
      <c r="P483" s="3"/>
      <c r="Q483" s="3">
        <v>1226022.0</v>
      </c>
      <c r="R483" s="3"/>
      <c r="S483" s="3">
        <v>26695.5</v>
      </c>
      <c r="T483" s="3" t="s">
        <v>62</v>
      </c>
      <c r="U483" s="3">
        <v>26695.5</v>
      </c>
      <c r="V483" s="5">
        <f>(DATE(2026,2,3)-'RICE_Insured Farms_with PPI Pol'!$G483)+IF('RICE_Insured Farms_with PPI Pol'!$H483&lt;&gt;'RICE_Insured Farms_with PPI Pol'!$G483,18,0)</f>
        <v>36</v>
      </c>
      <c r="W483" s="3" t="str">
        <f t="array" ref="W483">IFS(V483&gt;120, "Harvested", V483&gt;=113, "Yellow Ripening", V483&gt;=101, "Dough Stage", V483&gt;=93, "Milking Stage", V483&gt;=86, "Flowering", V483&gt;=56, "Panicle Initiation/Booting", V483&lt;56, "Vegetative/Tillering")</f>
        <v>Vegetative/Tillering</v>
      </c>
    </row>
    <row r="484" ht="15.75" hidden="1" customHeight="1">
      <c r="A484" s="3">
        <v>705.0</v>
      </c>
      <c r="B484" s="3" t="s">
        <v>23</v>
      </c>
      <c r="C484" s="3" t="s">
        <v>24</v>
      </c>
      <c r="D484" s="3" t="s">
        <v>25</v>
      </c>
      <c r="E484" s="3" t="s">
        <v>1164</v>
      </c>
      <c r="F484" s="3">
        <v>1761004.0</v>
      </c>
      <c r="G484" s="4">
        <v>46014.0</v>
      </c>
      <c r="H484" s="4">
        <v>46109.0</v>
      </c>
      <c r="I484" s="3" t="s">
        <v>1563</v>
      </c>
      <c r="J484" s="3" t="s">
        <v>1564</v>
      </c>
      <c r="K484" s="3" t="s">
        <v>1565</v>
      </c>
      <c r="L484" s="3">
        <v>0.4453</v>
      </c>
      <c r="M484" s="3">
        <v>11132.5</v>
      </c>
      <c r="N484" s="3">
        <v>4.0</v>
      </c>
      <c r="O484" s="3">
        <v>441221.0</v>
      </c>
      <c r="P484" s="3"/>
      <c r="Q484" s="3">
        <v>1276804.0</v>
      </c>
      <c r="R484" s="3"/>
      <c r="S484" s="3">
        <v>8906.0</v>
      </c>
      <c r="T484" s="3" t="s">
        <v>56</v>
      </c>
      <c r="U484" s="3">
        <v>8906.0</v>
      </c>
      <c r="V484" s="5">
        <f>(DATE(2026,2,3)-'RICE_Insured Farms_with PPI Pol'!$G484)+IF('RICE_Insured Farms_with PPI Pol'!$H484&lt;&gt;'RICE_Insured Farms_with PPI Pol'!$G484,18,0)</f>
        <v>60</v>
      </c>
      <c r="W484" s="3" t="str">
        <f t="array" ref="W484">IFS(V484&gt;120, "Harvested", V484&gt;=113, "Yellow Ripening", V484&gt;=101, "Dough Stage", V484&gt;=93, "Milking Stage", V484&gt;=86, "Flowering", V484&gt;=56, "Panicle Initiation/Booting", V484&lt;56, "Vegetative/Tillering")</f>
        <v>Panicle Initiation/Booting</v>
      </c>
    </row>
    <row r="485" ht="15.75" customHeight="1">
      <c r="A485" s="3">
        <v>484.0</v>
      </c>
      <c r="B485" s="3" t="s">
        <v>23</v>
      </c>
      <c r="C485" s="3" t="s">
        <v>68</v>
      </c>
      <c r="D485" s="3" t="s">
        <v>69</v>
      </c>
      <c r="E485" s="3" t="s">
        <v>131</v>
      </c>
      <c r="F485" s="3">
        <v>1739640.0</v>
      </c>
      <c r="G485" s="4">
        <v>46021.0</v>
      </c>
      <c r="H485" s="4">
        <v>46123.0</v>
      </c>
      <c r="I485" s="3" t="s">
        <v>1566</v>
      </c>
      <c r="J485" s="3" t="s">
        <v>166</v>
      </c>
      <c r="K485" s="3" t="s">
        <v>1567</v>
      </c>
      <c r="L485" s="3">
        <v>0.5375</v>
      </c>
      <c r="M485" s="3">
        <v>13437.5</v>
      </c>
      <c r="N485" s="3">
        <v>3.0</v>
      </c>
      <c r="O485" s="3">
        <v>308017.0</v>
      </c>
      <c r="P485" s="3" t="s">
        <v>1568</v>
      </c>
      <c r="Q485" s="3">
        <v>1137597.0</v>
      </c>
      <c r="R485" s="3"/>
      <c r="S485" s="3">
        <v>10750.0</v>
      </c>
      <c r="T485" s="3" t="s">
        <v>37</v>
      </c>
      <c r="U485" s="3">
        <v>10750.0</v>
      </c>
      <c r="V485" s="5">
        <f>(DATE(2026,2,3)-'RICE_Insured Farms_with PPI Pol'!$G485)+IF('RICE_Insured Farms_with PPI Pol'!$H485&lt;&gt;'RICE_Insured Farms_with PPI Pol'!$G485,18,0)</f>
        <v>53</v>
      </c>
      <c r="W485" s="3" t="str">
        <f t="array" ref="W485">IFS(V485&gt;120, "Harvested", V485&gt;=113, "Yellow Ripening", V485&gt;=101, "Dough Stage", V485&gt;=93, "Milking Stage", V485&gt;=86, "Flowering", V485&gt;=56, "Panicle Initiation/Booting", V485&lt;56, "Vegetative/Tillering")</f>
        <v>Vegetative/Tillering</v>
      </c>
    </row>
    <row r="486" ht="15.75" customHeight="1">
      <c r="A486" s="3">
        <v>485.0</v>
      </c>
      <c r="B486" s="3" t="s">
        <v>23</v>
      </c>
      <c r="C486" s="3" t="s">
        <v>68</v>
      </c>
      <c r="D486" s="3" t="s">
        <v>69</v>
      </c>
      <c r="E486" s="3" t="s">
        <v>184</v>
      </c>
      <c r="F486" s="3">
        <v>1739642.0</v>
      </c>
      <c r="G486" s="4">
        <v>46020.0</v>
      </c>
      <c r="H486" s="4">
        <v>46122.0</v>
      </c>
      <c r="I486" s="3" t="s">
        <v>1569</v>
      </c>
      <c r="J486" s="3" t="s">
        <v>467</v>
      </c>
      <c r="K486" s="3" t="s">
        <v>1570</v>
      </c>
      <c r="L486" s="3">
        <v>0.4684</v>
      </c>
      <c r="M486" s="3">
        <v>11710.0</v>
      </c>
      <c r="N486" s="3">
        <v>3.0</v>
      </c>
      <c r="O486" s="3">
        <v>315768.0</v>
      </c>
      <c r="P486" s="3" t="s">
        <v>1571</v>
      </c>
      <c r="Q486" s="3">
        <v>1137136.0</v>
      </c>
      <c r="R486" s="3"/>
      <c r="S486" s="3">
        <v>9368.0</v>
      </c>
      <c r="T486" s="3" t="s">
        <v>37</v>
      </c>
      <c r="U486" s="3">
        <v>9368.0</v>
      </c>
      <c r="V486" s="5">
        <f>(DATE(2026,2,3)-'RICE_Insured Farms_with PPI Pol'!$G486)+IF('RICE_Insured Farms_with PPI Pol'!$H486&lt;&gt;'RICE_Insured Farms_with PPI Pol'!$G486,18,0)</f>
        <v>54</v>
      </c>
      <c r="W486" s="3" t="str">
        <f t="array" ref="W486">IFS(V486&gt;120, "Harvested", V486&gt;=113, "Yellow Ripening", V486&gt;=101, "Dough Stage", V486&gt;=93, "Milking Stage", V486&gt;=86, "Flowering", V486&gt;=56, "Panicle Initiation/Booting", V486&lt;56, "Vegetative/Tillering")</f>
        <v>Vegetative/Tillering</v>
      </c>
    </row>
    <row r="487" ht="15.75" hidden="1" customHeight="1">
      <c r="A487" s="3">
        <v>486.0</v>
      </c>
      <c r="B487" s="3" t="s">
        <v>23</v>
      </c>
      <c r="C487" s="3" t="s">
        <v>68</v>
      </c>
      <c r="D487" s="3" t="s">
        <v>289</v>
      </c>
      <c r="E487" s="3" t="s">
        <v>352</v>
      </c>
      <c r="F487" s="3">
        <v>1760043.0</v>
      </c>
      <c r="G487" s="4">
        <v>46031.0</v>
      </c>
      <c r="H487" s="4">
        <v>46133.0</v>
      </c>
      <c r="I487" s="3" t="s">
        <v>1572</v>
      </c>
      <c r="J487" s="3" t="s">
        <v>1573</v>
      </c>
      <c r="K487" s="3" t="s">
        <v>1574</v>
      </c>
      <c r="L487" s="3">
        <v>0.2498</v>
      </c>
      <c r="M487" s="3">
        <v>6245.0</v>
      </c>
      <c r="N487" s="3">
        <v>2.0</v>
      </c>
      <c r="O487" s="3">
        <v>294067.0</v>
      </c>
      <c r="P487" s="3"/>
      <c r="Q487" s="3">
        <v>1284253.0</v>
      </c>
      <c r="R487" s="3"/>
      <c r="S487" s="3">
        <v>4371.5</v>
      </c>
      <c r="T487" s="3" t="s">
        <v>31</v>
      </c>
      <c r="U487" s="3">
        <v>4371.5</v>
      </c>
      <c r="V487" s="5">
        <f>(DATE(2026,2,3)-'RICE_Insured Farms_with PPI Pol'!$G487)+IF('RICE_Insured Farms_with PPI Pol'!$H487&lt;&gt;'RICE_Insured Farms_with PPI Pol'!$G487,18,0)</f>
        <v>43</v>
      </c>
      <c r="W487" s="3" t="str">
        <f t="array" ref="W487">IFS(V487&gt;120, "Harvested", V487&gt;=113, "Yellow Ripening", V487&gt;=101, "Dough Stage", V487&gt;=93, "Milking Stage", V487&gt;=86, "Flowering", V487&gt;=56, "Panicle Initiation/Booting", V487&lt;56, "Vegetative/Tillering")</f>
        <v>Vegetative/Tillering</v>
      </c>
    </row>
    <row r="488" ht="15.75" hidden="1" customHeight="1">
      <c r="A488" s="3">
        <v>487.0</v>
      </c>
      <c r="B488" s="3" t="s">
        <v>23</v>
      </c>
      <c r="C488" s="3" t="s">
        <v>121</v>
      </c>
      <c r="D488" s="3" t="s">
        <v>399</v>
      </c>
      <c r="E488" s="3" t="s">
        <v>400</v>
      </c>
      <c r="F488" s="3">
        <v>1760154.0</v>
      </c>
      <c r="G488" s="4">
        <v>46029.0</v>
      </c>
      <c r="H488" s="4">
        <v>46149.0</v>
      </c>
      <c r="I488" s="3" t="s">
        <v>715</v>
      </c>
      <c r="J488" s="3" t="s">
        <v>1575</v>
      </c>
      <c r="K488" s="3" t="s">
        <v>1399</v>
      </c>
      <c r="L488" s="3">
        <v>0.44</v>
      </c>
      <c r="M488" s="3">
        <v>11000.0</v>
      </c>
      <c r="N488" s="3">
        <v>1.0</v>
      </c>
      <c r="O488" s="3">
        <v>419006.0</v>
      </c>
      <c r="P488" s="3" t="s">
        <v>1576</v>
      </c>
      <c r="Q488" s="3">
        <v>1032749.0</v>
      </c>
      <c r="R488" s="3"/>
      <c r="S488" s="3">
        <v>6600.0</v>
      </c>
      <c r="T488" s="3" t="s">
        <v>62</v>
      </c>
      <c r="U488" s="3">
        <v>6600.0</v>
      </c>
      <c r="V488" s="5">
        <f>(DATE(2026,2,3)-'RICE_Insured Farms_with PPI Pol'!$G488)+IF('RICE_Insured Farms_with PPI Pol'!$H488&lt;&gt;'RICE_Insured Farms_with PPI Pol'!$G488,18,0)</f>
        <v>45</v>
      </c>
      <c r="W488" s="3" t="str">
        <f t="array" ref="W488">IFS(V488&gt;120, "Harvested", V488&gt;=113, "Yellow Ripening", V488&gt;=101, "Dough Stage", V488&gt;=93, "Milking Stage", V488&gt;=86, "Flowering", V488&gt;=56, "Panicle Initiation/Booting", V488&lt;56, "Vegetative/Tillering")</f>
        <v>Vegetative/Tillering</v>
      </c>
    </row>
    <row r="489" ht="15.75" hidden="1" customHeight="1">
      <c r="A489" s="3">
        <v>488.0</v>
      </c>
      <c r="B489" s="3" t="s">
        <v>23</v>
      </c>
      <c r="C489" s="3" t="s">
        <v>121</v>
      </c>
      <c r="D489" s="3" t="s">
        <v>399</v>
      </c>
      <c r="E489" s="3" t="s">
        <v>400</v>
      </c>
      <c r="F489" s="3">
        <v>1760153.0</v>
      </c>
      <c r="G489" s="4">
        <v>46029.0</v>
      </c>
      <c r="H489" s="4">
        <v>46149.0</v>
      </c>
      <c r="I489" s="3" t="s">
        <v>715</v>
      </c>
      <c r="J489" s="3" t="s">
        <v>1577</v>
      </c>
      <c r="K489" s="3" t="s">
        <v>1578</v>
      </c>
      <c r="L489" s="3">
        <v>0.79</v>
      </c>
      <c r="M489" s="3">
        <v>19750.0</v>
      </c>
      <c r="N489" s="3">
        <v>1.0</v>
      </c>
      <c r="O489" s="3">
        <v>165638.0</v>
      </c>
      <c r="P489" s="3" t="s">
        <v>1579</v>
      </c>
      <c r="Q489" s="3">
        <v>1136570.0</v>
      </c>
      <c r="R489" s="3"/>
      <c r="S489" s="3">
        <v>11850.0</v>
      </c>
      <c r="T489" s="3" t="s">
        <v>62</v>
      </c>
      <c r="U489" s="3">
        <v>11850.0</v>
      </c>
      <c r="V489" s="5">
        <f>(DATE(2026,2,3)-'RICE_Insured Farms_with PPI Pol'!$G489)+IF('RICE_Insured Farms_with PPI Pol'!$H489&lt;&gt;'RICE_Insured Farms_with PPI Pol'!$G489,18,0)</f>
        <v>45</v>
      </c>
      <c r="W489" s="3" t="str">
        <f t="array" ref="W489">IFS(V489&gt;120, "Harvested", V489&gt;=113, "Yellow Ripening", V489&gt;=101, "Dough Stage", V489&gt;=93, "Milking Stage", V489&gt;=86, "Flowering", V489&gt;=56, "Panicle Initiation/Booting", V489&lt;56, "Vegetative/Tillering")</f>
        <v>Vegetative/Tillering</v>
      </c>
    </row>
    <row r="490" ht="15.75" customHeight="1">
      <c r="A490" s="3">
        <v>489.0</v>
      </c>
      <c r="B490" s="3" t="s">
        <v>23</v>
      </c>
      <c r="C490" s="3" t="s">
        <v>68</v>
      </c>
      <c r="D490" s="3" t="s">
        <v>69</v>
      </c>
      <c r="E490" s="3" t="s">
        <v>184</v>
      </c>
      <c r="F490" s="3">
        <v>1739639.0</v>
      </c>
      <c r="G490" s="4">
        <v>46014.0</v>
      </c>
      <c r="H490" s="4">
        <v>46116.0</v>
      </c>
      <c r="I490" s="3" t="s">
        <v>1580</v>
      </c>
      <c r="J490" s="3" t="s">
        <v>1581</v>
      </c>
      <c r="K490" s="3" t="s">
        <v>996</v>
      </c>
      <c r="L490" s="3">
        <v>0.393</v>
      </c>
      <c r="M490" s="3">
        <v>9825.0</v>
      </c>
      <c r="N490" s="3">
        <v>3.0</v>
      </c>
      <c r="O490" s="3">
        <v>334279.0</v>
      </c>
      <c r="P490" s="3"/>
      <c r="Q490" s="3">
        <v>1138175.0</v>
      </c>
      <c r="R490" s="3"/>
      <c r="S490" s="3">
        <v>7860.0</v>
      </c>
      <c r="T490" s="3" t="s">
        <v>37</v>
      </c>
      <c r="U490" s="3">
        <v>7860.0</v>
      </c>
      <c r="V490" s="5">
        <f>(DATE(2026,2,3)-'RICE_Insured Farms_with PPI Pol'!$G490)+IF('RICE_Insured Farms_with PPI Pol'!$H490&lt;&gt;'RICE_Insured Farms_with PPI Pol'!$G490,18,0)</f>
        <v>60</v>
      </c>
      <c r="W490" s="3" t="str">
        <f t="array" ref="W490">IFS(V490&gt;120, "Harvested", V490&gt;=113, "Yellow Ripening", V490&gt;=101, "Dough Stage", V490&gt;=93, "Milking Stage", V490&gt;=86, "Flowering", V490&gt;=56, "Panicle Initiation/Booting", V490&lt;56, "Vegetative/Tillering")</f>
        <v>Panicle Initiation/Booting</v>
      </c>
    </row>
    <row r="491" ht="15.75" hidden="1" customHeight="1">
      <c r="A491" s="3">
        <v>490.0</v>
      </c>
      <c r="B491" s="3" t="s">
        <v>23</v>
      </c>
      <c r="C491" s="3" t="s">
        <v>68</v>
      </c>
      <c r="D491" s="3" t="s">
        <v>289</v>
      </c>
      <c r="E491" s="3" t="s">
        <v>848</v>
      </c>
      <c r="F491" s="3">
        <v>1760002.0</v>
      </c>
      <c r="G491" s="4">
        <v>46032.0</v>
      </c>
      <c r="H491" s="4">
        <v>46134.0</v>
      </c>
      <c r="I491" s="3" t="s">
        <v>1582</v>
      </c>
      <c r="J491" s="3" t="s">
        <v>1583</v>
      </c>
      <c r="K491" s="3" t="s">
        <v>353</v>
      </c>
      <c r="L491" s="3">
        <v>0.83</v>
      </c>
      <c r="M491" s="3">
        <v>20750.0</v>
      </c>
      <c r="N491" s="3">
        <v>2.0</v>
      </c>
      <c r="O491" s="3">
        <v>293718.0</v>
      </c>
      <c r="P491" s="3" t="s">
        <v>1584</v>
      </c>
      <c r="Q491" s="3">
        <v>1283967.0</v>
      </c>
      <c r="R491" s="3"/>
      <c r="S491" s="3">
        <v>14525.0</v>
      </c>
      <c r="T491" s="3" t="s">
        <v>31</v>
      </c>
      <c r="U491" s="3">
        <v>14525.0</v>
      </c>
      <c r="V491" s="5">
        <f>(DATE(2026,2,3)-'RICE_Insured Farms_with PPI Pol'!$G491)+IF('RICE_Insured Farms_with PPI Pol'!$H491&lt;&gt;'RICE_Insured Farms_with PPI Pol'!$G491,18,0)</f>
        <v>42</v>
      </c>
      <c r="W491" s="3" t="str">
        <f t="array" ref="W491">IFS(V491&gt;120, "Harvested", V491&gt;=113, "Yellow Ripening", V491&gt;=101, "Dough Stage", V491&gt;=93, "Milking Stage", V491&gt;=86, "Flowering", V491&gt;=56, "Panicle Initiation/Booting", V491&lt;56, "Vegetative/Tillering")</f>
        <v>Vegetative/Tillering</v>
      </c>
    </row>
    <row r="492" ht="15.75" hidden="1" customHeight="1">
      <c r="A492" s="3">
        <v>491.0</v>
      </c>
      <c r="B492" s="3" t="s">
        <v>23</v>
      </c>
      <c r="C492" s="3" t="s">
        <v>68</v>
      </c>
      <c r="D492" s="3" t="s">
        <v>289</v>
      </c>
      <c r="E492" s="3" t="s">
        <v>352</v>
      </c>
      <c r="F492" s="3">
        <v>1760051.0</v>
      </c>
      <c r="G492" s="4">
        <v>46030.0</v>
      </c>
      <c r="H492" s="4">
        <v>46132.0</v>
      </c>
      <c r="I492" s="3" t="s">
        <v>1585</v>
      </c>
      <c r="J492" s="3" t="s">
        <v>1586</v>
      </c>
      <c r="K492" s="3" t="s">
        <v>1587</v>
      </c>
      <c r="L492" s="3">
        <v>0.5032</v>
      </c>
      <c r="M492" s="3">
        <v>12580.0</v>
      </c>
      <c r="N492" s="3">
        <v>2.0</v>
      </c>
      <c r="O492" s="3">
        <v>299751.0</v>
      </c>
      <c r="P492" s="3"/>
      <c r="Q492" s="3">
        <v>970781.0</v>
      </c>
      <c r="R492" s="3"/>
      <c r="S492" s="3">
        <v>8806.0</v>
      </c>
      <c r="T492" s="3" t="s">
        <v>31</v>
      </c>
      <c r="U492" s="3">
        <v>8806.0</v>
      </c>
      <c r="V492" s="5">
        <f>(DATE(2026,2,3)-'RICE_Insured Farms_with PPI Pol'!$G492)+IF('RICE_Insured Farms_with PPI Pol'!$H492&lt;&gt;'RICE_Insured Farms_with PPI Pol'!$G492,18,0)</f>
        <v>44</v>
      </c>
      <c r="W492" s="3" t="str">
        <f t="array" ref="W492">IFS(V492&gt;120, "Harvested", V492&gt;=113, "Yellow Ripening", V492&gt;=101, "Dough Stage", V492&gt;=93, "Milking Stage", V492&gt;=86, "Flowering", V492&gt;=56, "Panicle Initiation/Booting", V492&lt;56, "Vegetative/Tillering")</f>
        <v>Vegetative/Tillering</v>
      </c>
    </row>
    <row r="493" ht="15.75" customHeight="1">
      <c r="A493" s="3">
        <v>492.0</v>
      </c>
      <c r="B493" s="3" t="s">
        <v>23</v>
      </c>
      <c r="C493" s="3" t="s">
        <v>68</v>
      </c>
      <c r="D493" s="3" t="s">
        <v>69</v>
      </c>
      <c r="E493" s="3" t="s">
        <v>184</v>
      </c>
      <c r="F493" s="3">
        <v>1739644.0</v>
      </c>
      <c r="G493" s="4">
        <v>46018.0</v>
      </c>
      <c r="H493" s="4">
        <v>46120.0</v>
      </c>
      <c r="I493" s="3" t="s">
        <v>1588</v>
      </c>
      <c r="J493" s="3" t="s">
        <v>1589</v>
      </c>
      <c r="K493" s="3" t="s">
        <v>1590</v>
      </c>
      <c r="L493" s="3">
        <v>0.4978</v>
      </c>
      <c r="M493" s="3">
        <v>12445.0</v>
      </c>
      <c r="N493" s="3">
        <v>3.0</v>
      </c>
      <c r="O493" s="3">
        <v>357691.0</v>
      </c>
      <c r="P493" s="3"/>
      <c r="Q493" s="3">
        <v>1137807.0</v>
      </c>
      <c r="R493" s="3"/>
      <c r="S493" s="3">
        <v>9956.0</v>
      </c>
      <c r="T493" s="3" t="s">
        <v>37</v>
      </c>
      <c r="U493" s="3">
        <v>9956.0</v>
      </c>
      <c r="V493" s="5">
        <f>(DATE(2026,2,3)-'RICE_Insured Farms_with PPI Pol'!$G493)+IF('RICE_Insured Farms_with PPI Pol'!$H493&lt;&gt;'RICE_Insured Farms_with PPI Pol'!$G493,18,0)</f>
        <v>56</v>
      </c>
      <c r="W493" s="3" t="str">
        <f t="array" ref="W493">IFS(V493&gt;120, "Harvested", V493&gt;=113, "Yellow Ripening", V493&gt;=101, "Dough Stage", V493&gt;=93, "Milking Stage", V493&gt;=86, "Flowering", V493&gt;=56, "Panicle Initiation/Booting", V493&lt;56, "Vegetative/Tillering")</f>
        <v>Panicle Initiation/Booting</v>
      </c>
    </row>
    <row r="494" ht="15.75" customHeight="1">
      <c r="A494" s="3">
        <v>493.0</v>
      </c>
      <c r="B494" s="3" t="s">
        <v>23</v>
      </c>
      <c r="C494" s="3" t="s">
        <v>68</v>
      </c>
      <c r="D494" s="3" t="s">
        <v>69</v>
      </c>
      <c r="E494" s="3" t="s">
        <v>131</v>
      </c>
      <c r="F494" s="3">
        <v>1739644.0</v>
      </c>
      <c r="G494" s="4">
        <v>46022.0</v>
      </c>
      <c r="H494" s="4">
        <v>46124.0</v>
      </c>
      <c r="I494" s="3" t="s">
        <v>1588</v>
      </c>
      <c r="J494" s="3" t="s">
        <v>1589</v>
      </c>
      <c r="K494" s="3" t="s">
        <v>1590</v>
      </c>
      <c r="L494" s="3">
        <v>0.5316</v>
      </c>
      <c r="M494" s="3">
        <v>13290.0</v>
      </c>
      <c r="N494" s="3">
        <v>3.0</v>
      </c>
      <c r="O494" s="3">
        <v>357691.0</v>
      </c>
      <c r="P494" s="3"/>
      <c r="Q494" s="3">
        <v>1137808.0</v>
      </c>
      <c r="R494" s="3"/>
      <c r="S494" s="3">
        <v>10632.0</v>
      </c>
      <c r="T494" s="3" t="s">
        <v>37</v>
      </c>
      <c r="U494" s="3">
        <v>10632.0</v>
      </c>
      <c r="V494" s="5">
        <f>(DATE(2026,2,3)-'RICE_Insured Farms_with PPI Pol'!$G494)+IF('RICE_Insured Farms_with PPI Pol'!$H494&lt;&gt;'RICE_Insured Farms_with PPI Pol'!$G494,18,0)</f>
        <v>52</v>
      </c>
      <c r="W494" s="3" t="str">
        <f t="array" ref="W494">IFS(V494&gt;120, "Harvested", V494&gt;=113, "Yellow Ripening", V494&gt;=101, "Dough Stage", V494&gt;=93, "Milking Stage", V494&gt;=86, "Flowering", V494&gt;=56, "Panicle Initiation/Booting", V494&lt;56, "Vegetative/Tillering")</f>
        <v>Vegetative/Tillering</v>
      </c>
    </row>
    <row r="495" ht="15.75" customHeight="1">
      <c r="A495" s="3">
        <v>494.0</v>
      </c>
      <c r="B495" s="3" t="s">
        <v>23</v>
      </c>
      <c r="C495" s="3" t="s">
        <v>68</v>
      </c>
      <c r="D495" s="3" t="s">
        <v>69</v>
      </c>
      <c r="E495" s="3" t="s">
        <v>131</v>
      </c>
      <c r="F495" s="3">
        <v>1739644.0</v>
      </c>
      <c r="G495" s="4">
        <v>46019.0</v>
      </c>
      <c r="H495" s="4">
        <v>46121.0</v>
      </c>
      <c r="I495" s="3" t="s">
        <v>1588</v>
      </c>
      <c r="J495" s="3" t="s">
        <v>1589</v>
      </c>
      <c r="K495" s="3" t="s">
        <v>1590</v>
      </c>
      <c r="L495" s="3">
        <v>0.3295</v>
      </c>
      <c r="M495" s="3">
        <v>8237.5</v>
      </c>
      <c r="N495" s="3">
        <v>3.0</v>
      </c>
      <c r="O495" s="3">
        <v>357691.0</v>
      </c>
      <c r="P495" s="3"/>
      <c r="Q495" s="3">
        <v>1137810.0</v>
      </c>
      <c r="R495" s="3"/>
      <c r="S495" s="3">
        <v>6590.0</v>
      </c>
      <c r="T495" s="3" t="s">
        <v>37</v>
      </c>
      <c r="U495" s="3">
        <v>6590.0</v>
      </c>
      <c r="V495" s="5">
        <f>(DATE(2026,2,3)-'RICE_Insured Farms_with PPI Pol'!$G495)+IF('RICE_Insured Farms_with PPI Pol'!$H495&lt;&gt;'RICE_Insured Farms_with PPI Pol'!$G495,18,0)</f>
        <v>55</v>
      </c>
      <c r="W495" s="3" t="str">
        <f t="array" ref="W495">IFS(V495&gt;120, "Harvested", V495&gt;=113, "Yellow Ripening", V495&gt;=101, "Dough Stage", V495&gt;=93, "Milking Stage", V495&gt;=86, "Flowering", V495&gt;=56, "Panicle Initiation/Booting", V495&lt;56, "Vegetative/Tillering")</f>
        <v>Vegetative/Tillering</v>
      </c>
    </row>
    <row r="496" ht="15.75" hidden="1" customHeight="1">
      <c r="A496" s="3">
        <v>495.0</v>
      </c>
      <c r="B496" s="3" t="s">
        <v>23</v>
      </c>
      <c r="C496" s="3" t="s">
        <v>1453</v>
      </c>
      <c r="D496" s="3" t="s">
        <v>1454</v>
      </c>
      <c r="E496" s="3" t="s">
        <v>1455</v>
      </c>
      <c r="F496" s="3">
        <v>1742041.0</v>
      </c>
      <c r="G496" s="4">
        <v>46029.0</v>
      </c>
      <c r="H496" s="4">
        <v>46131.0</v>
      </c>
      <c r="I496" s="3" t="s">
        <v>1591</v>
      </c>
      <c r="J496" s="3" t="s">
        <v>1592</v>
      </c>
      <c r="K496" s="3" t="s">
        <v>1593</v>
      </c>
      <c r="L496" s="3">
        <v>0.6352</v>
      </c>
      <c r="M496" s="3">
        <v>15880.0</v>
      </c>
      <c r="N496" s="3">
        <v>2.0</v>
      </c>
      <c r="O496" s="3">
        <v>229881.0</v>
      </c>
      <c r="P496" s="3"/>
      <c r="Q496" s="3">
        <v>558973.0</v>
      </c>
      <c r="R496" s="3"/>
      <c r="S496" s="3">
        <v>11116.0</v>
      </c>
      <c r="T496" s="3" t="s">
        <v>31</v>
      </c>
      <c r="U496" s="3">
        <v>11116.0</v>
      </c>
      <c r="V496" s="5">
        <f>(DATE(2026,2,3)-'RICE_Insured Farms_with PPI Pol'!$G496)+IF('RICE_Insured Farms_with PPI Pol'!$H496&lt;&gt;'RICE_Insured Farms_with PPI Pol'!$G496,18,0)</f>
        <v>45</v>
      </c>
      <c r="W496" s="3" t="str">
        <f t="array" ref="W496">IFS(V496&gt;120, "Harvested", V496&gt;=113, "Yellow Ripening", V496&gt;=101, "Dough Stage", V496&gt;=93, "Milking Stage", V496&gt;=86, "Flowering", V496&gt;=56, "Panicle Initiation/Booting", V496&lt;56, "Vegetative/Tillering")</f>
        <v>Vegetative/Tillering</v>
      </c>
    </row>
    <row r="497" ht="15.75" hidden="1" customHeight="1">
      <c r="A497" s="3">
        <v>496.0</v>
      </c>
      <c r="B497" s="3" t="s">
        <v>23</v>
      </c>
      <c r="C497" s="3" t="s">
        <v>24</v>
      </c>
      <c r="D497" s="3" t="s">
        <v>25</v>
      </c>
      <c r="E497" s="3" t="s">
        <v>1164</v>
      </c>
      <c r="F497" s="3">
        <v>1761010.0</v>
      </c>
      <c r="G497" s="4">
        <v>46028.0</v>
      </c>
      <c r="H497" s="4">
        <v>46138.0</v>
      </c>
      <c r="I497" s="3" t="s">
        <v>1167</v>
      </c>
      <c r="J497" s="3" t="s">
        <v>749</v>
      </c>
      <c r="K497" s="3" t="s">
        <v>1594</v>
      </c>
      <c r="L497" s="3">
        <v>0.5</v>
      </c>
      <c r="M497" s="3">
        <v>12500.0</v>
      </c>
      <c r="N497" s="3">
        <v>2.0</v>
      </c>
      <c r="O497" s="3">
        <v>391175.0</v>
      </c>
      <c r="P497" s="3" t="s">
        <v>1595</v>
      </c>
      <c r="Q497" s="3">
        <v>1172431.0</v>
      </c>
      <c r="R497" s="3"/>
      <c r="S497" s="3">
        <v>8750.0</v>
      </c>
      <c r="T497" s="3" t="s">
        <v>31</v>
      </c>
      <c r="U497" s="3">
        <v>8750.0</v>
      </c>
      <c r="V497" s="5">
        <f>(DATE(2026,2,3)-'RICE_Insured Farms_with PPI Pol'!$G497)+IF('RICE_Insured Farms_with PPI Pol'!$H497&lt;&gt;'RICE_Insured Farms_with PPI Pol'!$G497,18,0)</f>
        <v>46</v>
      </c>
      <c r="W497" s="3" t="str">
        <f t="array" ref="W497">IFS(V497&gt;120, "Harvested", V497&gt;=113, "Yellow Ripening", V497&gt;=101, "Dough Stage", V497&gt;=93, "Milking Stage", V497&gt;=86, "Flowering", V497&gt;=56, "Panicle Initiation/Booting", V497&lt;56, "Vegetative/Tillering")</f>
        <v>Vegetative/Tillering</v>
      </c>
    </row>
    <row r="498" ht="15.75" hidden="1" customHeight="1">
      <c r="A498" s="3">
        <v>497.0</v>
      </c>
      <c r="B498" s="3" t="s">
        <v>23</v>
      </c>
      <c r="C498" s="3" t="s">
        <v>68</v>
      </c>
      <c r="D498" s="3" t="s">
        <v>679</v>
      </c>
      <c r="E498" s="3" t="s">
        <v>680</v>
      </c>
      <c r="F498" s="3">
        <v>1175382.0</v>
      </c>
      <c r="G498" s="4">
        <v>46031.0</v>
      </c>
      <c r="H498" s="4">
        <v>46133.0</v>
      </c>
      <c r="I498" s="3" t="s">
        <v>1004</v>
      </c>
      <c r="J498" s="3" t="s">
        <v>1596</v>
      </c>
      <c r="K498" s="3" t="s">
        <v>1205</v>
      </c>
      <c r="L498" s="3">
        <v>0.4533</v>
      </c>
      <c r="M498" s="3">
        <v>11332.5</v>
      </c>
      <c r="N498" s="3">
        <v>2.0</v>
      </c>
      <c r="O498" s="3">
        <v>200097.0</v>
      </c>
      <c r="P498" s="3" t="s">
        <v>1597</v>
      </c>
      <c r="Q498" s="3">
        <v>1142994.0</v>
      </c>
      <c r="R498" s="3"/>
      <c r="S498" s="3">
        <v>7932.75</v>
      </c>
      <c r="T498" s="3" t="s">
        <v>31</v>
      </c>
      <c r="U498" s="3">
        <v>7932.75</v>
      </c>
      <c r="V498" s="5">
        <f>(DATE(2026,2,3)-'RICE_Insured Farms_with PPI Pol'!$G498)+IF('RICE_Insured Farms_with PPI Pol'!$H498&lt;&gt;'RICE_Insured Farms_with PPI Pol'!$G498,18,0)</f>
        <v>43</v>
      </c>
      <c r="W498" s="3" t="str">
        <f t="array" ref="W498">IFS(V498&gt;120, "Harvested", V498&gt;=113, "Yellow Ripening", V498&gt;=101, "Dough Stage", V498&gt;=93, "Milking Stage", V498&gt;=86, "Flowering", V498&gt;=56, "Panicle Initiation/Booting", V498&lt;56, "Vegetative/Tillering")</f>
        <v>Vegetative/Tillering</v>
      </c>
    </row>
    <row r="499" ht="15.75" customHeight="1">
      <c r="A499" s="3">
        <v>498.0</v>
      </c>
      <c r="B499" s="3" t="s">
        <v>23</v>
      </c>
      <c r="C499" s="3" t="s">
        <v>68</v>
      </c>
      <c r="D499" s="3" t="s">
        <v>289</v>
      </c>
      <c r="E499" s="3" t="s">
        <v>431</v>
      </c>
      <c r="F499" s="3">
        <v>1760019.0</v>
      </c>
      <c r="G499" s="4">
        <v>46021.0</v>
      </c>
      <c r="H499" s="4">
        <v>46123.0</v>
      </c>
      <c r="I499" s="3" t="s">
        <v>721</v>
      </c>
      <c r="J499" s="3" t="s">
        <v>1598</v>
      </c>
      <c r="K499" s="3" t="s">
        <v>1599</v>
      </c>
      <c r="L499" s="3">
        <v>0.1695</v>
      </c>
      <c r="M499" s="3">
        <v>4237.5</v>
      </c>
      <c r="N499" s="3">
        <v>3.0</v>
      </c>
      <c r="O499" s="3">
        <v>199456.0</v>
      </c>
      <c r="P499" s="3" t="s">
        <v>1600</v>
      </c>
      <c r="Q499" s="3">
        <v>1033287.0</v>
      </c>
      <c r="R499" s="3"/>
      <c r="S499" s="3">
        <v>3390.0</v>
      </c>
      <c r="T499" s="3" t="s">
        <v>37</v>
      </c>
      <c r="U499" s="3">
        <v>3390.0</v>
      </c>
      <c r="V499" s="5">
        <f>(DATE(2026,2,3)-'RICE_Insured Farms_with PPI Pol'!$G499)+IF('RICE_Insured Farms_with PPI Pol'!$H499&lt;&gt;'RICE_Insured Farms_with PPI Pol'!$G499,18,0)</f>
        <v>53</v>
      </c>
      <c r="W499" s="3" t="str">
        <f t="array" ref="W499">IFS(V499&gt;120, "Harvested", V499&gt;=113, "Yellow Ripening", V499&gt;=101, "Dough Stage", V499&gt;=93, "Milking Stage", V499&gt;=86, "Flowering", V499&gt;=56, "Panicle Initiation/Booting", V499&lt;56, "Vegetative/Tillering")</f>
        <v>Vegetative/Tillering</v>
      </c>
    </row>
    <row r="500" ht="15.75" hidden="1" customHeight="1">
      <c r="A500" s="3">
        <v>707.0</v>
      </c>
      <c r="B500" s="3" t="s">
        <v>23</v>
      </c>
      <c r="C500" s="3" t="s">
        <v>24</v>
      </c>
      <c r="D500" s="3" t="s">
        <v>25</v>
      </c>
      <c r="E500" s="3" t="s">
        <v>1164</v>
      </c>
      <c r="F500" s="3">
        <v>1760491.0</v>
      </c>
      <c r="G500" s="4">
        <v>46013.0</v>
      </c>
      <c r="H500" s="4">
        <v>46111.0</v>
      </c>
      <c r="I500" s="3" t="s">
        <v>1601</v>
      </c>
      <c r="J500" s="3" t="s">
        <v>930</v>
      </c>
      <c r="K500" s="3" t="s">
        <v>1602</v>
      </c>
      <c r="L500" s="3">
        <v>0.5018</v>
      </c>
      <c r="M500" s="3">
        <v>12545.0</v>
      </c>
      <c r="N500" s="3">
        <v>4.0</v>
      </c>
      <c r="O500" s="3">
        <v>315183.0</v>
      </c>
      <c r="P500" s="3" t="s">
        <v>1603</v>
      </c>
      <c r="Q500" s="3">
        <v>962621.0</v>
      </c>
      <c r="R500" s="3"/>
      <c r="S500" s="3">
        <v>10036.0</v>
      </c>
      <c r="T500" s="3" t="s">
        <v>56</v>
      </c>
      <c r="U500" s="3">
        <v>10036.0</v>
      </c>
      <c r="V500" s="5">
        <f>(DATE(2026,2,3)-'RICE_Insured Farms_with PPI Pol'!$G500)+IF('RICE_Insured Farms_with PPI Pol'!$H500&lt;&gt;'RICE_Insured Farms_with PPI Pol'!$G500,18,0)</f>
        <v>61</v>
      </c>
      <c r="W500" s="3" t="str">
        <f t="array" ref="W500">IFS(V500&gt;120, "Harvested", V500&gt;=113, "Yellow Ripening", V500&gt;=101, "Dough Stage", V500&gt;=93, "Milking Stage", V500&gt;=86, "Flowering", V500&gt;=56, "Panicle Initiation/Booting", V500&lt;56, "Vegetative/Tillering")</f>
        <v>Panicle Initiation/Booting</v>
      </c>
    </row>
    <row r="501" ht="15.75" hidden="1" customHeight="1">
      <c r="A501" s="3">
        <v>500.0</v>
      </c>
      <c r="B501" s="3" t="s">
        <v>23</v>
      </c>
      <c r="C501" s="3" t="s">
        <v>24</v>
      </c>
      <c r="D501" s="3" t="s">
        <v>25</v>
      </c>
      <c r="E501" s="3" t="s">
        <v>1164</v>
      </c>
      <c r="F501" s="3">
        <v>1761033.0</v>
      </c>
      <c r="G501" s="4">
        <v>46017.0</v>
      </c>
      <c r="H501" s="4">
        <v>46137.0</v>
      </c>
      <c r="I501" s="3" t="s">
        <v>1341</v>
      </c>
      <c r="J501" s="3" t="s">
        <v>1604</v>
      </c>
      <c r="K501" s="3" t="s">
        <v>1343</v>
      </c>
      <c r="L501" s="3">
        <v>1.0448</v>
      </c>
      <c r="M501" s="3">
        <v>26120.0</v>
      </c>
      <c r="N501" s="3">
        <v>2.0</v>
      </c>
      <c r="O501" s="3">
        <v>297113.0</v>
      </c>
      <c r="P501" s="3" t="s">
        <v>1605</v>
      </c>
      <c r="Q501" s="3">
        <v>1329911.0</v>
      </c>
      <c r="R501" s="3"/>
      <c r="S501" s="3">
        <v>18284.0</v>
      </c>
      <c r="T501" s="3" t="s">
        <v>31</v>
      </c>
      <c r="U501" s="3">
        <v>18284.0</v>
      </c>
      <c r="V501" s="5">
        <f>(DATE(2026,2,3)-'RICE_Insured Farms_with PPI Pol'!$G501)+IF('RICE_Insured Farms_with PPI Pol'!$H501&lt;&gt;'RICE_Insured Farms_with PPI Pol'!$G501,18,0)</f>
        <v>57</v>
      </c>
      <c r="W501" s="3" t="str">
        <f t="array" ref="W501">IFS(V501&gt;120, "Harvested", V501&gt;=113, "Yellow Ripening", V501&gt;=101, "Dough Stage", V501&gt;=93, "Milking Stage", V501&gt;=86, "Flowering", V501&gt;=56, "Panicle Initiation/Booting", V501&lt;56, "Vegetative/Tillering")</f>
        <v>Panicle Initiation/Booting</v>
      </c>
    </row>
    <row r="502" ht="15.75" customHeight="1">
      <c r="A502" s="3">
        <v>501.0</v>
      </c>
      <c r="B502" s="3" t="s">
        <v>23</v>
      </c>
      <c r="C502" s="3" t="s">
        <v>68</v>
      </c>
      <c r="D502" s="3" t="s">
        <v>289</v>
      </c>
      <c r="E502" s="3" t="s">
        <v>352</v>
      </c>
      <c r="F502" s="3">
        <v>1760048.0</v>
      </c>
      <c r="G502" s="4">
        <v>46021.0</v>
      </c>
      <c r="H502" s="4">
        <v>46123.0</v>
      </c>
      <c r="I502" s="3" t="s">
        <v>1606</v>
      </c>
      <c r="J502" s="3" t="s">
        <v>1607</v>
      </c>
      <c r="K502" s="3" t="s">
        <v>1585</v>
      </c>
      <c r="L502" s="3">
        <v>0.5661</v>
      </c>
      <c r="M502" s="3">
        <v>14152.5</v>
      </c>
      <c r="N502" s="3">
        <v>3.0</v>
      </c>
      <c r="O502" s="3">
        <v>299704.0</v>
      </c>
      <c r="P502" s="3"/>
      <c r="Q502" s="3">
        <v>970743.0</v>
      </c>
      <c r="R502" s="3"/>
      <c r="S502" s="3">
        <v>11322.0</v>
      </c>
      <c r="T502" s="3" t="s">
        <v>37</v>
      </c>
      <c r="U502" s="3">
        <v>11322.0</v>
      </c>
      <c r="V502" s="5">
        <f>(DATE(2026,2,3)-'RICE_Insured Farms_with PPI Pol'!$G502)+IF('RICE_Insured Farms_with PPI Pol'!$H502&lt;&gt;'RICE_Insured Farms_with PPI Pol'!$G502,18,0)</f>
        <v>53</v>
      </c>
      <c r="W502" s="3" t="str">
        <f t="array" ref="W502">IFS(V502&gt;120, "Harvested", V502&gt;=113, "Yellow Ripening", V502&gt;=101, "Dough Stage", V502&gt;=93, "Milking Stage", V502&gt;=86, "Flowering", V502&gt;=56, "Panicle Initiation/Booting", V502&lt;56, "Vegetative/Tillering")</f>
        <v>Vegetative/Tillering</v>
      </c>
    </row>
    <row r="503" ht="15.75" customHeight="1">
      <c r="A503" s="3">
        <v>502.0</v>
      </c>
      <c r="B503" s="3" t="s">
        <v>23</v>
      </c>
      <c r="C503" s="3" t="s">
        <v>24</v>
      </c>
      <c r="D503" s="3" t="s">
        <v>25</v>
      </c>
      <c r="E503" s="3" t="s">
        <v>637</v>
      </c>
      <c r="F503" s="3">
        <v>1760463.0</v>
      </c>
      <c r="G503" s="4">
        <v>46005.0</v>
      </c>
      <c r="H503" s="4">
        <v>46125.0</v>
      </c>
      <c r="I503" s="3" t="s">
        <v>1608</v>
      </c>
      <c r="J503" s="3" t="s">
        <v>1609</v>
      </c>
      <c r="K503" s="3" t="s">
        <v>1610</v>
      </c>
      <c r="L503" s="3">
        <v>1.0</v>
      </c>
      <c r="M503" s="3">
        <v>25000.0</v>
      </c>
      <c r="N503" s="3">
        <v>3.0</v>
      </c>
      <c r="O503" s="3">
        <v>95006.0</v>
      </c>
      <c r="P503" s="3"/>
      <c r="Q503" s="3">
        <v>1132673.0</v>
      </c>
      <c r="R503" s="3"/>
      <c r="S503" s="3">
        <v>20000.0</v>
      </c>
      <c r="T503" s="3" t="s">
        <v>37</v>
      </c>
      <c r="U503" s="3">
        <v>20000.0</v>
      </c>
      <c r="V503" s="5">
        <f>(DATE(2026,2,3)-'RICE_Insured Farms_with PPI Pol'!$G503)+IF('RICE_Insured Farms_with PPI Pol'!$H503&lt;&gt;'RICE_Insured Farms_with PPI Pol'!$G503,18,0)</f>
        <v>69</v>
      </c>
      <c r="W503" s="3" t="str">
        <f t="array" ref="W503">IFS(V503&gt;120, "Harvested", V503&gt;=113, "Yellow Ripening", V503&gt;=101, "Dough Stage", V503&gt;=93, "Milking Stage", V503&gt;=86, "Flowering", V503&gt;=56, "Panicle Initiation/Booting", V503&lt;56, "Vegetative/Tillering")</f>
        <v>Panicle Initiation/Booting</v>
      </c>
    </row>
    <row r="504" ht="15.75" customHeight="1">
      <c r="A504" s="3">
        <v>503.0</v>
      </c>
      <c r="B504" s="3" t="s">
        <v>23</v>
      </c>
      <c r="C504" s="3" t="s">
        <v>68</v>
      </c>
      <c r="D504" s="3" t="s">
        <v>262</v>
      </c>
      <c r="E504" s="3" t="s">
        <v>1611</v>
      </c>
      <c r="F504" s="3">
        <v>1739591.0</v>
      </c>
      <c r="G504" s="4">
        <v>46025.0</v>
      </c>
      <c r="H504" s="4">
        <v>46117.0</v>
      </c>
      <c r="I504" s="3" t="s">
        <v>1612</v>
      </c>
      <c r="J504" s="3" t="s">
        <v>1613</v>
      </c>
      <c r="K504" s="3" t="s">
        <v>1614</v>
      </c>
      <c r="L504" s="3">
        <v>0.3859</v>
      </c>
      <c r="M504" s="3">
        <v>9647.5</v>
      </c>
      <c r="N504" s="3">
        <v>3.0</v>
      </c>
      <c r="O504" s="3">
        <v>92420.0</v>
      </c>
      <c r="P504" s="3"/>
      <c r="Q504" s="3">
        <v>1187089.0</v>
      </c>
      <c r="R504" s="3"/>
      <c r="S504" s="3">
        <v>7718.0</v>
      </c>
      <c r="T504" s="3" t="s">
        <v>37</v>
      </c>
      <c r="U504" s="3">
        <v>7718.0</v>
      </c>
      <c r="V504" s="5">
        <f>(DATE(2026,2,3)-'RICE_Insured Farms_with PPI Pol'!$G504)+IF('RICE_Insured Farms_with PPI Pol'!$H504&lt;&gt;'RICE_Insured Farms_with PPI Pol'!$G504,18,0)</f>
        <v>49</v>
      </c>
      <c r="W504" s="3" t="str">
        <f t="array" ref="W504">IFS(V504&gt;120, "Harvested", V504&gt;=113, "Yellow Ripening", V504&gt;=101, "Dough Stage", V504&gt;=93, "Milking Stage", V504&gt;=86, "Flowering", V504&gt;=56, "Panicle Initiation/Booting", V504&lt;56, "Vegetative/Tillering")</f>
        <v>Vegetative/Tillering</v>
      </c>
    </row>
    <row r="505" ht="15.75" customHeight="1">
      <c r="A505" s="3">
        <v>504.0</v>
      </c>
      <c r="B505" s="3" t="s">
        <v>756</v>
      </c>
      <c r="C505" s="3" t="s">
        <v>919</v>
      </c>
      <c r="D505" s="3" t="s">
        <v>1615</v>
      </c>
      <c r="E505" s="3" t="s">
        <v>1616</v>
      </c>
      <c r="F505" s="3">
        <v>1760802.0</v>
      </c>
      <c r="G505" s="4">
        <v>46017.0</v>
      </c>
      <c r="H505" s="4">
        <v>46112.0</v>
      </c>
      <c r="I505" s="3" t="s">
        <v>1617</v>
      </c>
      <c r="J505" s="3" t="s">
        <v>1618</v>
      </c>
      <c r="K505" s="3" t="s">
        <v>622</v>
      </c>
      <c r="L505" s="3">
        <v>1.3023</v>
      </c>
      <c r="M505" s="3">
        <v>60000.0</v>
      </c>
      <c r="N505" s="3">
        <v>3.0</v>
      </c>
      <c r="O505" s="3">
        <v>495550.0</v>
      </c>
      <c r="P505" s="3" t="s">
        <v>1619</v>
      </c>
      <c r="Q505" s="3">
        <v>1226457.0</v>
      </c>
      <c r="R505" s="3"/>
      <c r="S505" s="3">
        <v>48000.0</v>
      </c>
      <c r="T505" s="3" t="s">
        <v>37</v>
      </c>
      <c r="U505" s="3">
        <v>48000.0</v>
      </c>
      <c r="V505" s="5">
        <f>(DATE(2026,2,3)-'RICE_Insured Farms_with PPI Pol'!$G505)+IF('RICE_Insured Farms_with PPI Pol'!$H505&lt;&gt;'RICE_Insured Farms_with PPI Pol'!$G505,18,0)</f>
        <v>57</v>
      </c>
      <c r="W505" s="3" t="str">
        <f t="array" ref="W505">IFS(V505&gt;120, "Harvested", V505&gt;=113, "Yellow Ripening", V505&gt;=101, "Dough Stage", V505&gt;=93, "Milking Stage", V505&gt;=86, "Flowering", V505&gt;=56, "Panicle Initiation/Booting", V505&lt;56, "Vegetative/Tillering")</f>
        <v>Panicle Initiation/Booting</v>
      </c>
    </row>
    <row r="506" ht="15.75" customHeight="1">
      <c r="A506" s="3">
        <v>505.0</v>
      </c>
      <c r="B506" s="3" t="s">
        <v>23</v>
      </c>
      <c r="C506" s="3" t="s">
        <v>68</v>
      </c>
      <c r="D506" s="3" t="s">
        <v>289</v>
      </c>
      <c r="E506" s="3" t="s">
        <v>1620</v>
      </c>
      <c r="F506" s="3">
        <v>1760008.0</v>
      </c>
      <c r="G506" s="4">
        <v>46012.0</v>
      </c>
      <c r="H506" s="4">
        <v>46114.0</v>
      </c>
      <c r="I506" s="3" t="s">
        <v>1621</v>
      </c>
      <c r="J506" s="3" t="s">
        <v>1622</v>
      </c>
      <c r="K506" s="3" t="s">
        <v>1623</v>
      </c>
      <c r="L506" s="3">
        <v>0.394</v>
      </c>
      <c r="M506" s="3">
        <v>9850.0</v>
      </c>
      <c r="N506" s="3">
        <v>3.0</v>
      </c>
      <c r="O506" s="3">
        <v>119238.0</v>
      </c>
      <c r="P506" s="3" t="s">
        <v>1624</v>
      </c>
      <c r="Q506" s="3">
        <v>1134536.0</v>
      </c>
      <c r="R506" s="3"/>
      <c r="S506" s="3">
        <v>7880.0</v>
      </c>
      <c r="T506" s="3" t="s">
        <v>37</v>
      </c>
      <c r="U506" s="3">
        <v>7880.0</v>
      </c>
      <c r="V506" s="5">
        <f>(DATE(2026,2,3)-'RICE_Insured Farms_with PPI Pol'!$G506)+IF('RICE_Insured Farms_with PPI Pol'!$H506&lt;&gt;'RICE_Insured Farms_with PPI Pol'!$G506,18,0)</f>
        <v>62</v>
      </c>
      <c r="W506" s="3" t="str">
        <f t="array" ref="W506">IFS(V506&gt;120, "Harvested", V506&gt;=113, "Yellow Ripening", V506&gt;=101, "Dough Stage", V506&gt;=93, "Milking Stage", V506&gt;=86, "Flowering", V506&gt;=56, "Panicle Initiation/Booting", V506&lt;56, "Vegetative/Tillering")</f>
        <v>Panicle Initiation/Booting</v>
      </c>
    </row>
    <row r="507" ht="15.75" hidden="1" customHeight="1">
      <c r="A507" s="3">
        <v>506.0</v>
      </c>
      <c r="B507" s="3" t="s">
        <v>23</v>
      </c>
      <c r="C507" s="3" t="s">
        <v>50</v>
      </c>
      <c r="D507" s="3" t="s">
        <v>51</v>
      </c>
      <c r="E507" s="3" t="s">
        <v>52</v>
      </c>
      <c r="F507" s="3">
        <v>1741852.0</v>
      </c>
      <c r="G507" s="4">
        <v>46031.0</v>
      </c>
      <c r="H507" s="4">
        <v>46151.0</v>
      </c>
      <c r="I507" s="3" t="s">
        <v>1625</v>
      </c>
      <c r="J507" s="3" t="s">
        <v>365</v>
      </c>
      <c r="K507" s="3" t="s">
        <v>1626</v>
      </c>
      <c r="L507" s="3">
        <v>0.3155</v>
      </c>
      <c r="M507" s="3">
        <v>7887.5</v>
      </c>
      <c r="N507" s="3">
        <v>1.0</v>
      </c>
      <c r="O507" s="3">
        <v>34828.0</v>
      </c>
      <c r="P507" s="3" t="s">
        <v>1627</v>
      </c>
      <c r="Q507" s="3">
        <v>1305156.0</v>
      </c>
      <c r="R507" s="3"/>
      <c r="S507" s="3">
        <v>4732.5</v>
      </c>
      <c r="T507" s="3" t="s">
        <v>62</v>
      </c>
      <c r="U507" s="3">
        <v>4732.5</v>
      </c>
      <c r="V507" s="5">
        <f>(DATE(2026,2,3)-'RICE_Insured Farms_with PPI Pol'!$G507)+IF('RICE_Insured Farms_with PPI Pol'!$H507&lt;&gt;'RICE_Insured Farms_with PPI Pol'!$G507,18,0)</f>
        <v>43</v>
      </c>
      <c r="W507" s="3" t="str">
        <f t="array" ref="W507">IFS(V507&gt;120, "Harvested", V507&gt;=113, "Yellow Ripening", V507&gt;=101, "Dough Stage", V507&gt;=93, "Milking Stage", V507&gt;=86, "Flowering", V507&gt;=56, "Panicle Initiation/Booting", V507&lt;56, "Vegetative/Tillering")</f>
        <v>Vegetative/Tillering</v>
      </c>
    </row>
    <row r="508" ht="15.75" customHeight="1">
      <c r="A508" s="3">
        <v>507.0</v>
      </c>
      <c r="B508" s="3" t="s">
        <v>1213</v>
      </c>
      <c r="C508" s="3" t="s">
        <v>24</v>
      </c>
      <c r="D508" s="3" t="s">
        <v>25</v>
      </c>
      <c r="E508" s="3" t="s">
        <v>348</v>
      </c>
      <c r="F508" s="3">
        <v>1760484.0</v>
      </c>
      <c r="G508" s="4">
        <v>46022.0</v>
      </c>
      <c r="H508" s="4">
        <v>46117.0</v>
      </c>
      <c r="I508" s="3" t="s">
        <v>1628</v>
      </c>
      <c r="J508" s="3" t="s">
        <v>1629</v>
      </c>
      <c r="K508" s="3" t="s">
        <v>1630</v>
      </c>
      <c r="L508" s="3">
        <v>3.0</v>
      </c>
      <c r="M508" s="3">
        <v>120000.0</v>
      </c>
      <c r="N508" s="3">
        <v>3.0</v>
      </c>
      <c r="O508" s="3">
        <v>43766.0</v>
      </c>
      <c r="P508" s="3" t="s">
        <v>1631</v>
      </c>
      <c r="Q508" s="3">
        <v>1134523.0</v>
      </c>
      <c r="R508" s="3"/>
      <c r="S508" s="3">
        <v>96000.0</v>
      </c>
      <c r="T508" s="3" t="s">
        <v>37</v>
      </c>
      <c r="U508" s="3">
        <v>96000.0</v>
      </c>
      <c r="V508" s="5">
        <f>(DATE(2026,2,3)-'RICE_Insured Farms_with PPI Pol'!$G508)+IF('RICE_Insured Farms_with PPI Pol'!$H508&lt;&gt;'RICE_Insured Farms_with PPI Pol'!$G508,18,0)</f>
        <v>52</v>
      </c>
      <c r="W508" s="3" t="str">
        <f t="array" ref="W508">IFS(V508&gt;120, "Harvested", V508&gt;=113, "Yellow Ripening", V508&gt;=101, "Dough Stage", V508&gt;=93, "Milking Stage", V508&gt;=86, "Flowering", V508&gt;=56, "Panicle Initiation/Booting", V508&lt;56, "Vegetative/Tillering")</f>
        <v>Vegetative/Tillering</v>
      </c>
    </row>
    <row r="509" ht="15.75" customHeight="1">
      <c r="A509" s="3">
        <v>508.0</v>
      </c>
      <c r="B509" s="3" t="s">
        <v>23</v>
      </c>
      <c r="C509" s="3" t="s">
        <v>311</v>
      </c>
      <c r="D509" s="3" t="s">
        <v>329</v>
      </c>
      <c r="E509" s="3" t="s">
        <v>330</v>
      </c>
      <c r="F509" s="3">
        <v>1740208.0</v>
      </c>
      <c r="G509" s="4">
        <v>46031.0</v>
      </c>
      <c r="H509" s="4">
        <v>46126.0</v>
      </c>
      <c r="I509" s="3" t="s">
        <v>333</v>
      </c>
      <c r="J509" s="3" t="s">
        <v>967</v>
      </c>
      <c r="K509" s="3" t="s">
        <v>1632</v>
      </c>
      <c r="L509" s="3">
        <v>0.4343</v>
      </c>
      <c r="M509" s="3">
        <v>10857.5</v>
      </c>
      <c r="N509" s="3">
        <v>3.0</v>
      </c>
      <c r="O509" s="3">
        <v>71046.0</v>
      </c>
      <c r="P509" s="3" t="s">
        <v>1633</v>
      </c>
      <c r="Q509" s="3">
        <v>1274759.0</v>
      </c>
      <c r="R509" s="3"/>
      <c r="S509" s="3">
        <v>8686.0</v>
      </c>
      <c r="T509" s="3" t="s">
        <v>37</v>
      </c>
      <c r="U509" s="3">
        <v>8686.0</v>
      </c>
      <c r="V509" s="5">
        <f>(DATE(2026,2,3)-'RICE_Insured Farms_with PPI Pol'!$G509)+IF('RICE_Insured Farms_with PPI Pol'!$H509&lt;&gt;'RICE_Insured Farms_with PPI Pol'!$G509,18,0)</f>
        <v>43</v>
      </c>
      <c r="W509" s="3" t="str">
        <f t="array" ref="W509">IFS(V509&gt;120, "Harvested", V509&gt;=113, "Yellow Ripening", V509&gt;=101, "Dough Stage", V509&gt;=93, "Milking Stage", V509&gt;=86, "Flowering", V509&gt;=56, "Panicle Initiation/Booting", V509&lt;56, "Vegetative/Tillering")</f>
        <v>Vegetative/Tillering</v>
      </c>
    </row>
    <row r="510" ht="15.75" hidden="1" customHeight="1">
      <c r="A510" s="3">
        <v>509.0</v>
      </c>
      <c r="B510" s="3" t="s">
        <v>23</v>
      </c>
      <c r="C510" s="3" t="s">
        <v>68</v>
      </c>
      <c r="D510" s="3" t="s">
        <v>289</v>
      </c>
      <c r="E510" s="3" t="s">
        <v>702</v>
      </c>
      <c r="F510" s="3">
        <v>1760039.0</v>
      </c>
      <c r="G510" s="4">
        <v>46030.0</v>
      </c>
      <c r="H510" s="4">
        <v>46132.0</v>
      </c>
      <c r="I510" s="3" t="s">
        <v>1634</v>
      </c>
      <c r="J510" s="3" t="s">
        <v>1635</v>
      </c>
      <c r="K510" s="3" t="s">
        <v>1636</v>
      </c>
      <c r="L510" s="3">
        <v>0.4771</v>
      </c>
      <c r="M510" s="3">
        <v>11927.5</v>
      </c>
      <c r="N510" s="3">
        <v>2.0</v>
      </c>
      <c r="O510" s="3">
        <v>31355.0</v>
      </c>
      <c r="P510" s="3"/>
      <c r="Q510" s="3">
        <v>1285160.0</v>
      </c>
      <c r="R510" s="3"/>
      <c r="S510" s="3">
        <v>8349.25</v>
      </c>
      <c r="T510" s="3" t="s">
        <v>31</v>
      </c>
      <c r="U510" s="3">
        <v>8349.25</v>
      </c>
      <c r="V510" s="5">
        <f>(DATE(2026,2,3)-'RICE_Insured Farms_with PPI Pol'!$G510)+IF('RICE_Insured Farms_with PPI Pol'!$H510&lt;&gt;'RICE_Insured Farms_with PPI Pol'!$G510,18,0)</f>
        <v>44</v>
      </c>
      <c r="W510" s="3" t="str">
        <f t="array" ref="W510">IFS(V510&gt;120, "Harvested", V510&gt;=113, "Yellow Ripening", V510&gt;=101, "Dough Stage", V510&gt;=93, "Milking Stage", V510&gt;=86, "Flowering", V510&gt;=56, "Panicle Initiation/Booting", V510&lt;56, "Vegetative/Tillering")</f>
        <v>Vegetative/Tillering</v>
      </c>
    </row>
    <row r="511" ht="15.75" hidden="1" customHeight="1">
      <c r="A511" s="3">
        <v>510.0</v>
      </c>
      <c r="B511" s="3" t="s">
        <v>23</v>
      </c>
      <c r="C511" s="3" t="s">
        <v>68</v>
      </c>
      <c r="D511" s="3" t="s">
        <v>289</v>
      </c>
      <c r="E511" s="3" t="s">
        <v>702</v>
      </c>
      <c r="F511" s="3">
        <v>1760039.0</v>
      </c>
      <c r="G511" s="4">
        <v>46030.0</v>
      </c>
      <c r="H511" s="4">
        <v>46132.0</v>
      </c>
      <c r="I511" s="3" t="s">
        <v>1634</v>
      </c>
      <c r="J511" s="3" t="s">
        <v>1637</v>
      </c>
      <c r="K511" s="3" t="s">
        <v>1636</v>
      </c>
      <c r="L511" s="3">
        <v>0.1527</v>
      </c>
      <c r="M511" s="3">
        <v>3817.5</v>
      </c>
      <c r="N511" s="3">
        <v>2.0</v>
      </c>
      <c r="O511" s="3">
        <v>31356.0</v>
      </c>
      <c r="P511" s="3" t="s">
        <v>1638</v>
      </c>
      <c r="Q511" s="3">
        <v>1217172.0</v>
      </c>
      <c r="R511" s="3"/>
      <c r="S511" s="3">
        <v>2672.25</v>
      </c>
      <c r="T511" s="3" t="s">
        <v>31</v>
      </c>
      <c r="U511" s="3">
        <v>2672.25</v>
      </c>
      <c r="V511" s="5">
        <f>(DATE(2026,2,3)-'RICE_Insured Farms_with PPI Pol'!$G511)+IF('RICE_Insured Farms_with PPI Pol'!$H511&lt;&gt;'RICE_Insured Farms_with PPI Pol'!$G511,18,0)</f>
        <v>44</v>
      </c>
      <c r="W511" s="3" t="str">
        <f t="array" ref="W511">IFS(V511&gt;120, "Harvested", V511&gt;=113, "Yellow Ripening", V511&gt;=101, "Dough Stage", V511&gt;=93, "Milking Stage", V511&gt;=86, "Flowering", V511&gt;=56, "Panicle Initiation/Booting", V511&lt;56, "Vegetative/Tillering")</f>
        <v>Vegetative/Tillering</v>
      </c>
    </row>
    <row r="512" ht="15.75" customHeight="1">
      <c r="A512" s="3">
        <v>511.0</v>
      </c>
      <c r="B512" s="3" t="s">
        <v>23</v>
      </c>
      <c r="C512" s="3" t="s">
        <v>1453</v>
      </c>
      <c r="D512" s="3" t="s">
        <v>1454</v>
      </c>
      <c r="E512" s="3" t="s">
        <v>1455</v>
      </c>
      <c r="F512" s="3">
        <v>1742042.0</v>
      </c>
      <c r="G512" s="4">
        <v>46020.0</v>
      </c>
      <c r="H512" s="4">
        <v>46122.0</v>
      </c>
      <c r="I512" s="3" t="s">
        <v>1639</v>
      </c>
      <c r="J512" s="3" t="s">
        <v>1122</v>
      </c>
      <c r="K512" s="3" t="s">
        <v>1640</v>
      </c>
      <c r="L512" s="3">
        <v>0.18</v>
      </c>
      <c r="M512" s="3">
        <v>4500.0</v>
      </c>
      <c r="N512" s="3">
        <v>3.0</v>
      </c>
      <c r="O512" s="3">
        <v>428242.0</v>
      </c>
      <c r="P512" s="3" t="s">
        <v>1641</v>
      </c>
      <c r="Q512" s="3">
        <v>1318540.0</v>
      </c>
      <c r="R512" s="3"/>
      <c r="S512" s="3">
        <v>3600.0</v>
      </c>
      <c r="T512" s="3" t="s">
        <v>37</v>
      </c>
      <c r="U512" s="3">
        <v>3600.0</v>
      </c>
      <c r="V512" s="5">
        <f>(DATE(2026,2,3)-'RICE_Insured Farms_with PPI Pol'!$G512)+IF('RICE_Insured Farms_with PPI Pol'!$H512&lt;&gt;'RICE_Insured Farms_with PPI Pol'!$G512,18,0)</f>
        <v>54</v>
      </c>
      <c r="W512" s="3" t="str">
        <f t="array" ref="W512">IFS(V512&gt;120, "Harvested", V512&gt;=113, "Yellow Ripening", V512&gt;=101, "Dough Stage", V512&gt;=93, "Milking Stage", V512&gt;=86, "Flowering", V512&gt;=56, "Panicle Initiation/Booting", V512&lt;56, "Vegetative/Tillering")</f>
        <v>Vegetative/Tillering</v>
      </c>
    </row>
    <row r="513" ht="15.75" customHeight="1">
      <c r="A513" s="3">
        <v>512.0</v>
      </c>
      <c r="B513" s="3" t="s">
        <v>23</v>
      </c>
      <c r="C513" s="3" t="s">
        <v>1453</v>
      </c>
      <c r="D513" s="3" t="s">
        <v>1454</v>
      </c>
      <c r="E513" s="3" t="s">
        <v>1455</v>
      </c>
      <c r="F513" s="3">
        <v>1742042.0</v>
      </c>
      <c r="G513" s="4">
        <v>46020.0</v>
      </c>
      <c r="H513" s="4">
        <v>46122.0</v>
      </c>
      <c r="I513" s="3" t="s">
        <v>1639</v>
      </c>
      <c r="J513" s="3" t="s">
        <v>1122</v>
      </c>
      <c r="K513" s="3" t="s">
        <v>1640</v>
      </c>
      <c r="L513" s="3">
        <v>0.3898</v>
      </c>
      <c r="M513" s="3">
        <v>9745.0</v>
      </c>
      <c r="N513" s="3">
        <v>3.0</v>
      </c>
      <c r="O513" s="3">
        <v>428242.0</v>
      </c>
      <c r="P513" s="3" t="s">
        <v>1641</v>
      </c>
      <c r="Q513" s="3">
        <v>1318543.0</v>
      </c>
      <c r="R513" s="3"/>
      <c r="S513" s="3">
        <v>7796.0</v>
      </c>
      <c r="T513" s="3" t="s">
        <v>37</v>
      </c>
      <c r="U513" s="3">
        <v>7796.0</v>
      </c>
      <c r="V513" s="5">
        <f>(DATE(2026,2,3)-'RICE_Insured Farms_with PPI Pol'!$G513)+IF('RICE_Insured Farms_with PPI Pol'!$H513&lt;&gt;'RICE_Insured Farms_with PPI Pol'!$G513,18,0)</f>
        <v>54</v>
      </c>
      <c r="W513" s="3" t="str">
        <f t="array" ref="W513">IFS(V513&gt;120, "Harvested", V513&gt;=113, "Yellow Ripening", V513&gt;=101, "Dough Stage", V513&gt;=93, "Milking Stage", V513&gt;=86, "Flowering", V513&gt;=56, "Panicle Initiation/Booting", V513&lt;56, "Vegetative/Tillering")</f>
        <v>Vegetative/Tillering</v>
      </c>
    </row>
    <row r="514" ht="15.75" hidden="1" customHeight="1">
      <c r="A514" s="3">
        <v>513.0</v>
      </c>
      <c r="B514" s="3" t="s">
        <v>23</v>
      </c>
      <c r="C514" s="3" t="s">
        <v>68</v>
      </c>
      <c r="D514" s="3" t="s">
        <v>289</v>
      </c>
      <c r="E514" s="3" t="s">
        <v>290</v>
      </c>
      <c r="F514" s="3">
        <v>1760036.0</v>
      </c>
      <c r="G514" s="4">
        <v>46031.0</v>
      </c>
      <c r="H514" s="4">
        <v>46133.0</v>
      </c>
      <c r="I514" s="3" t="s">
        <v>1642</v>
      </c>
      <c r="J514" s="3" t="s">
        <v>933</v>
      </c>
      <c r="K514" s="3" t="s">
        <v>291</v>
      </c>
      <c r="L514" s="3">
        <v>0.6803</v>
      </c>
      <c r="M514" s="3">
        <v>17007.5</v>
      </c>
      <c r="N514" s="3">
        <v>2.0</v>
      </c>
      <c r="O514" s="3">
        <v>119575.0</v>
      </c>
      <c r="P514" s="3" t="s">
        <v>1643</v>
      </c>
      <c r="Q514" s="3">
        <v>1136021.0</v>
      </c>
      <c r="R514" s="3"/>
      <c r="S514" s="3">
        <v>11905.25</v>
      </c>
      <c r="T514" s="3" t="s">
        <v>31</v>
      </c>
      <c r="U514" s="3">
        <v>11905.25</v>
      </c>
      <c r="V514" s="5">
        <f>(DATE(2026,2,3)-'RICE_Insured Farms_with PPI Pol'!$G514)+IF('RICE_Insured Farms_with PPI Pol'!$H514&lt;&gt;'RICE_Insured Farms_with PPI Pol'!$G514,18,0)</f>
        <v>43</v>
      </c>
      <c r="W514" s="3" t="str">
        <f t="array" ref="W514">IFS(V514&gt;120, "Harvested", V514&gt;=113, "Yellow Ripening", V514&gt;=101, "Dough Stage", V514&gt;=93, "Milking Stage", V514&gt;=86, "Flowering", V514&gt;=56, "Panicle Initiation/Booting", V514&lt;56, "Vegetative/Tillering")</f>
        <v>Vegetative/Tillering</v>
      </c>
    </row>
    <row r="515" ht="15.75" hidden="1" customHeight="1">
      <c r="A515" s="3">
        <v>514.0</v>
      </c>
      <c r="B515" s="3" t="s">
        <v>23</v>
      </c>
      <c r="C515" s="3" t="s">
        <v>68</v>
      </c>
      <c r="D515" s="3" t="s">
        <v>289</v>
      </c>
      <c r="E515" s="3" t="s">
        <v>290</v>
      </c>
      <c r="F515" s="3">
        <v>1760036.0</v>
      </c>
      <c r="G515" s="4">
        <v>46031.0</v>
      </c>
      <c r="H515" s="4">
        <v>46133.0</v>
      </c>
      <c r="I515" s="3" t="s">
        <v>1642</v>
      </c>
      <c r="J515" s="3" t="s">
        <v>933</v>
      </c>
      <c r="K515" s="3" t="s">
        <v>291</v>
      </c>
      <c r="L515" s="3">
        <v>0.5473</v>
      </c>
      <c r="M515" s="3">
        <v>13682.5</v>
      </c>
      <c r="N515" s="3">
        <v>2.0</v>
      </c>
      <c r="O515" s="3">
        <v>119575.0</v>
      </c>
      <c r="P515" s="3" t="s">
        <v>1643</v>
      </c>
      <c r="Q515" s="3">
        <v>1283665.0</v>
      </c>
      <c r="R515" s="3"/>
      <c r="S515" s="3">
        <v>9577.75</v>
      </c>
      <c r="T515" s="3" t="s">
        <v>31</v>
      </c>
      <c r="U515" s="3">
        <v>9577.75</v>
      </c>
      <c r="V515" s="5">
        <f>(DATE(2026,2,3)-'RICE_Insured Farms_with PPI Pol'!$G515)+IF('RICE_Insured Farms_with PPI Pol'!$H515&lt;&gt;'RICE_Insured Farms_with PPI Pol'!$G515,18,0)</f>
        <v>43</v>
      </c>
      <c r="W515" s="3" t="str">
        <f t="array" ref="W515">IFS(V515&gt;120, "Harvested", V515&gt;=113, "Yellow Ripening", V515&gt;=101, "Dough Stage", V515&gt;=93, "Milking Stage", V515&gt;=86, "Flowering", V515&gt;=56, "Panicle Initiation/Booting", V515&lt;56, "Vegetative/Tillering")</f>
        <v>Vegetative/Tillering</v>
      </c>
    </row>
    <row r="516" ht="15.75" hidden="1" customHeight="1">
      <c r="A516" s="3">
        <v>515.0</v>
      </c>
      <c r="B516" s="3" t="s">
        <v>23</v>
      </c>
      <c r="C516" s="3" t="s">
        <v>68</v>
      </c>
      <c r="D516" s="3" t="s">
        <v>289</v>
      </c>
      <c r="E516" s="3" t="s">
        <v>290</v>
      </c>
      <c r="F516" s="3">
        <v>1760035.0</v>
      </c>
      <c r="G516" s="4">
        <v>46025.0</v>
      </c>
      <c r="H516" s="4">
        <v>46127.0</v>
      </c>
      <c r="I516" s="3" t="s">
        <v>1642</v>
      </c>
      <c r="J516" s="3" t="s">
        <v>1644</v>
      </c>
      <c r="K516" s="3" t="s">
        <v>1645</v>
      </c>
      <c r="L516" s="3">
        <v>1.232</v>
      </c>
      <c r="M516" s="3">
        <v>30800.0</v>
      </c>
      <c r="N516" s="3">
        <v>2.0</v>
      </c>
      <c r="O516" s="3">
        <v>147078.0</v>
      </c>
      <c r="P516" s="3" t="s">
        <v>1646</v>
      </c>
      <c r="Q516" s="3">
        <v>1145195.0</v>
      </c>
      <c r="R516" s="3"/>
      <c r="S516" s="3">
        <v>21560.0</v>
      </c>
      <c r="T516" s="3" t="s">
        <v>31</v>
      </c>
      <c r="U516" s="3">
        <v>21560.0</v>
      </c>
      <c r="V516" s="5">
        <f>(DATE(2026,2,3)-'RICE_Insured Farms_with PPI Pol'!$G516)+IF('RICE_Insured Farms_with PPI Pol'!$H516&lt;&gt;'RICE_Insured Farms_with PPI Pol'!$G516,18,0)</f>
        <v>49</v>
      </c>
      <c r="W516" s="3" t="str">
        <f t="array" ref="W516">IFS(V516&gt;120, "Harvested", V516&gt;=113, "Yellow Ripening", V516&gt;=101, "Dough Stage", V516&gt;=93, "Milking Stage", V516&gt;=86, "Flowering", V516&gt;=56, "Panicle Initiation/Booting", V516&lt;56, "Vegetative/Tillering")</f>
        <v>Vegetative/Tillering</v>
      </c>
    </row>
    <row r="517" ht="15.75" customHeight="1">
      <c r="A517" s="3">
        <v>516.0</v>
      </c>
      <c r="B517" s="3" t="s">
        <v>23</v>
      </c>
      <c r="C517" s="3" t="s">
        <v>68</v>
      </c>
      <c r="D517" s="3" t="s">
        <v>289</v>
      </c>
      <c r="E517" s="3" t="s">
        <v>743</v>
      </c>
      <c r="F517" s="3">
        <v>1760014.0</v>
      </c>
      <c r="G517" s="4">
        <v>46021.0</v>
      </c>
      <c r="H517" s="4">
        <v>46123.0</v>
      </c>
      <c r="I517" s="3" t="s">
        <v>730</v>
      </c>
      <c r="J517" s="3" t="s">
        <v>731</v>
      </c>
      <c r="K517" s="3" t="s">
        <v>732</v>
      </c>
      <c r="L517" s="3">
        <v>0.7642</v>
      </c>
      <c r="M517" s="3">
        <v>19105.0</v>
      </c>
      <c r="N517" s="3">
        <v>3.0</v>
      </c>
      <c r="O517" s="3">
        <v>78413.0</v>
      </c>
      <c r="P517" s="3"/>
      <c r="Q517" s="3">
        <v>1035024.0</v>
      </c>
      <c r="R517" s="3"/>
      <c r="S517" s="3">
        <v>15284.0</v>
      </c>
      <c r="T517" s="3" t="s">
        <v>37</v>
      </c>
      <c r="U517" s="3">
        <v>15284.0</v>
      </c>
      <c r="V517" s="5">
        <f>(DATE(2026,2,3)-'RICE_Insured Farms_with PPI Pol'!$G517)+IF('RICE_Insured Farms_with PPI Pol'!$H517&lt;&gt;'RICE_Insured Farms_with PPI Pol'!$G517,18,0)</f>
        <v>53</v>
      </c>
      <c r="W517" s="3" t="str">
        <f t="array" ref="W517">IFS(V517&gt;120, "Harvested", V517&gt;=113, "Yellow Ripening", V517&gt;=101, "Dough Stage", V517&gt;=93, "Milking Stage", V517&gt;=86, "Flowering", V517&gt;=56, "Panicle Initiation/Booting", V517&lt;56, "Vegetative/Tillering")</f>
        <v>Vegetative/Tillering</v>
      </c>
    </row>
    <row r="518" ht="15.75" hidden="1" customHeight="1">
      <c r="A518" s="3">
        <v>517.0</v>
      </c>
      <c r="B518" s="3" t="s">
        <v>23</v>
      </c>
      <c r="C518" s="3" t="s">
        <v>68</v>
      </c>
      <c r="D518" s="3" t="s">
        <v>289</v>
      </c>
      <c r="E518" s="3" t="s">
        <v>290</v>
      </c>
      <c r="F518" s="3">
        <v>1760037.0</v>
      </c>
      <c r="G518" s="4">
        <v>46032.0</v>
      </c>
      <c r="H518" s="4">
        <v>46134.0</v>
      </c>
      <c r="I518" s="3" t="s">
        <v>1647</v>
      </c>
      <c r="J518" s="3" t="s">
        <v>1648</v>
      </c>
      <c r="K518" s="3" t="s">
        <v>873</v>
      </c>
      <c r="L518" s="3">
        <v>0.6384</v>
      </c>
      <c r="M518" s="3">
        <v>15960.0</v>
      </c>
      <c r="N518" s="3">
        <v>2.0</v>
      </c>
      <c r="O518" s="3">
        <v>119569.0</v>
      </c>
      <c r="P518" s="3" t="s">
        <v>1649</v>
      </c>
      <c r="Q518" s="3">
        <v>1321622.0</v>
      </c>
      <c r="R518" s="3"/>
      <c r="S518" s="3">
        <v>11172.0</v>
      </c>
      <c r="T518" s="3" t="s">
        <v>31</v>
      </c>
      <c r="U518" s="3">
        <v>11172.0</v>
      </c>
      <c r="V518" s="5">
        <f>(DATE(2026,2,3)-'RICE_Insured Farms_with PPI Pol'!$G518)+IF('RICE_Insured Farms_with PPI Pol'!$H518&lt;&gt;'RICE_Insured Farms_with PPI Pol'!$G518,18,0)</f>
        <v>42</v>
      </c>
      <c r="W518" s="3" t="str">
        <f t="array" ref="W518">IFS(V518&gt;120, "Harvested", V518&gt;=113, "Yellow Ripening", V518&gt;=101, "Dough Stage", V518&gt;=93, "Milking Stage", V518&gt;=86, "Flowering", V518&gt;=56, "Panicle Initiation/Booting", V518&lt;56, "Vegetative/Tillering")</f>
        <v>Vegetative/Tillering</v>
      </c>
    </row>
    <row r="519" ht="15.75" hidden="1" customHeight="1">
      <c r="A519" s="3">
        <v>518.0</v>
      </c>
      <c r="B519" s="3" t="s">
        <v>23</v>
      </c>
      <c r="C519" s="3" t="s">
        <v>68</v>
      </c>
      <c r="D519" s="3" t="s">
        <v>289</v>
      </c>
      <c r="E519" s="3" t="s">
        <v>743</v>
      </c>
      <c r="F519" s="3">
        <v>1760012.0</v>
      </c>
      <c r="G519" s="4">
        <v>46032.0</v>
      </c>
      <c r="H519" s="4">
        <v>46134.0</v>
      </c>
      <c r="I519" s="3" t="s">
        <v>1650</v>
      </c>
      <c r="J519" s="3" t="s">
        <v>1138</v>
      </c>
      <c r="K519" s="3" t="s">
        <v>1565</v>
      </c>
      <c r="L519" s="3">
        <v>1.1542</v>
      </c>
      <c r="M519" s="3">
        <v>28855.0</v>
      </c>
      <c r="N519" s="3">
        <v>2.0</v>
      </c>
      <c r="O519" s="3">
        <v>31047.0</v>
      </c>
      <c r="P519" s="3"/>
      <c r="Q519" s="3">
        <v>1134740.0</v>
      </c>
      <c r="R519" s="3"/>
      <c r="S519" s="3">
        <v>20198.5</v>
      </c>
      <c r="T519" s="3" t="s">
        <v>31</v>
      </c>
      <c r="U519" s="3">
        <v>20198.5</v>
      </c>
      <c r="V519" s="5">
        <f>(DATE(2026,2,3)-'RICE_Insured Farms_with PPI Pol'!$G519)+IF('RICE_Insured Farms_with PPI Pol'!$H519&lt;&gt;'RICE_Insured Farms_with PPI Pol'!$G519,18,0)</f>
        <v>42</v>
      </c>
      <c r="W519" s="3" t="str">
        <f t="array" ref="W519">IFS(V519&gt;120, "Harvested", V519&gt;=113, "Yellow Ripening", V519&gt;=101, "Dough Stage", V519&gt;=93, "Milking Stage", V519&gt;=86, "Flowering", V519&gt;=56, "Panicle Initiation/Booting", V519&lt;56, "Vegetative/Tillering")</f>
        <v>Vegetative/Tillering</v>
      </c>
    </row>
    <row r="520" ht="15.75" hidden="1" customHeight="1">
      <c r="A520" s="3">
        <v>710.0</v>
      </c>
      <c r="B520" s="3" t="s">
        <v>23</v>
      </c>
      <c r="C520" s="3" t="s">
        <v>24</v>
      </c>
      <c r="D520" s="3" t="s">
        <v>25</v>
      </c>
      <c r="E520" s="3" t="s">
        <v>1164</v>
      </c>
      <c r="F520" s="3">
        <v>1760491.0</v>
      </c>
      <c r="G520" s="4">
        <v>46014.0</v>
      </c>
      <c r="H520" s="4">
        <v>46111.0</v>
      </c>
      <c r="I520" s="3" t="s">
        <v>1601</v>
      </c>
      <c r="J520" s="3" t="s">
        <v>1651</v>
      </c>
      <c r="K520" s="3" t="s">
        <v>1652</v>
      </c>
      <c r="L520" s="3">
        <v>0.287</v>
      </c>
      <c r="M520" s="3">
        <v>7175.0</v>
      </c>
      <c r="N520" s="3">
        <v>4.0</v>
      </c>
      <c r="O520" s="3">
        <v>391963.0</v>
      </c>
      <c r="P520" s="3" t="s">
        <v>1653</v>
      </c>
      <c r="Q520" s="3">
        <v>1113886.0</v>
      </c>
      <c r="R520" s="3"/>
      <c r="S520" s="3">
        <v>5740.0</v>
      </c>
      <c r="T520" s="3" t="s">
        <v>56</v>
      </c>
      <c r="U520" s="3">
        <v>5740.0</v>
      </c>
      <c r="V520" s="5">
        <f>(DATE(2026,2,3)-'RICE_Insured Farms_with PPI Pol'!$G520)+IF('RICE_Insured Farms_with PPI Pol'!$H520&lt;&gt;'RICE_Insured Farms_with PPI Pol'!$G520,18,0)</f>
        <v>60</v>
      </c>
      <c r="W520" s="3" t="str">
        <f t="array" ref="W520">IFS(V520&gt;120, "Harvested", V520&gt;=113, "Yellow Ripening", V520&gt;=101, "Dough Stage", V520&gt;=93, "Milking Stage", V520&gt;=86, "Flowering", V520&gt;=56, "Panicle Initiation/Booting", V520&lt;56, "Vegetative/Tillering")</f>
        <v>Panicle Initiation/Booting</v>
      </c>
    </row>
    <row r="521" ht="15.75" customHeight="1">
      <c r="A521" s="3">
        <v>520.0</v>
      </c>
      <c r="B521" s="3" t="s">
        <v>23</v>
      </c>
      <c r="C521" s="3" t="s">
        <v>68</v>
      </c>
      <c r="D521" s="3" t="s">
        <v>289</v>
      </c>
      <c r="E521" s="3" t="s">
        <v>848</v>
      </c>
      <c r="F521" s="3">
        <v>1760002.0</v>
      </c>
      <c r="G521" s="4">
        <v>46019.0</v>
      </c>
      <c r="H521" s="4">
        <v>46121.0</v>
      </c>
      <c r="I521" s="3" t="s">
        <v>1654</v>
      </c>
      <c r="J521" s="3" t="s">
        <v>1655</v>
      </c>
      <c r="K521" s="3" t="s">
        <v>1656</v>
      </c>
      <c r="L521" s="3">
        <v>2.0</v>
      </c>
      <c r="M521" s="3">
        <v>50000.0</v>
      </c>
      <c r="N521" s="3">
        <v>3.0</v>
      </c>
      <c r="O521" s="3">
        <v>169867.0</v>
      </c>
      <c r="P521" s="3" t="s">
        <v>1657</v>
      </c>
      <c r="Q521" s="3">
        <v>1152140.0</v>
      </c>
      <c r="R521" s="3"/>
      <c r="S521" s="3">
        <v>40000.0</v>
      </c>
      <c r="T521" s="3" t="s">
        <v>37</v>
      </c>
      <c r="U521" s="3">
        <v>40000.0</v>
      </c>
      <c r="V521" s="5">
        <f>(DATE(2026,2,3)-'RICE_Insured Farms_with PPI Pol'!$G521)+IF('RICE_Insured Farms_with PPI Pol'!$H521&lt;&gt;'RICE_Insured Farms_with PPI Pol'!$G521,18,0)</f>
        <v>55</v>
      </c>
      <c r="W521" s="3" t="str">
        <f t="array" ref="W521">IFS(V521&gt;120, "Harvested", V521&gt;=113, "Yellow Ripening", V521&gt;=101, "Dough Stage", V521&gt;=93, "Milking Stage", V521&gt;=86, "Flowering", V521&gt;=56, "Panicle Initiation/Booting", V521&lt;56, "Vegetative/Tillering")</f>
        <v>Vegetative/Tillering</v>
      </c>
    </row>
    <row r="522" ht="15.75" customHeight="1">
      <c r="A522" s="3">
        <v>521.0</v>
      </c>
      <c r="B522" s="3" t="s">
        <v>23</v>
      </c>
      <c r="C522" s="3" t="s">
        <v>68</v>
      </c>
      <c r="D522" s="3" t="s">
        <v>289</v>
      </c>
      <c r="E522" s="3" t="s">
        <v>1535</v>
      </c>
      <c r="F522" s="3">
        <v>1760009.0</v>
      </c>
      <c r="G522" s="4">
        <v>46017.0</v>
      </c>
      <c r="H522" s="4">
        <v>46119.0</v>
      </c>
      <c r="I522" s="3" t="s">
        <v>1658</v>
      </c>
      <c r="J522" s="3" t="s">
        <v>485</v>
      </c>
      <c r="K522" s="3" t="s">
        <v>1659</v>
      </c>
      <c r="L522" s="3">
        <v>0.6522</v>
      </c>
      <c r="M522" s="3">
        <v>16305.0</v>
      </c>
      <c r="N522" s="3">
        <v>3.0</v>
      </c>
      <c r="O522" s="3">
        <v>118474.0</v>
      </c>
      <c r="P522" s="3" t="s">
        <v>1660</v>
      </c>
      <c r="Q522" s="3">
        <v>1140410.0</v>
      </c>
      <c r="R522" s="3"/>
      <c r="S522" s="3">
        <v>13044.0</v>
      </c>
      <c r="T522" s="3" t="s">
        <v>37</v>
      </c>
      <c r="U522" s="3">
        <v>13044.0</v>
      </c>
      <c r="V522" s="5">
        <f>(DATE(2026,2,3)-'RICE_Insured Farms_with PPI Pol'!$G522)+IF('RICE_Insured Farms_with PPI Pol'!$H522&lt;&gt;'RICE_Insured Farms_with PPI Pol'!$G522,18,0)</f>
        <v>57</v>
      </c>
      <c r="W522" s="3" t="str">
        <f t="array" ref="W522">IFS(V522&gt;120, "Harvested", V522&gt;=113, "Yellow Ripening", V522&gt;=101, "Dough Stage", V522&gt;=93, "Milking Stage", V522&gt;=86, "Flowering", V522&gt;=56, "Panicle Initiation/Booting", V522&lt;56, "Vegetative/Tillering")</f>
        <v>Panicle Initiation/Booting</v>
      </c>
    </row>
    <row r="523" ht="15.75" hidden="1" customHeight="1">
      <c r="A523" s="3">
        <v>522.0</v>
      </c>
      <c r="B523" s="3" t="s">
        <v>23</v>
      </c>
      <c r="C523" s="3" t="s">
        <v>68</v>
      </c>
      <c r="D523" s="3" t="s">
        <v>289</v>
      </c>
      <c r="E523" s="3" t="s">
        <v>743</v>
      </c>
      <c r="F523" s="3">
        <v>1760040.0</v>
      </c>
      <c r="G523" s="4">
        <v>46027.0</v>
      </c>
      <c r="H523" s="4">
        <v>46129.0</v>
      </c>
      <c r="I523" s="3" t="s">
        <v>1658</v>
      </c>
      <c r="J523" s="3" t="s">
        <v>1661</v>
      </c>
      <c r="K523" s="3" t="s">
        <v>1325</v>
      </c>
      <c r="L523" s="3">
        <v>0.5105</v>
      </c>
      <c r="M523" s="3">
        <v>12762.5</v>
      </c>
      <c r="N523" s="3">
        <v>2.0</v>
      </c>
      <c r="O523" s="3">
        <v>82622.0</v>
      </c>
      <c r="P523" s="3" t="s">
        <v>1662</v>
      </c>
      <c r="Q523" s="3">
        <v>1035017.0</v>
      </c>
      <c r="R523" s="3"/>
      <c r="S523" s="3">
        <v>8933.75</v>
      </c>
      <c r="T523" s="3" t="s">
        <v>31</v>
      </c>
      <c r="U523" s="3">
        <v>8933.75</v>
      </c>
      <c r="V523" s="5">
        <f>(DATE(2026,2,3)-'RICE_Insured Farms_with PPI Pol'!$G523)+IF('RICE_Insured Farms_with PPI Pol'!$H523&lt;&gt;'RICE_Insured Farms_with PPI Pol'!$G523,18,0)</f>
        <v>47</v>
      </c>
      <c r="W523" s="3" t="str">
        <f t="array" ref="W523">IFS(V523&gt;120, "Harvested", V523&gt;=113, "Yellow Ripening", V523&gt;=101, "Dough Stage", V523&gt;=93, "Milking Stage", V523&gt;=86, "Flowering", V523&gt;=56, "Panicle Initiation/Booting", V523&lt;56, "Vegetative/Tillering")</f>
        <v>Vegetative/Tillering</v>
      </c>
    </row>
    <row r="524" ht="15.75" customHeight="1">
      <c r="A524" s="3">
        <v>523.0</v>
      </c>
      <c r="B524" s="3" t="s">
        <v>23</v>
      </c>
      <c r="C524" s="3" t="s">
        <v>24</v>
      </c>
      <c r="D524" s="3" t="s">
        <v>25</v>
      </c>
      <c r="E524" s="3" t="s">
        <v>674</v>
      </c>
      <c r="F524" s="3">
        <v>1760488.0</v>
      </c>
      <c r="G524" s="4">
        <v>46021.0</v>
      </c>
      <c r="H524" s="4">
        <v>46116.0</v>
      </c>
      <c r="I524" s="3" t="s">
        <v>1663</v>
      </c>
      <c r="J524" s="3" t="s">
        <v>1664</v>
      </c>
      <c r="K524" s="3" t="s">
        <v>1665</v>
      </c>
      <c r="L524" s="3">
        <v>0.9455</v>
      </c>
      <c r="M524" s="3">
        <v>23637.5</v>
      </c>
      <c r="N524" s="3">
        <v>3.0</v>
      </c>
      <c r="O524" s="3">
        <v>291996.0</v>
      </c>
      <c r="P524" s="3" t="s">
        <v>1666</v>
      </c>
      <c r="Q524" s="3">
        <v>1319147.0</v>
      </c>
      <c r="R524" s="3"/>
      <c r="S524" s="3">
        <v>18910.0</v>
      </c>
      <c r="T524" s="3" t="s">
        <v>37</v>
      </c>
      <c r="U524" s="3">
        <v>18910.0</v>
      </c>
      <c r="V524" s="5">
        <f>(DATE(2026,2,3)-'RICE_Insured Farms_with PPI Pol'!$G524)+IF('RICE_Insured Farms_with PPI Pol'!$H524&lt;&gt;'RICE_Insured Farms_with PPI Pol'!$G524,18,0)</f>
        <v>53</v>
      </c>
      <c r="W524" s="3" t="str">
        <f t="array" ref="W524">IFS(V524&gt;120, "Harvested", V524&gt;=113, "Yellow Ripening", V524&gt;=101, "Dough Stage", V524&gt;=93, "Milking Stage", V524&gt;=86, "Flowering", V524&gt;=56, "Panicle Initiation/Booting", V524&lt;56, "Vegetative/Tillering")</f>
        <v>Vegetative/Tillering</v>
      </c>
    </row>
    <row r="525" ht="15.75" hidden="1" customHeight="1">
      <c r="A525" s="3">
        <v>524.0</v>
      </c>
      <c r="B525" s="3" t="s">
        <v>23</v>
      </c>
      <c r="C525" s="3" t="s">
        <v>68</v>
      </c>
      <c r="D525" s="3" t="s">
        <v>289</v>
      </c>
      <c r="E525" s="3" t="s">
        <v>352</v>
      </c>
      <c r="F525" s="3">
        <v>1760053.0</v>
      </c>
      <c r="G525" s="4">
        <v>46037.0</v>
      </c>
      <c r="H525" s="4">
        <v>46139.0</v>
      </c>
      <c r="I525" s="3" t="s">
        <v>1667</v>
      </c>
      <c r="J525" s="3" t="s">
        <v>1668</v>
      </c>
      <c r="K525" s="3" t="s">
        <v>1669</v>
      </c>
      <c r="L525" s="3">
        <v>0.821</v>
      </c>
      <c r="M525" s="3">
        <v>20525.0</v>
      </c>
      <c r="N525" s="3">
        <v>2.0</v>
      </c>
      <c r="O525" s="3">
        <v>438951.0</v>
      </c>
      <c r="P525" s="3"/>
      <c r="Q525" s="3">
        <v>982317.0</v>
      </c>
      <c r="R525" s="3"/>
      <c r="S525" s="3">
        <v>14367.5</v>
      </c>
      <c r="T525" s="3" t="s">
        <v>31</v>
      </c>
      <c r="U525" s="3">
        <v>14367.5</v>
      </c>
      <c r="V525" s="5">
        <f>(DATE(2026,2,3)-'RICE_Insured Farms_with PPI Pol'!$G525)+IF('RICE_Insured Farms_with PPI Pol'!$H525&lt;&gt;'RICE_Insured Farms_with PPI Pol'!$G525,18,0)</f>
        <v>37</v>
      </c>
      <c r="W525" s="3" t="str">
        <f t="array" ref="W525">IFS(V525&gt;120, "Harvested", V525&gt;=113, "Yellow Ripening", V525&gt;=101, "Dough Stage", V525&gt;=93, "Milking Stage", V525&gt;=86, "Flowering", V525&gt;=56, "Panicle Initiation/Booting", V525&lt;56, "Vegetative/Tillering")</f>
        <v>Vegetative/Tillering</v>
      </c>
    </row>
    <row r="526" ht="15.75" hidden="1" customHeight="1">
      <c r="A526" s="3">
        <v>525.0</v>
      </c>
      <c r="B526" s="3" t="s">
        <v>23</v>
      </c>
      <c r="C526" s="3" t="s">
        <v>311</v>
      </c>
      <c r="D526" s="3" t="s">
        <v>1670</v>
      </c>
      <c r="E526" s="3" t="s">
        <v>873</v>
      </c>
      <c r="F526" s="3">
        <v>1740212.0</v>
      </c>
      <c r="G526" s="4">
        <v>46068.0</v>
      </c>
      <c r="H526" s="4">
        <v>46157.0</v>
      </c>
      <c r="I526" s="3" t="s">
        <v>1671</v>
      </c>
      <c r="J526" s="3" t="s">
        <v>634</v>
      </c>
      <c r="K526" s="3" t="s">
        <v>1672</v>
      </c>
      <c r="L526" s="3">
        <v>1.0</v>
      </c>
      <c r="M526" s="3">
        <v>25000.0</v>
      </c>
      <c r="N526" s="3">
        <v>0.0</v>
      </c>
      <c r="O526" s="3">
        <v>205358.0</v>
      </c>
      <c r="P526" s="3"/>
      <c r="Q526" s="3">
        <v>1325656.0</v>
      </c>
      <c r="R526" s="3"/>
      <c r="S526" s="3">
        <v>15000.0</v>
      </c>
      <c r="T526" s="3" t="s">
        <v>191</v>
      </c>
      <c r="U526" s="3">
        <v>15000.0</v>
      </c>
      <c r="V526" s="5">
        <f>(DATE(2026,2,3)-'RICE_Insured Farms_with PPI Pol'!$G526)+IF('RICE_Insured Farms_with PPI Pol'!$H526&lt;&gt;'RICE_Insured Farms_with PPI Pol'!$G526,18,0)</f>
        <v>6</v>
      </c>
      <c r="W526" s="3" t="str">
        <f t="array" ref="W526">IFS(V526&gt;120, "Harvested", V526&gt;=113, "Yellow Ripening", V526&gt;=101, "Dough Stage", V526&gt;=93, "Milking Stage", V526&gt;=86, "Flowering", V526&gt;=56, "Panicle Initiation/Booting", V526&lt;56, "Vegetative/Tillering")</f>
        <v>Vegetative/Tillering</v>
      </c>
    </row>
    <row r="527" ht="15.75" hidden="1" customHeight="1">
      <c r="A527" s="3">
        <v>526.0</v>
      </c>
      <c r="B527" s="3" t="s">
        <v>23</v>
      </c>
      <c r="C527" s="3" t="s">
        <v>68</v>
      </c>
      <c r="D527" s="3" t="s">
        <v>289</v>
      </c>
      <c r="E527" s="3" t="s">
        <v>743</v>
      </c>
      <c r="F527" s="3">
        <v>1760033.0</v>
      </c>
      <c r="G527" s="4">
        <v>46033.0</v>
      </c>
      <c r="H527" s="4">
        <v>46135.0</v>
      </c>
      <c r="I527" s="3" t="s">
        <v>1671</v>
      </c>
      <c r="J527" s="3" t="s">
        <v>1673</v>
      </c>
      <c r="K527" s="3" t="s">
        <v>927</v>
      </c>
      <c r="L527" s="3">
        <v>1.055</v>
      </c>
      <c r="M527" s="3">
        <v>26375.0</v>
      </c>
      <c r="N527" s="3">
        <v>2.0</v>
      </c>
      <c r="O527" s="3">
        <v>330301.0</v>
      </c>
      <c r="P527" s="3" t="s">
        <v>1674</v>
      </c>
      <c r="Q527" s="3">
        <v>1320182.0</v>
      </c>
      <c r="R527" s="3"/>
      <c r="S527" s="3">
        <v>18462.5</v>
      </c>
      <c r="T527" s="3" t="s">
        <v>31</v>
      </c>
      <c r="U527" s="3">
        <v>18462.5</v>
      </c>
      <c r="V527" s="5">
        <f>(DATE(2026,2,3)-'RICE_Insured Farms_with PPI Pol'!$G527)+IF('RICE_Insured Farms_with PPI Pol'!$H527&lt;&gt;'RICE_Insured Farms_with PPI Pol'!$G527,18,0)</f>
        <v>41</v>
      </c>
      <c r="W527" s="3" t="str">
        <f t="array" ref="W527">IFS(V527&gt;120, "Harvested", V527&gt;=113, "Yellow Ripening", V527&gt;=101, "Dough Stage", V527&gt;=93, "Milking Stage", V527&gt;=86, "Flowering", V527&gt;=56, "Panicle Initiation/Booting", V527&lt;56, "Vegetative/Tillering")</f>
        <v>Vegetative/Tillering</v>
      </c>
    </row>
    <row r="528" ht="15.75" customHeight="1">
      <c r="A528" s="3">
        <v>527.0</v>
      </c>
      <c r="B528" s="3" t="s">
        <v>23</v>
      </c>
      <c r="C528" s="3" t="s">
        <v>68</v>
      </c>
      <c r="D528" s="3" t="s">
        <v>289</v>
      </c>
      <c r="E528" s="3" t="s">
        <v>507</v>
      </c>
      <c r="F528" s="3">
        <v>1760016.0</v>
      </c>
      <c r="G528" s="4">
        <v>46019.0</v>
      </c>
      <c r="H528" s="4">
        <v>46121.0</v>
      </c>
      <c r="I528" s="3" t="s">
        <v>744</v>
      </c>
      <c r="J528" s="3" t="s">
        <v>1675</v>
      </c>
      <c r="K528" s="3" t="s">
        <v>1676</v>
      </c>
      <c r="L528" s="3">
        <v>0.5635</v>
      </c>
      <c r="M528" s="3">
        <v>14087.5</v>
      </c>
      <c r="N528" s="3">
        <v>3.0</v>
      </c>
      <c r="O528" s="3">
        <v>478446.0</v>
      </c>
      <c r="P528" s="3"/>
      <c r="Q528" s="3">
        <v>1140566.0</v>
      </c>
      <c r="R528" s="3"/>
      <c r="S528" s="3">
        <v>11270.0</v>
      </c>
      <c r="T528" s="3" t="s">
        <v>37</v>
      </c>
      <c r="U528" s="3">
        <v>11270.0</v>
      </c>
      <c r="V528" s="5">
        <f>(DATE(2026,2,3)-'RICE_Insured Farms_with PPI Pol'!$G528)+IF('RICE_Insured Farms_with PPI Pol'!$H528&lt;&gt;'RICE_Insured Farms_with PPI Pol'!$G528,18,0)</f>
        <v>55</v>
      </c>
      <c r="W528" s="3" t="str">
        <f t="array" ref="W528">IFS(V528&gt;120, "Harvested", V528&gt;=113, "Yellow Ripening", V528&gt;=101, "Dough Stage", V528&gt;=93, "Milking Stage", V528&gt;=86, "Flowering", V528&gt;=56, "Panicle Initiation/Booting", V528&lt;56, "Vegetative/Tillering")</f>
        <v>Vegetative/Tillering</v>
      </c>
    </row>
    <row r="529" ht="15.75" customHeight="1">
      <c r="A529" s="3">
        <v>528.0</v>
      </c>
      <c r="B529" s="3" t="s">
        <v>23</v>
      </c>
      <c r="C529" s="3" t="s">
        <v>68</v>
      </c>
      <c r="D529" s="3" t="s">
        <v>289</v>
      </c>
      <c r="E529" s="3" t="s">
        <v>507</v>
      </c>
      <c r="F529" s="3">
        <v>1760025.0</v>
      </c>
      <c r="G529" s="4">
        <v>46023.0</v>
      </c>
      <c r="H529" s="4">
        <v>46125.0</v>
      </c>
      <c r="I529" s="3" t="s">
        <v>744</v>
      </c>
      <c r="J529" s="3" t="s">
        <v>1677</v>
      </c>
      <c r="K529" s="3" t="s">
        <v>1200</v>
      </c>
      <c r="L529" s="3">
        <v>0.0643</v>
      </c>
      <c r="M529" s="3">
        <v>1607.5</v>
      </c>
      <c r="N529" s="3">
        <v>3.0</v>
      </c>
      <c r="O529" s="3">
        <v>454973.0</v>
      </c>
      <c r="P529" s="3" t="s">
        <v>1678</v>
      </c>
      <c r="Q529" s="3">
        <v>1151545.0</v>
      </c>
      <c r="R529" s="3"/>
      <c r="S529" s="3">
        <v>1286.0</v>
      </c>
      <c r="T529" s="3" t="s">
        <v>37</v>
      </c>
      <c r="U529" s="3">
        <v>1286.0</v>
      </c>
      <c r="V529" s="5">
        <f>(DATE(2026,2,3)-'RICE_Insured Farms_with PPI Pol'!$G529)+IF('RICE_Insured Farms_with PPI Pol'!$H529&lt;&gt;'RICE_Insured Farms_with PPI Pol'!$G529,18,0)</f>
        <v>51</v>
      </c>
      <c r="W529" s="3" t="str">
        <f t="array" ref="W529">IFS(V529&gt;120, "Harvested", V529&gt;=113, "Yellow Ripening", V529&gt;=101, "Dough Stage", V529&gt;=93, "Milking Stage", V529&gt;=86, "Flowering", V529&gt;=56, "Panicle Initiation/Booting", V529&lt;56, "Vegetative/Tillering")</f>
        <v>Vegetative/Tillering</v>
      </c>
    </row>
    <row r="530" ht="15.75" customHeight="1">
      <c r="A530" s="3">
        <v>529.0</v>
      </c>
      <c r="B530" s="3" t="s">
        <v>23</v>
      </c>
      <c r="C530" s="3" t="s">
        <v>68</v>
      </c>
      <c r="D530" s="3" t="s">
        <v>289</v>
      </c>
      <c r="E530" s="3" t="s">
        <v>507</v>
      </c>
      <c r="F530" s="3">
        <v>1760016.0</v>
      </c>
      <c r="G530" s="4">
        <v>46019.0</v>
      </c>
      <c r="H530" s="4">
        <v>46121.0</v>
      </c>
      <c r="I530" s="3" t="s">
        <v>744</v>
      </c>
      <c r="J530" s="3" t="s">
        <v>1679</v>
      </c>
      <c r="K530" s="3" t="s">
        <v>1680</v>
      </c>
      <c r="L530" s="3">
        <v>0.3815</v>
      </c>
      <c r="M530" s="3">
        <v>9537.5</v>
      </c>
      <c r="N530" s="3">
        <v>3.0</v>
      </c>
      <c r="O530" s="3">
        <v>31479.0</v>
      </c>
      <c r="P530" s="3" t="s">
        <v>1681</v>
      </c>
      <c r="Q530" s="3">
        <v>1140563.0</v>
      </c>
      <c r="R530" s="3"/>
      <c r="S530" s="3">
        <v>7630.0</v>
      </c>
      <c r="T530" s="3" t="s">
        <v>37</v>
      </c>
      <c r="U530" s="3">
        <v>7630.0</v>
      </c>
      <c r="V530" s="5">
        <f>(DATE(2026,2,3)-'RICE_Insured Farms_with PPI Pol'!$G530)+IF('RICE_Insured Farms_with PPI Pol'!$H530&lt;&gt;'RICE_Insured Farms_with PPI Pol'!$G530,18,0)</f>
        <v>55</v>
      </c>
      <c r="W530" s="3" t="str">
        <f t="array" ref="W530">IFS(V530&gt;120, "Harvested", V530&gt;=113, "Yellow Ripening", V530&gt;=101, "Dough Stage", V530&gt;=93, "Milking Stage", V530&gt;=86, "Flowering", V530&gt;=56, "Panicle Initiation/Booting", V530&lt;56, "Vegetative/Tillering")</f>
        <v>Vegetative/Tillering</v>
      </c>
    </row>
    <row r="531" ht="15.75" hidden="1" customHeight="1">
      <c r="A531" s="3">
        <v>530.0</v>
      </c>
      <c r="B531" s="3" t="s">
        <v>23</v>
      </c>
      <c r="C531" s="3" t="s">
        <v>121</v>
      </c>
      <c r="D531" s="3" t="s">
        <v>384</v>
      </c>
      <c r="E531" s="3" t="s">
        <v>321</v>
      </c>
      <c r="F531" s="3">
        <v>1742526.0</v>
      </c>
      <c r="G531" s="4">
        <v>46038.0</v>
      </c>
      <c r="H531" s="4">
        <v>46158.0</v>
      </c>
      <c r="I531" s="3" t="s">
        <v>1682</v>
      </c>
      <c r="J531" s="3" t="s">
        <v>1683</v>
      </c>
      <c r="K531" s="3" t="s">
        <v>1684</v>
      </c>
      <c r="L531" s="3">
        <v>2.0</v>
      </c>
      <c r="M531" s="3">
        <v>50000.0</v>
      </c>
      <c r="N531" s="3">
        <v>1.0</v>
      </c>
      <c r="O531" s="3">
        <v>298190.0</v>
      </c>
      <c r="P531" s="3"/>
      <c r="Q531" s="3">
        <v>1135465.0</v>
      </c>
      <c r="R531" s="3"/>
      <c r="S531" s="3">
        <v>30000.0</v>
      </c>
      <c r="T531" s="3" t="s">
        <v>62</v>
      </c>
      <c r="U531" s="3">
        <v>30000.0</v>
      </c>
      <c r="V531" s="5">
        <f>(DATE(2026,2,3)-'RICE_Insured Farms_with PPI Pol'!$G531)+IF('RICE_Insured Farms_with PPI Pol'!$H531&lt;&gt;'RICE_Insured Farms_with PPI Pol'!$G531,18,0)</f>
        <v>36</v>
      </c>
      <c r="W531" s="3" t="str">
        <f t="array" ref="W531">IFS(V531&gt;120, "Harvested", V531&gt;=113, "Yellow Ripening", V531&gt;=101, "Dough Stage", V531&gt;=93, "Milking Stage", V531&gt;=86, "Flowering", V531&gt;=56, "Panicle Initiation/Booting", V531&lt;56, "Vegetative/Tillering")</f>
        <v>Vegetative/Tillering</v>
      </c>
    </row>
    <row r="532" ht="15.75" customHeight="1">
      <c r="A532" s="3">
        <v>531.0</v>
      </c>
      <c r="B532" s="3" t="s">
        <v>23</v>
      </c>
      <c r="C532" s="3" t="s">
        <v>24</v>
      </c>
      <c r="D532" s="3" t="s">
        <v>538</v>
      </c>
      <c r="E532" s="3" t="s">
        <v>1138</v>
      </c>
      <c r="F532" s="3">
        <v>1190663.0</v>
      </c>
      <c r="G532" s="4">
        <v>46023.0</v>
      </c>
      <c r="H532" s="4">
        <v>46118.0</v>
      </c>
      <c r="I532" s="3" t="s">
        <v>1685</v>
      </c>
      <c r="J532" s="3" t="s">
        <v>1686</v>
      </c>
      <c r="K532" s="3" t="s">
        <v>1687</v>
      </c>
      <c r="L532" s="3">
        <v>1.1264</v>
      </c>
      <c r="M532" s="3">
        <v>28160.0</v>
      </c>
      <c r="N532" s="3">
        <v>3.0</v>
      </c>
      <c r="O532" s="3">
        <v>316114.0</v>
      </c>
      <c r="P532" s="3" t="s">
        <v>1688</v>
      </c>
      <c r="Q532" s="3">
        <v>1281612.0</v>
      </c>
      <c r="R532" s="3"/>
      <c r="S532" s="3">
        <v>22528.0</v>
      </c>
      <c r="T532" s="3" t="s">
        <v>37</v>
      </c>
      <c r="U532" s="3">
        <v>22528.0</v>
      </c>
      <c r="V532" s="5">
        <f>(DATE(2026,2,3)-'RICE_Insured Farms_with PPI Pol'!$G532)+IF('RICE_Insured Farms_with PPI Pol'!$H532&lt;&gt;'RICE_Insured Farms_with PPI Pol'!$G532,18,0)</f>
        <v>51</v>
      </c>
      <c r="W532" s="3" t="str">
        <f t="array" ref="W532">IFS(V532&gt;120, "Harvested", V532&gt;=113, "Yellow Ripening", V532&gt;=101, "Dough Stage", V532&gt;=93, "Milking Stage", V532&gt;=86, "Flowering", V532&gt;=56, "Panicle Initiation/Booting", V532&lt;56, "Vegetative/Tillering")</f>
        <v>Vegetative/Tillering</v>
      </c>
    </row>
    <row r="533" ht="15.75" customHeight="1">
      <c r="A533" s="3">
        <v>532.0</v>
      </c>
      <c r="B533" s="3" t="s">
        <v>23</v>
      </c>
      <c r="C533" s="3" t="s">
        <v>68</v>
      </c>
      <c r="D533" s="3" t="s">
        <v>69</v>
      </c>
      <c r="E533" s="3" t="s">
        <v>131</v>
      </c>
      <c r="F533" s="3">
        <v>1739645.0</v>
      </c>
      <c r="G533" s="4">
        <v>46015.0</v>
      </c>
      <c r="H533" s="4">
        <v>46117.0</v>
      </c>
      <c r="I533" s="3" t="s">
        <v>1689</v>
      </c>
      <c r="J533" s="3" t="s">
        <v>1690</v>
      </c>
      <c r="K533" s="3" t="s">
        <v>323</v>
      </c>
      <c r="L533" s="3">
        <v>1.0591</v>
      </c>
      <c r="M533" s="3">
        <v>26477.5</v>
      </c>
      <c r="N533" s="3">
        <v>3.0</v>
      </c>
      <c r="O533" s="3">
        <v>187732.0</v>
      </c>
      <c r="P533" s="3" t="s">
        <v>1691</v>
      </c>
      <c r="Q533" s="3">
        <v>1138059.0</v>
      </c>
      <c r="R533" s="3"/>
      <c r="S533" s="3">
        <v>21182.0</v>
      </c>
      <c r="T533" s="3" t="s">
        <v>37</v>
      </c>
      <c r="U533" s="3">
        <v>21182.0</v>
      </c>
      <c r="V533" s="5">
        <f>(DATE(2026,2,3)-'RICE_Insured Farms_with PPI Pol'!$G533)+IF('RICE_Insured Farms_with PPI Pol'!$H533&lt;&gt;'RICE_Insured Farms_with PPI Pol'!$G533,18,0)</f>
        <v>59</v>
      </c>
      <c r="W533" s="3" t="str">
        <f t="array" ref="W533">IFS(V533&gt;120, "Harvested", V533&gt;=113, "Yellow Ripening", V533&gt;=101, "Dough Stage", V533&gt;=93, "Milking Stage", V533&gt;=86, "Flowering", V533&gt;=56, "Panicle Initiation/Booting", V533&lt;56, "Vegetative/Tillering")</f>
        <v>Panicle Initiation/Booting</v>
      </c>
    </row>
    <row r="534" ht="15.75" customHeight="1">
      <c r="A534" s="3">
        <v>533.0</v>
      </c>
      <c r="B534" s="3" t="s">
        <v>23</v>
      </c>
      <c r="C534" s="3" t="s">
        <v>68</v>
      </c>
      <c r="D534" s="3" t="s">
        <v>69</v>
      </c>
      <c r="E534" s="3" t="s">
        <v>131</v>
      </c>
      <c r="F534" s="3">
        <v>1739645.0</v>
      </c>
      <c r="G534" s="4">
        <v>46015.0</v>
      </c>
      <c r="H534" s="4">
        <v>46117.0</v>
      </c>
      <c r="I534" s="3" t="s">
        <v>1689</v>
      </c>
      <c r="J534" s="3" t="s">
        <v>1542</v>
      </c>
      <c r="K534" s="3" t="s">
        <v>968</v>
      </c>
      <c r="L534" s="3">
        <v>0.1284</v>
      </c>
      <c r="M534" s="3">
        <v>3210.0</v>
      </c>
      <c r="N534" s="3">
        <v>3.0</v>
      </c>
      <c r="O534" s="3">
        <v>525672.0</v>
      </c>
      <c r="P534" s="3" t="s">
        <v>1692</v>
      </c>
      <c r="Q534" s="3">
        <v>1318502.0</v>
      </c>
      <c r="R534" s="3"/>
      <c r="S534" s="3">
        <v>2568.0</v>
      </c>
      <c r="T534" s="3" t="s">
        <v>37</v>
      </c>
      <c r="U534" s="3">
        <v>2568.0</v>
      </c>
      <c r="V534" s="5">
        <f>(DATE(2026,2,3)-'RICE_Insured Farms_with PPI Pol'!$G534)+IF('RICE_Insured Farms_with PPI Pol'!$H534&lt;&gt;'RICE_Insured Farms_with PPI Pol'!$G534,18,0)</f>
        <v>59</v>
      </c>
      <c r="W534" s="3" t="str">
        <f t="array" ref="W534">IFS(V534&gt;120, "Harvested", V534&gt;=113, "Yellow Ripening", V534&gt;=101, "Dough Stage", V534&gt;=93, "Milking Stage", V534&gt;=86, "Flowering", V534&gt;=56, "Panicle Initiation/Booting", V534&lt;56, "Vegetative/Tillering")</f>
        <v>Panicle Initiation/Booting</v>
      </c>
    </row>
    <row r="535" ht="15.75" hidden="1" customHeight="1">
      <c r="A535" s="3">
        <v>534.0</v>
      </c>
      <c r="B535" s="3" t="s">
        <v>23</v>
      </c>
      <c r="C535" s="3" t="s">
        <v>68</v>
      </c>
      <c r="D535" s="3" t="s">
        <v>1693</v>
      </c>
      <c r="E535" s="3" t="s">
        <v>1694</v>
      </c>
      <c r="F535" s="3">
        <v>1742172.0</v>
      </c>
      <c r="G535" s="4">
        <v>46035.0</v>
      </c>
      <c r="H535" s="4">
        <v>46137.0</v>
      </c>
      <c r="I535" s="3" t="s">
        <v>1695</v>
      </c>
      <c r="J535" s="3" t="s">
        <v>1696</v>
      </c>
      <c r="K535" s="3" t="s">
        <v>1697</v>
      </c>
      <c r="L535" s="3">
        <v>1.2503</v>
      </c>
      <c r="M535" s="3">
        <v>31257.5</v>
      </c>
      <c r="N535" s="3">
        <v>2.0</v>
      </c>
      <c r="O535" s="3">
        <v>441681.0</v>
      </c>
      <c r="P535" s="3"/>
      <c r="Q535" s="3">
        <v>1145931.0</v>
      </c>
      <c r="R535" s="3"/>
      <c r="S535" s="3">
        <v>21880.25</v>
      </c>
      <c r="T535" s="3" t="s">
        <v>31</v>
      </c>
      <c r="U535" s="3">
        <v>21880.25</v>
      </c>
      <c r="V535" s="5">
        <f>(DATE(2026,2,3)-'RICE_Insured Farms_with PPI Pol'!$G535)+IF('RICE_Insured Farms_with PPI Pol'!$H535&lt;&gt;'RICE_Insured Farms_with PPI Pol'!$G535,18,0)</f>
        <v>39</v>
      </c>
      <c r="W535" s="3" t="str">
        <f t="array" ref="W535">IFS(V535&gt;120, "Harvested", V535&gt;=113, "Yellow Ripening", V535&gt;=101, "Dough Stage", V535&gt;=93, "Milking Stage", V535&gt;=86, "Flowering", V535&gt;=56, "Panicle Initiation/Booting", V535&lt;56, "Vegetative/Tillering")</f>
        <v>Vegetative/Tillering</v>
      </c>
    </row>
    <row r="536" ht="15.75" hidden="1" customHeight="1">
      <c r="A536" s="3">
        <v>535.0</v>
      </c>
      <c r="B536" s="3" t="s">
        <v>23</v>
      </c>
      <c r="C536" s="3" t="s">
        <v>68</v>
      </c>
      <c r="D536" s="3" t="s">
        <v>1693</v>
      </c>
      <c r="E536" s="3" t="s">
        <v>1694</v>
      </c>
      <c r="F536" s="3">
        <v>1742172.0</v>
      </c>
      <c r="G536" s="4">
        <v>46046.0</v>
      </c>
      <c r="H536" s="4">
        <v>46148.0</v>
      </c>
      <c r="I536" s="3" t="s">
        <v>1698</v>
      </c>
      <c r="J536" s="3" t="s">
        <v>157</v>
      </c>
      <c r="K536" s="3" t="s">
        <v>1206</v>
      </c>
      <c r="L536" s="3">
        <v>0.743</v>
      </c>
      <c r="M536" s="3">
        <v>18575.0</v>
      </c>
      <c r="N536" s="3">
        <v>1.0</v>
      </c>
      <c r="O536" s="3">
        <v>335359.0</v>
      </c>
      <c r="P536" s="3" t="s">
        <v>1699</v>
      </c>
      <c r="Q536" s="3">
        <v>1145933.0</v>
      </c>
      <c r="R536" s="3"/>
      <c r="S536" s="3">
        <v>11145.0</v>
      </c>
      <c r="T536" s="3" t="s">
        <v>62</v>
      </c>
      <c r="U536" s="3">
        <v>11145.0</v>
      </c>
      <c r="V536" s="5">
        <f>(DATE(2026,2,3)-'RICE_Insured Farms_with PPI Pol'!$G536)+IF('RICE_Insured Farms_with PPI Pol'!$H536&lt;&gt;'RICE_Insured Farms_with PPI Pol'!$G536,18,0)</f>
        <v>28</v>
      </c>
      <c r="W536" s="3" t="str">
        <f t="array" ref="W536">IFS(V536&gt;120, "Harvested", V536&gt;=113, "Yellow Ripening", V536&gt;=101, "Dough Stage", V536&gt;=93, "Milking Stage", V536&gt;=86, "Flowering", V536&gt;=56, "Panicle Initiation/Booting", V536&lt;56, "Vegetative/Tillering")</f>
        <v>Vegetative/Tillering</v>
      </c>
    </row>
    <row r="537" ht="15.75" customHeight="1">
      <c r="A537" s="3">
        <v>536.0</v>
      </c>
      <c r="B537" s="3" t="s">
        <v>23</v>
      </c>
      <c r="C537" s="3" t="s">
        <v>24</v>
      </c>
      <c r="D537" s="3" t="s">
        <v>25</v>
      </c>
      <c r="E537" s="3" t="s">
        <v>1374</v>
      </c>
      <c r="F537" s="3">
        <v>1760467.0</v>
      </c>
      <c r="G537" s="4">
        <v>46021.0</v>
      </c>
      <c r="H537" s="4">
        <v>46126.0</v>
      </c>
      <c r="I537" s="3" t="s">
        <v>1700</v>
      </c>
      <c r="J537" s="3" t="s">
        <v>1701</v>
      </c>
      <c r="K537" s="3" t="s">
        <v>1702</v>
      </c>
      <c r="L537" s="3">
        <v>0.11</v>
      </c>
      <c r="M537" s="3">
        <v>2750.0</v>
      </c>
      <c r="N537" s="3">
        <v>3.0</v>
      </c>
      <c r="O537" s="3">
        <v>431610.0</v>
      </c>
      <c r="P537" s="3"/>
      <c r="Q537" s="3">
        <v>1220839.0</v>
      </c>
      <c r="R537" s="3"/>
      <c r="S537" s="3">
        <v>2200.0</v>
      </c>
      <c r="T537" s="3" t="s">
        <v>37</v>
      </c>
      <c r="U537" s="3">
        <v>2200.0</v>
      </c>
      <c r="V537" s="5">
        <f>(DATE(2026,2,3)-'RICE_Insured Farms_with PPI Pol'!$G537)+IF('RICE_Insured Farms_with PPI Pol'!$H537&lt;&gt;'RICE_Insured Farms_with PPI Pol'!$G537,18,0)</f>
        <v>53</v>
      </c>
      <c r="W537" s="3" t="str">
        <f t="array" ref="W537">IFS(V537&gt;120, "Harvested", V537&gt;=113, "Yellow Ripening", V537&gt;=101, "Dough Stage", V537&gt;=93, "Milking Stage", V537&gt;=86, "Flowering", V537&gt;=56, "Panicle Initiation/Booting", V537&lt;56, "Vegetative/Tillering")</f>
        <v>Vegetative/Tillering</v>
      </c>
    </row>
    <row r="538" ht="15.75" customHeight="1">
      <c r="A538" s="3">
        <v>537.0</v>
      </c>
      <c r="B538" s="3" t="s">
        <v>23</v>
      </c>
      <c r="C538" s="3" t="s">
        <v>1453</v>
      </c>
      <c r="D538" s="3" t="s">
        <v>1454</v>
      </c>
      <c r="E538" s="3" t="s">
        <v>1455</v>
      </c>
      <c r="F538" s="3">
        <v>1742042.0</v>
      </c>
      <c r="G538" s="4">
        <v>46022.0</v>
      </c>
      <c r="H538" s="4">
        <v>46124.0</v>
      </c>
      <c r="I538" s="3" t="s">
        <v>1703</v>
      </c>
      <c r="J538" s="3" t="s">
        <v>795</v>
      </c>
      <c r="K538" s="3" t="s">
        <v>1704</v>
      </c>
      <c r="L538" s="3">
        <v>0.7936</v>
      </c>
      <c r="M538" s="3">
        <v>19840.0</v>
      </c>
      <c r="N538" s="3">
        <v>3.0</v>
      </c>
      <c r="O538" s="3">
        <v>17031.0</v>
      </c>
      <c r="P538" s="3" t="s">
        <v>1705</v>
      </c>
      <c r="Q538" s="3">
        <v>1189255.0</v>
      </c>
      <c r="R538" s="3"/>
      <c r="S538" s="3">
        <v>15872.0</v>
      </c>
      <c r="T538" s="3" t="s">
        <v>37</v>
      </c>
      <c r="U538" s="3">
        <v>15872.0</v>
      </c>
      <c r="V538" s="5">
        <f>(DATE(2026,2,3)-'RICE_Insured Farms_with PPI Pol'!$G538)+IF('RICE_Insured Farms_with PPI Pol'!$H538&lt;&gt;'RICE_Insured Farms_with PPI Pol'!$G538,18,0)</f>
        <v>52</v>
      </c>
      <c r="W538" s="3" t="str">
        <f t="array" ref="W538">IFS(V538&gt;120, "Harvested", V538&gt;=113, "Yellow Ripening", V538&gt;=101, "Dough Stage", V538&gt;=93, "Milking Stage", V538&gt;=86, "Flowering", V538&gt;=56, "Panicle Initiation/Booting", V538&lt;56, "Vegetative/Tillering")</f>
        <v>Vegetative/Tillering</v>
      </c>
    </row>
    <row r="539" ht="15.75" customHeight="1">
      <c r="A539" s="3">
        <v>538.0</v>
      </c>
      <c r="B539" s="3" t="s">
        <v>23</v>
      </c>
      <c r="C539" s="3" t="s">
        <v>1453</v>
      </c>
      <c r="D539" s="3" t="s">
        <v>1454</v>
      </c>
      <c r="E539" s="3" t="s">
        <v>1455</v>
      </c>
      <c r="F539" s="3">
        <v>1742042.0</v>
      </c>
      <c r="G539" s="4">
        <v>46019.0</v>
      </c>
      <c r="H539" s="4">
        <v>46121.0</v>
      </c>
      <c r="I539" s="3" t="s">
        <v>1703</v>
      </c>
      <c r="J539" s="3" t="s">
        <v>795</v>
      </c>
      <c r="K539" s="3" t="s">
        <v>1704</v>
      </c>
      <c r="L539" s="3">
        <v>0.4315</v>
      </c>
      <c r="M539" s="3">
        <v>10787.5</v>
      </c>
      <c r="N539" s="3">
        <v>3.0</v>
      </c>
      <c r="O539" s="3">
        <v>17031.0</v>
      </c>
      <c r="P539" s="3" t="s">
        <v>1705</v>
      </c>
      <c r="Q539" s="3">
        <v>1318515.0</v>
      </c>
      <c r="R539" s="3"/>
      <c r="S539" s="3">
        <v>8630.0</v>
      </c>
      <c r="T539" s="3" t="s">
        <v>37</v>
      </c>
      <c r="U539" s="3">
        <v>8630.0</v>
      </c>
      <c r="V539" s="5">
        <f>(DATE(2026,2,3)-'RICE_Insured Farms_with PPI Pol'!$G539)+IF('RICE_Insured Farms_with PPI Pol'!$H539&lt;&gt;'RICE_Insured Farms_with PPI Pol'!$G539,18,0)</f>
        <v>55</v>
      </c>
      <c r="W539" s="3" t="str">
        <f t="array" ref="W539">IFS(V539&gt;120, "Harvested", V539&gt;=113, "Yellow Ripening", V539&gt;=101, "Dough Stage", V539&gt;=93, "Milking Stage", V539&gt;=86, "Flowering", V539&gt;=56, "Panicle Initiation/Booting", V539&lt;56, "Vegetative/Tillering")</f>
        <v>Vegetative/Tillering</v>
      </c>
    </row>
    <row r="540" ht="15.75" hidden="1" customHeight="1">
      <c r="A540" s="3">
        <v>539.0</v>
      </c>
      <c r="B540" s="3" t="s">
        <v>23</v>
      </c>
      <c r="C540" s="3" t="s">
        <v>1453</v>
      </c>
      <c r="D540" s="3" t="s">
        <v>1454</v>
      </c>
      <c r="E540" s="3" t="s">
        <v>1455</v>
      </c>
      <c r="F540" s="3">
        <v>1742045.0</v>
      </c>
      <c r="G540" s="4">
        <v>46025.0</v>
      </c>
      <c r="H540" s="4">
        <v>46127.0</v>
      </c>
      <c r="I540" s="3" t="s">
        <v>1703</v>
      </c>
      <c r="J540" s="3" t="s">
        <v>833</v>
      </c>
      <c r="K540" s="3" t="s">
        <v>1706</v>
      </c>
      <c r="L540" s="3">
        <v>0.4594</v>
      </c>
      <c r="M540" s="3">
        <v>11485.0</v>
      </c>
      <c r="N540" s="3">
        <v>2.0</v>
      </c>
      <c r="O540" s="3">
        <v>83988.0</v>
      </c>
      <c r="P540" s="3" t="s">
        <v>1707</v>
      </c>
      <c r="Q540" s="3">
        <v>1135700.0</v>
      </c>
      <c r="R540" s="3"/>
      <c r="S540" s="3">
        <v>8039.5</v>
      </c>
      <c r="T540" s="3" t="s">
        <v>31</v>
      </c>
      <c r="U540" s="3">
        <v>8039.5</v>
      </c>
      <c r="V540" s="5">
        <f>(DATE(2026,2,3)-'RICE_Insured Farms_with PPI Pol'!$G540)+IF('RICE_Insured Farms_with PPI Pol'!$H540&lt;&gt;'RICE_Insured Farms_with PPI Pol'!$G540,18,0)</f>
        <v>49</v>
      </c>
      <c r="W540" s="3" t="str">
        <f t="array" ref="W540">IFS(V540&gt;120, "Harvested", V540&gt;=113, "Yellow Ripening", V540&gt;=101, "Dough Stage", V540&gt;=93, "Milking Stage", V540&gt;=86, "Flowering", V540&gt;=56, "Panicle Initiation/Booting", V540&lt;56, "Vegetative/Tillering")</f>
        <v>Vegetative/Tillering</v>
      </c>
    </row>
    <row r="541" ht="15.75" hidden="1" customHeight="1">
      <c r="A541" s="3">
        <v>540.0</v>
      </c>
      <c r="B541" s="3" t="s">
        <v>23</v>
      </c>
      <c r="C541" s="3" t="s">
        <v>1453</v>
      </c>
      <c r="D541" s="3" t="s">
        <v>1454</v>
      </c>
      <c r="E541" s="3" t="s">
        <v>1455</v>
      </c>
      <c r="F541" s="3">
        <v>1742045.0</v>
      </c>
      <c r="G541" s="4">
        <v>46039.0</v>
      </c>
      <c r="H541" s="4">
        <v>46141.0</v>
      </c>
      <c r="I541" s="3" t="s">
        <v>1703</v>
      </c>
      <c r="J541" s="3" t="s">
        <v>833</v>
      </c>
      <c r="K541" s="3" t="s">
        <v>1706</v>
      </c>
      <c r="L541" s="3">
        <v>0.4489</v>
      </c>
      <c r="M541" s="3">
        <v>11222.5</v>
      </c>
      <c r="N541" s="3">
        <v>2.0</v>
      </c>
      <c r="O541" s="3">
        <v>83988.0</v>
      </c>
      <c r="P541" s="3" t="s">
        <v>1707</v>
      </c>
      <c r="Q541" s="3">
        <v>1274391.0</v>
      </c>
      <c r="R541" s="3"/>
      <c r="S541" s="3">
        <v>7855.75</v>
      </c>
      <c r="T541" s="3" t="s">
        <v>31</v>
      </c>
      <c r="U541" s="3">
        <v>7855.75</v>
      </c>
      <c r="V541" s="5">
        <f>(DATE(2026,2,3)-'RICE_Insured Farms_with PPI Pol'!$G541)+IF('RICE_Insured Farms_with PPI Pol'!$H541&lt;&gt;'RICE_Insured Farms_with PPI Pol'!$G541,18,0)</f>
        <v>35</v>
      </c>
      <c r="W541" s="3" t="str">
        <f t="array" ref="W541">IFS(V541&gt;120, "Harvested", V541&gt;=113, "Yellow Ripening", V541&gt;=101, "Dough Stage", V541&gt;=93, "Milking Stage", V541&gt;=86, "Flowering", V541&gt;=56, "Panicle Initiation/Booting", V541&lt;56, "Vegetative/Tillering")</f>
        <v>Vegetative/Tillering</v>
      </c>
    </row>
    <row r="542" ht="15.75" customHeight="1">
      <c r="A542" s="3">
        <v>541.0</v>
      </c>
      <c r="B542" s="3" t="s">
        <v>23</v>
      </c>
      <c r="C542" s="3" t="s">
        <v>50</v>
      </c>
      <c r="D542" s="3" t="s">
        <v>1484</v>
      </c>
      <c r="E542" s="3" t="s">
        <v>1485</v>
      </c>
      <c r="F542" s="3">
        <v>1741846.0</v>
      </c>
      <c r="G542" s="4">
        <v>46017.0</v>
      </c>
      <c r="H542" s="4">
        <v>46112.0</v>
      </c>
      <c r="I542" s="3" t="s">
        <v>1708</v>
      </c>
      <c r="J542" s="3" t="s">
        <v>1709</v>
      </c>
      <c r="K542" s="3" t="s">
        <v>739</v>
      </c>
      <c r="L542" s="3">
        <v>0.3508</v>
      </c>
      <c r="M542" s="3">
        <v>8770.0</v>
      </c>
      <c r="N542" s="3">
        <v>3.0</v>
      </c>
      <c r="O542" s="3">
        <v>513010.0</v>
      </c>
      <c r="P542" s="3" t="s">
        <v>1710</v>
      </c>
      <c r="Q542" s="3">
        <v>1291685.0</v>
      </c>
      <c r="R542" s="3"/>
      <c r="S542" s="3">
        <v>7016.0</v>
      </c>
      <c r="T542" s="3" t="s">
        <v>37</v>
      </c>
      <c r="U542" s="3">
        <v>7016.0</v>
      </c>
      <c r="V542" s="5">
        <f>(DATE(2026,2,3)-'RICE_Insured Farms_with PPI Pol'!$G542)+IF('RICE_Insured Farms_with PPI Pol'!$H542&lt;&gt;'RICE_Insured Farms_with PPI Pol'!$G542,18,0)</f>
        <v>57</v>
      </c>
      <c r="W542" s="3" t="str">
        <f t="array" ref="W542">IFS(V542&gt;120, "Harvested", V542&gt;=113, "Yellow Ripening", V542&gt;=101, "Dough Stage", V542&gt;=93, "Milking Stage", V542&gt;=86, "Flowering", V542&gt;=56, "Panicle Initiation/Booting", V542&lt;56, "Vegetative/Tillering")</f>
        <v>Panicle Initiation/Booting</v>
      </c>
    </row>
    <row r="543" ht="15.75" hidden="1" customHeight="1">
      <c r="A543" s="3">
        <v>542.0</v>
      </c>
      <c r="B543" s="3" t="s">
        <v>23</v>
      </c>
      <c r="C543" s="3" t="s">
        <v>68</v>
      </c>
      <c r="D543" s="3" t="s">
        <v>420</v>
      </c>
      <c r="E543" s="3" t="s">
        <v>421</v>
      </c>
      <c r="F543" s="3">
        <v>1196999.0</v>
      </c>
      <c r="G543" s="4">
        <v>46065.0</v>
      </c>
      <c r="H543" s="4">
        <v>46167.0</v>
      </c>
      <c r="I543" s="3" t="s">
        <v>1711</v>
      </c>
      <c r="J543" s="3" t="s">
        <v>1712</v>
      </c>
      <c r="K543" s="3" t="s">
        <v>1713</v>
      </c>
      <c r="L543" s="3">
        <v>0.2174</v>
      </c>
      <c r="M543" s="3">
        <v>5435.0</v>
      </c>
      <c r="N543" s="3">
        <v>0.0</v>
      </c>
      <c r="O543" s="3">
        <v>206244.0</v>
      </c>
      <c r="P543" s="3" t="s">
        <v>1714</v>
      </c>
      <c r="Q543" s="3">
        <v>923155.0</v>
      </c>
      <c r="R543" s="3"/>
      <c r="S543" s="3">
        <v>3261.0</v>
      </c>
      <c r="T543" s="3" t="s">
        <v>191</v>
      </c>
      <c r="U543" s="3">
        <v>3261.0</v>
      </c>
      <c r="V543" s="5">
        <f>(DATE(2026,2,3)-'RICE_Insured Farms_with PPI Pol'!$G543)+IF('RICE_Insured Farms_with PPI Pol'!$H543&lt;&gt;'RICE_Insured Farms_with PPI Pol'!$G543,18,0)</f>
        <v>9</v>
      </c>
      <c r="W543" s="3" t="str">
        <f t="array" ref="W543">IFS(V543&gt;120, "Harvested", V543&gt;=113, "Yellow Ripening", V543&gt;=101, "Dough Stage", V543&gt;=93, "Milking Stage", V543&gt;=86, "Flowering", V543&gt;=56, "Panicle Initiation/Booting", V543&lt;56, "Vegetative/Tillering")</f>
        <v>Vegetative/Tillering</v>
      </c>
    </row>
    <row r="544" ht="15.75" hidden="1" customHeight="1">
      <c r="A544" s="3">
        <v>543.0</v>
      </c>
      <c r="B544" s="3" t="s">
        <v>23</v>
      </c>
      <c r="C544" s="3" t="s">
        <v>1453</v>
      </c>
      <c r="D544" s="3" t="s">
        <v>1454</v>
      </c>
      <c r="E544" s="3" t="s">
        <v>1246</v>
      </c>
      <c r="F544" s="3">
        <v>1742023.0</v>
      </c>
      <c r="G544" s="4">
        <v>46032.0</v>
      </c>
      <c r="H544" s="4">
        <v>46134.0</v>
      </c>
      <c r="I544" s="3" t="s">
        <v>1715</v>
      </c>
      <c r="J544" s="3" t="s">
        <v>1716</v>
      </c>
      <c r="K544" s="3" t="s">
        <v>1717</v>
      </c>
      <c r="L544" s="3">
        <v>0.5</v>
      </c>
      <c r="M544" s="3">
        <v>12500.0</v>
      </c>
      <c r="N544" s="3">
        <v>2.0</v>
      </c>
      <c r="O544" s="3">
        <v>158395.0</v>
      </c>
      <c r="P544" s="3" t="s">
        <v>1718</v>
      </c>
      <c r="Q544" s="3">
        <v>1317971.0</v>
      </c>
      <c r="R544" s="3"/>
      <c r="S544" s="3">
        <v>8750.0</v>
      </c>
      <c r="T544" s="3" t="s">
        <v>31</v>
      </c>
      <c r="U544" s="3">
        <v>8750.0</v>
      </c>
      <c r="V544" s="5">
        <f>(DATE(2026,2,3)-'RICE_Insured Farms_with PPI Pol'!$G544)+IF('RICE_Insured Farms_with PPI Pol'!$H544&lt;&gt;'RICE_Insured Farms_with PPI Pol'!$G544,18,0)</f>
        <v>42</v>
      </c>
      <c r="W544" s="3" t="str">
        <f t="array" ref="W544">IFS(V544&gt;120, "Harvested", V544&gt;=113, "Yellow Ripening", V544&gt;=101, "Dough Stage", V544&gt;=93, "Milking Stage", V544&gt;=86, "Flowering", V544&gt;=56, "Panicle Initiation/Booting", V544&lt;56, "Vegetative/Tillering")</f>
        <v>Vegetative/Tillering</v>
      </c>
    </row>
    <row r="545" ht="15.75" customHeight="1">
      <c r="A545" s="3">
        <v>544.0</v>
      </c>
      <c r="B545" s="3" t="s">
        <v>23</v>
      </c>
      <c r="C545" s="3" t="s">
        <v>1453</v>
      </c>
      <c r="D545" s="3" t="s">
        <v>1454</v>
      </c>
      <c r="E545" s="3" t="s">
        <v>1455</v>
      </c>
      <c r="F545" s="3">
        <v>1742042.0</v>
      </c>
      <c r="G545" s="4">
        <v>46021.0</v>
      </c>
      <c r="H545" s="4">
        <v>46123.0</v>
      </c>
      <c r="I545" s="3" t="s">
        <v>1715</v>
      </c>
      <c r="J545" s="3" t="s">
        <v>676</v>
      </c>
      <c r="K545" s="3" t="s">
        <v>319</v>
      </c>
      <c r="L545" s="3">
        <v>0.9043</v>
      </c>
      <c r="M545" s="3">
        <v>22607.5</v>
      </c>
      <c r="N545" s="3">
        <v>3.0</v>
      </c>
      <c r="O545" s="3">
        <v>357500.0</v>
      </c>
      <c r="P545" s="3" t="s">
        <v>1719</v>
      </c>
      <c r="Q545" s="3">
        <v>1135661.0</v>
      </c>
      <c r="R545" s="3"/>
      <c r="S545" s="3">
        <v>18086.0</v>
      </c>
      <c r="T545" s="3" t="s">
        <v>37</v>
      </c>
      <c r="U545" s="3">
        <v>18086.0</v>
      </c>
      <c r="V545" s="5">
        <f>(DATE(2026,2,3)-'RICE_Insured Farms_with PPI Pol'!$G545)+IF('RICE_Insured Farms_with PPI Pol'!$H545&lt;&gt;'RICE_Insured Farms_with PPI Pol'!$G545,18,0)</f>
        <v>53</v>
      </c>
      <c r="W545" s="3" t="str">
        <f t="array" ref="W545">IFS(V545&gt;120, "Harvested", V545&gt;=113, "Yellow Ripening", V545&gt;=101, "Dough Stage", V545&gt;=93, "Milking Stage", V545&gt;=86, "Flowering", V545&gt;=56, "Panicle Initiation/Booting", V545&lt;56, "Vegetative/Tillering")</f>
        <v>Vegetative/Tillering</v>
      </c>
    </row>
    <row r="546" ht="15.75" customHeight="1">
      <c r="A546" s="3">
        <v>545.0</v>
      </c>
      <c r="B546" s="3" t="s">
        <v>23</v>
      </c>
      <c r="C546" s="3" t="s">
        <v>68</v>
      </c>
      <c r="D546" s="3" t="s">
        <v>289</v>
      </c>
      <c r="E546" s="3" t="s">
        <v>1535</v>
      </c>
      <c r="F546" s="3">
        <v>1760009.0</v>
      </c>
      <c r="G546" s="4">
        <v>46017.0</v>
      </c>
      <c r="H546" s="4">
        <v>46119.0</v>
      </c>
      <c r="I546" s="3" t="s">
        <v>1720</v>
      </c>
      <c r="J546" s="3" t="s">
        <v>1721</v>
      </c>
      <c r="K546" s="3" t="s">
        <v>1722</v>
      </c>
      <c r="L546" s="3">
        <v>0.9027</v>
      </c>
      <c r="M546" s="3">
        <v>22567.5</v>
      </c>
      <c r="N546" s="3">
        <v>3.0</v>
      </c>
      <c r="O546" s="3">
        <v>118476.0</v>
      </c>
      <c r="P546" s="3" t="s">
        <v>1723</v>
      </c>
      <c r="Q546" s="3">
        <v>1140502.0</v>
      </c>
      <c r="R546" s="3"/>
      <c r="S546" s="3">
        <v>18054.0</v>
      </c>
      <c r="T546" s="3" t="s">
        <v>37</v>
      </c>
      <c r="U546" s="3">
        <v>18054.0</v>
      </c>
      <c r="V546" s="5">
        <f>(DATE(2026,2,3)-'RICE_Insured Farms_with PPI Pol'!$G546)+IF('RICE_Insured Farms_with PPI Pol'!$H546&lt;&gt;'RICE_Insured Farms_with PPI Pol'!$G546,18,0)</f>
        <v>57</v>
      </c>
      <c r="W546" s="3" t="str">
        <f t="array" ref="W546">IFS(V546&gt;120, "Harvested", V546&gt;=113, "Yellow Ripening", V546&gt;=101, "Dough Stage", V546&gt;=93, "Milking Stage", V546&gt;=86, "Flowering", V546&gt;=56, "Panicle Initiation/Booting", V546&lt;56, "Vegetative/Tillering")</f>
        <v>Panicle Initiation/Booting</v>
      </c>
    </row>
    <row r="547" ht="15.75" hidden="1" customHeight="1">
      <c r="A547" s="3">
        <v>546.0</v>
      </c>
      <c r="B547" s="3" t="s">
        <v>23</v>
      </c>
      <c r="C547" s="3" t="s">
        <v>50</v>
      </c>
      <c r="D547" s="3" t="s">
        <v>51</v>
      </c>
      <c r="E547" s="3" t="s">
        <v>321</v>
      </c>
      <c r="F547" s="3">
        <v>1741851.0</v>
      </c>
      <c r="G547" s="4">
        <v>46034.0</v>
      </c>
      <c r="H547" s="4">
        <v>46129.0</v>
      </c>
      <c r="I547" s="3" t="s">
        <v>1724</v>
      </c>
      <c r="J547" s="3" t="s">
        <v>573</v>
      </c>
      <c r="K547" s="3" t="s">
        <v>1725</v>
      </c>
      <c r="L547" s="3">
        <v>0.0852</v>
      </c>
      <c r="M547" s="3">
        <v>2130.0</v>
      </c>
      <c r="N547" s="3">
        <v>2.0</v>
      </c>
      <c r="O547" s="3">
        <v>423683.0</v>
      </c>
      <c r="P547" s="3" t="s">
        <v>1726</v>
      </c>
      <c r="Q547" s="3">
        <v>1291423.0</v>
      </c>
      <c r="R547" s="3"/>
      <c r="S547" s="3">
        <v>1491.0</v>
      </c>
      <c r="T547" s="3" t="s">
        <v>31</v>
      </c>
      <c r="U547" s="3">
        <v>1491.0</v>
      </c>
      <c r="V547" s="5">
        <f>(DATE(2026,2,3)-'RICE_Insured Farms_with PPI Pol'!$G547)+IF('RICE_Insured Farms_with PPI Pol'!$H547&lt;&gt;'RICE_Insured Farms_with PPI Pol'!$G547,18,0)</f>
        <v>40</v>
      </c>
      <c r="W547" s="3" t="str">
        <f t="array" ref="W547">IFS(V547&gt;120, "Harvested", V547&gt;=113, "Yellow Ripening", V547&gt;=101, "Dough Stage", V547&gt;=93, "Milking Stage", V547&gt;=86, "Flowering", V547&gt;=56, "Panicle Initiation/Booting", V547&lt;56, "Vegetative/Tillering")</f>
        <v>Vegetative/Tillering</v>
      </c>
    </row>
    <row r="548" ht="15.75" hidden="1" customHeight="1">
      <c r="A548" s="3">
        <v>547.0</v>
      </c>
      <c r="B548" s="3" t="s">
        <v>23</v>
      </c>
      <c r="C548" s="3" t="s">
        <v>50</v>
      </c>
      <c r="D548" s="3" t="s">
        <v>51</v>
      </c>
      <c r="E548" s="3" t="s">
        <v>321</v>
      </c>
      <c r="F548" s="3">
        <v>1741851.0</v>
      </c>
      <c r="G548" s="4">
        <v>46034.0</v>
      </c>
      <c r="H548" s="4">
        <v>46129.0</v>
      </c>
      <c r="I548" s="3" t="s">
        <v>1724</v>
      </c>
      <c r="J548" s="3" t="s">
        <v>573</v>
      </c>
      <c r="K548" s="3" t="s">
        <v>1725</v>
      </c>
      <c r="L548" s="3">
        <v>0.4976</v>
      </c>
      <c r="M548" s="3">
        <v>12440.0</v>
      </c>
      <c r="N548" s="3">
        <v>2.0</v>
      </c>
      <c r="O548" s="3">
        <v>423683.0</v>
      </c>
      <c r="P548" s="3" t="s">
        <v>1726</v>
      </c>
      <c r="Q548" s="3">
        <v>1291425.0</v>
      </c>
      <c r="R548" s="3"/>
      <c r="S548" s="3">
        <v>8708.0</v>
      </c>
      <c r="T548" s="3" t="s">
        <v>31</v>
      </c>
      <c r="U548" s="3">
        <v>8708.0</v>
      </c>
      <c r="V548" s="5">
        <f>(DATE(2026,2,3)-'RICE_Insured Farms_with PPI Pol'!$G548)+IF('RICE_Insured Farms_with PPI Pol'!$H548&lt;&gt;'RICE_Insured Farms_with PPI Pol'!$G548,18,0)</f>
        <v>40</v>
      </c>
      <c r="W548" s="3" t="str">
        <f t="array" ref="W548">IFS(V548&gt;120, "Harvested", V548&gt;=113, "Yellow Ripening", V548&gt;=101, "Dough Stage", V548&gt;=93, "Milking Stage", V548&gt;=86, "Flowering", V548&gt;=56, "Panicle Initiation/Booting", V548&lt;56, "Vegetative/Tillering")</f>
        <v>Vegetative/Tillering</v>
      </c>
    </row>
    <row r="549" ht="15.75" hidden="1" customHeight="1">
      <c r="A549" s="3">
        <v>711.0</v>
      </c>
      <c r="B549" s="3" t="s">
        <v>23</v>
      </c>
      <c r="C549" s="3" t="s">
        <v>24</v>
      </c>
      <c r="D549" s="3" t="s">
        <v>25</v>
      </c>
      <c r="E549" s="3" t="s">
        <v>1164</v>
      </c>
      <c r="F549" s="3">
        <v>1760491.0</v>
      </c>
      <c r="G549" s="4">
        <v>46013.0</v>
      </c>
      <c r="H549" s="4">
        <v>46111.0</v>
      </c>
      <c r="I549" s="3" t="s">
        <v>1601</v>
      </c>
      <c r="J549" s="3" t="s">
        <v>1727</v>
      </c>
      <c r="K549" s="3"/>
      <c r="L549" s="3">
        <v>0.4335</v>
      </c>
      <c r="M549" s="3">
        <v>10837.5</v>
      </c>
      <c r="N549" s="3">
        <v>4.0</v>
      </c>
      <c r="O549" s="3">
        <v>435870.0</v>
      </c>
      <c r="P549" s="3" t="s">
        <v>1728</v>
      </c>
      <c r="Q549" s="3">
        <v>1149514.0</v>
      </c>
      <c r="R549" s="3"/>
      <c r="S549" s="3">
        <v>8670.0</v>
      </c>
      <c r="T549" s="3" t="s">
        <v>56</v>
      </c>
      <c r="U549" s="3">
        <v>8670.0</v>
      </c>
      <c r="V549" s="5">
        <f>(DATE(2026,2,3)-'RICE_Insured Farms_with PPI Pol'!$G549)+IF('RICE_Insured Farms_with PPI Pol'!$H549&lt;&gt;'RICE_Insured Farms_with PPI Pol'!$G549,18,0)</f>
        <v>61</v>
      </c>
      <c r="W549" s="3" t="str">
        <f t="array" ref="W549">IFS(V549&gt;120, "Harvested", V549&gt;=113, "Yellow Ripening", V549&gt;=101, "Dough Stage", V549&gt;=93, "Milking Stage", V549&gt;=86, "Flowering", V549&gt;=56, "Panicle Initiation/Booting", V549&lt;56, "Vegetative/Tillering")</f>
        <v>Panicle Initiation/Booting</v>
      </c>
    </row>
    <row r="550" ht="15.75" customHeight="1">
      <c r="A550" s="3">
        <v>549.0</v>
      </c>
      <c r="B550" s="3" t="s">
        <v>23</v>
      </c>
      <c r="C550" s="3" t="s">
        <v>68</v>
      </c>
      <c r="D550" s="3" t="s">
        <v>69</v>
      </c>
      <c r="E550" s="3" t="s">
        <v>131</v>
      </c>
      <c r="F550" s="3">
        <v>1739644.0</v>
      </c>
      <c r="G550" s="4">
        <v>46013.0</v>
      </c>
      <c r="H550" s="4">
        <v>46115.0</v>
      </c>
      <c r="I550" s="3" t="s">
        <v>1729</v>
      </c>
      <c r="J550" s="3" t="s">
        <v>1730</v>
      </c>
      <c r="K550" s="3" t="s">
        <v>1731</v>
      </c>
      <c r="L550" s="3">
        <v>0.614</v>
      </c>
      <c r="M550" s="3">
        <v>15350.0</v>
      </c>
      <c r="N550" s="3">
        <v>3.0</v>
      </c>
      <c r="O550" s="3">
        <v>187674.0</v>
      </c>
      <c r="P550" s="3"/>
      <c r="Q550" s="3">
        <v>1137063.0</v>
      </c>
      <c r="R550" s="3"/>
      <c r="S550" s="3">
        <v>12280.0</v>
      </c>
      <c r="T550" s="3" t="s">
        <v>37</v>
      </c>
      <c r="U550" s="3">
        <v>12280.0</v>
      </c>
      <c r="V550" s="5">
        <f>(DATE(2026,2,3)-'RICE_Insured Farms_with PPI Pol'!$G550)+IF('RICE_Insured Farms_with PPI Pol'!$H550&lt;&gt;'RICE_Insured Farms_with PPI Pol'!$G550,18,0)</f>
        <v>61</v>
      </c>
      <c r="W550" s="3" t="str">
        <f t="array" ref="W550">IFS(V550&gt;120, "Harvested", V550&gt;=113, "Yellow Ripening", V550&gt;=101, "Dough Stage", V550&gt;=93, "Milking Stage", V550&gt;=86, "Flowering", V550&gt;=56, "Panicle Initiation/Booting", V550&lt;56, "Vegetative/Tillering")</f>
        <v>Panicle Initiation/Booting</v>
      </c>
    </row>
    <row r="551" ht="15.75" hidden="1" customHeight="1">
      <c r="A551" s="3">
        <v>742.0</v>
      </c>
      <c r="B551" s="3" t="s">
        <v>23</v>
      </c>
      <c r="C551" s="3" t="s">
        <v>24</v>
      </c>
      <c r="D551" s="3" t="s">
        <v>25</v>
      </c>
      <c r="E551" s="3" t="s">
        <v>1374</v>
      </c>
      <c r="F551" s="3">
        <v>1760463.0</v>
      </c>
      <c r="G551" s="4">
        <v>46016.0</v>
      </c>
      <c r="H551" s="4">
        <v>46111.0</v>
      </c>
      <c r="I551" s="3" t="s">
        <v>1732</v>
      </c>
      <c r="J551" s="3" t="s">
        <v>1733</v>
      </c>
      <c r="K551" s="3" t="s">
        <v>1734</v>
      </c>
      <c r="L551" s="3">
        <v>2.0</v>
      </c>
      <c r="M551" s="3">
        <v>50000.0</v>
      </c>
      <c r="N551" s="3">
        <v>4.0</v>
      </c>
      <c r="O551" s="3">
        <v>334509.0</v>
      </c>
      <c r="P551" s="3" t="s">
        <v>1735</v>
      </c>
      <c r="Q551" s="3">
        <v>1277293.0</v>
      </c>
      <c r="R551" s="3"/>
      <c r="S551" s="3">
        <v>40000.0</v>
      </c>
      <c r="T551" s="3" t="s">
        <v>56</v>
      </c>
      <c r="U551" s="3">
        <v>40000.0</v>
      </c>
      <c r="V551" s="5">
        <f>(DATE(2026,2,3)-'RICE_Insured Farms_with PPI Pol'!$G551)+IF('RICE_Insured Farms_with PPI Pol'!$H551&lt;&gt;'RICE_Insured Farms_with PPI Pol'!$G551,18,0)</f>
        <v>58</v>
      </c>
      <c r="W551" s="3" t="str">
        <f t="array" ref="W551">IFS(V551&gt;120, "Harvested", V551&gt;=113, "Yellow Ripening", V551&gt;=101, "Dough Stage", V551&gt;=93, "Milking Stage", V551&gt;=86, "Flowering", V551&gt;=56, "Panicle Initiation/Booting", V551&lt;56, "Vegetative/Tillering")</f>
        <v>Panicle Initiation/Booting</v>
      </c>
    </row>
    <row r="552" ht="15.75" customHeight="1">
      <c r="A552" s="3">
        <v>551.0</v>
      </c>
      <c r="B552" s="3" t="s">
        <v>23</v>
      </c>
      <c r="C552" s="3" t="s">
        <v>50</v>
      </c>
      <c r="D552" s="3" t="s">
        <v>51</v>
      </c>
      <c r="E552" s="3" t="s">
        <v>52</v>
      </c>
      <c r="F552" s="3">
        <v>1741852.0</v>
      </c>
      <c r="G552" s="4">
        <v>46029.0</v>
      </c>
      <c r="H552" s="4">
        <v>46124.0</v>
      </c>
      <c r="I552" s="3" t="s">
        <v>1736</v>
      </c>
      <c r="J552" s="3" t="s">
        <v>1737</v>
      </c>
      <c r="K552" s="3" t="s">
        <v>1738</v>
      </c>
      <c r="L552" s="3">
        <v>0.976</v>
      </c>
      <c r="M552" s="3">
        <v>24400.0</v>
      </c>
      <c r="N552" s="3">
        <v>3.0</v>
      </c>
      <c r="O552" s="3">
        <v>9023.0</v>
      </c>
      <c r="P552" s="3" t="s">
        <v>1739</v>
      </c>
      <c r="Q552" s="3">
        <v>1279433.0</v>
      </c>
      <c r="R552" s="3"/>
      <c r="S552" s="3">
        <v>19520.0</v>
      </c>
      <c r="T552" s="3" t="s">
        <v>37</v>
      </c>
      <c r="U552" s="3">
        <v>19520.0</v>
      </c>
      <c r="V552" s="5">
        <f>(DATE(2026,2,3)-'RICE_Insured Farms_with PPI Pol'!$G552)+IF('RICE_Insured Farms_with PPI Pol'!$H552&lt;&gt;'RICE_Insured Farms_with PPI Pol'!$G552,18,0)</f>
        <v>45</v>
      </c>
      <c r="W552" s="3" t="str">
        <f t="array" ref="W552">IFS(V552&gt;120, "Harvested", V552&gt;=113, "Yellow Ripening", V552&gt;=101, "Dough Stage", V552&gt;=93, "Milking Stage", V552&gt;=86, "Flowering", V552&gt;=56, "Panicle Initiation/Booting", V552&lt;56, "Vegetative/Tillering")</f>
        <v>Vegetative/Tillering</v>
      </c>
    </row>
    <row r="553" ht="15.75" hidden="1" customHeight="1">
      <c r="A553" s="3">
        <v>552.0</v>
      </c>
      <c r="B553" s="3" t="s">
        <v>23</v>
      </c>
      <c r="C553" s="3" t="s">
        <v>50</v>
      </c>
      <c r="D553" s="3" t="s">
        <v>51</v>
      </c>
      <c r="E553" s="3" t="s">
        <v>52</v>
      </c>
      <c r="F553" s="3">
        <v>1741852.0</v>
      </c>
      <c r="G553" s="4">
        <v>46031.0</v>
      </c>
      <c r="H553" s="4">
        <v>46151.0</v>
      </c>
      <c r="I553" s="3" t="s">
        <v>1736</v>
      </c>
      <c r="J553" s="3" t="s">
        <v>356</v>
      </c>
      <c r="K553" s="3" t="s">
        <v>1738</v>
      </c>
      <c r="L553" s="3">
        <v>1.1713</v>
      </c>
      <c r="M553" s="3">
        <v>29282.5</v>
      </c>
      <c r="N553" s="3">
        <v>1.0</v>
      </c>
      <c r="O553" s="3">
        <v>34832.0</v>
      </c>
      <c r="P553" s="3" t="s">
        <v>1740</v>
      </c>
      <c r="Q553" s="3">
        <v>1279349.0</v>
      </c>
      <c r="R553" s="3"/>
      <c r="S553" s="3">
        <v>17569.5</v>
      </c>
      <c r="T553" s="3" t="s">
        <v>62</v>
      </c>
      <c r="U553" s="3">
        <v>17569.5</v>
      </c>
      <c r="V553" s="5">
        <f>(DATE(2026,2,3)-'RICE_Insured Farms_with PPI Pol'!$G553)+IF('RICE_Insured Farms_with PPI Pol'!$H553&lt;&gt;'RICE_Insured Farms_with PPI Pol'!$G553,18,0)</f>
        <v>43</v>
      </c>
      <c r="W553" s="3" t="str">
        <f t="array" ref="W553">IFS(V553&gt;120, "Harvested", V553&gt;=113, "Yellow Ripening", V553&gt;=101, "Dough Stage", V553&gt;=93, "Milking Stage", V553&gt;=86, "Flowering", V553&gt;=56, "Panicle Initiation/Booting", V553&lt;56, "Vegetative/Tillering")</f>
        <v>Vegetative/Tillering</v>
      </c>
    </row>
    <row r="554" ht="15.75" hidden="1" customHeight="1">
      <c r="A554" s="3">
        <v>553.0</v>
      </c>
      <c r="B554" s="3" t="s">
        <v>23</v>
      </c>
      <c r="C554" s="3" t="s">
        <v>121</v>
      </c>
      <c r="D554" s="3" t="s">
        <v>1492</v>
      </c>
      <c r="E554" s="3" t="s">
        <v>1493</v>
      </c>
      <c r="F554" s="3">
        <v>1740649.0</v>
      </c>
      <c r="G554" s="4">
        <v>46027.0</v>
      </c>
      <c r="H554" s="4">
        <v>46147.0</v>
      </c>
      <c r="I554" s="3" t="s">
        <v>1741</v>
      </c>
      <c r="J554" s="3" t="s">
        <v>1742</v>
      </c>
      <c r="K554" s="3" t="s">
        <v>1743</v>
      </c>
      <c r="L554" s="3">
        <v>1.1154</v>
      </c>
      <c r="M554" s="3">
        <v>27885.0</v>
      </c>
      <c r="N554" s="3">
        <v>1.0</v>
      </c>
      <c r="O554" s="3">
        <v>18521.0</v>
      </c>
      <c r="P554" s="3" t="s">
        <v>1744</v>
      </c>
      <c r="Q554" s="3">
        <v>1225959.0</v>
      </c>
      <c r="R554" s="3"/>
      <c r="S554" s="3">
        <v>16731.0</v>
      </c>
      <c r="T554" s="3" t="s">
        <v>62</v>
      </c>
      <c r="U554" s="3">
        <v>16731.0</v>
      </c>
      <c r="V554" s="5">
        <f>(DATE(2026,2,3)-'RICE_Insured Farms_with PPI Pol'!$G554)+IF('RICE_Insured Farms_with PPI Pol'!$H554&lt;&gt;'RICE_Insured Farms_with PPI Pol'!$G554,18,0)</f>
        <v>47</v>
      </c>
      <c r="W554" s="3" t="str">
        <f t="array" ref="W554">IFS(V554&gt;120, "Harvested", V554&gt;=113, "Yellow Ripening", V554&gt;=101, "Dough Stage", V554&gt;=93, "Milking Stage", V554&gt;=86, "Flowering", V554&gt;=56, "Panicle Initiation/Booting", V554&lt;56, "Vegetative/Tillering")</f>
        <v>Vegetative/Tillering</v>
      </c>
    </row>
    <row r="555" ht="15.75" hidden="1" customHeight="1">
      <c r="A555" s="3">
        <v>554.0</v>
      </c>
      <c r="B555" s="3" t="s">
        <v>23</v>
      </c>
      <c r="C555" s="3" t="s">
        <v>121</v>
      </c>
      <c r="D555" s="3" t="s">
        <v>1492</v>
      </c>
      <c r="E555" s="3" t="s">
        <v>1493</v>
      </c>
      <c r="F555" s="3">
        <v>1740657.0</v>
      </c>
      <c r="G555" s="4">
        <v>46041.0</v>
      </c>
      <c r="H555" s="4">
        <v>46161.0</v>
      </c>
      <c r="I555" s="3" t="s">
        <v>1741</v>
      </c>
      <c r="J555" s="3" t="s">
        <v>949</v>
      </c>
      <c r="K555" s="3" t="s">
        <v>1745</v>
      </c>
      <c r="L555" s="3">
        <v>1.8972</v>
      </c>
      <c r="M555" s="3">
        <v>47430.0</v>
      </c>
      <c r="N555" s="3">
        <v>1.0</v>
      </c>
      <c r="O555" s="3">
        <v>6260.0</v>
      </c>
      <c r="P555" s="3" t="s">
        <v>1746</v>
      </c>
      <c r="Q555" s="3">
        <v>1230083.0</v>
      </c>
      <c r="R555" s="3"/>
      <c r="S555" s="3">
        <v>28458.0</v>
      </c>
      <c r="T555" s="3" t="s">
        <v>62</v>
      </c>
      <c r="U555" s="3">
        <v>28458.0</v>
      </c>
      <c r="V555" s="5">
        <f>(DATE(2026,2,3)-'RICE_Insured Farms_with PPI Pol'!$G555)+IF('RICE_Insured Farms_with PPI Pol'!$H555&lt;&gt;'RICE_Insured Farms_with PPI Pol'!$G555,18,0)</f>
        <v>33</v>
      </c>
      <c r="W555" s="3" t="str">
        <f t="array" ref="W555">IFS(V555&gt;120, "Harvested", V555&gt;=113, "Yellow Ripening", V555&gt;=101, "Dough Stage", V555&gt;=93, "Milking Stage", V555&gt;=86, "Flowering", V555&gt;=56, "Panicle Initiation/Booting", V555&lt;56, "Vegetative/Tillering")</f>
        <v>Vegetative/Tillering</v>
      </c>
    </row>
    <row r="556" ht="15.75" customHeight="1">
      <c r="A556" s="3">
        <v>555.0</v>
      </c>
      <c r="B556" s="3" t="s">
        <v>23</v>
      </c>
      <c r="C556" s="3" t="s">
        <v>68</v>
      </c>
      <c r="D556" s="3" t="s">
        <v>122</v>
      </c>
      <c r="E556" s="3" t="s">
        <v>376</v>
      </c>
      <c r="F556" s="3">
        <v>1196931.0</v>
      </c>
      <c r="G556" s="4">
        <v>46011.0</v>
      </c>
      <c r="H556" s="4">
        <v>46113.0</v>
      </c>
      <c r="I556" s="3" t="s">
        <v>1747</v>
      </c>
      <c r="J556" s="3" t="s">
        <v>1748</v>
      </c>
      <c r="K556" s="3" t="s">
        <v>1610</v>
      </c>
      <c r="L556" s="3">
        <v>1.4209</v>
      </c>
      <c r="M556" s="3">
        <v>35522.5</v>
      </c>
      <c r="N556" s="3">
        <v>3.0</v>
      </c>
      <c r="O556" s="3">
        <v>417377.0</v>
      </c>
      <c r="P556" s="3" t="s">
        <v>1749</v>
      </c>
      <c r="Q556" s="3">
        <v>1184720.0</v>
      </c>
      <c r="R556" s="3"/>
      <c r="S556" s="3">
        <v>28418.0</v>
      </c>
      <c r="T556" s="3" t="s">
        <v>37</v>
      </c>
      <c r="U556" s="3">
        <v>28418.0</v>
      </c>
      <c r="V556" s="5">
        <f>(DATE(2026,2,3)-'RICE_Insured Farms_with PPI Pol'!$G556)+IF('RICE_Insured Farms_with PPI Pol'!$H556&lt;&gt;'RICE_Insured Farms_with PPI Pol'!$G556,18,0)</f>
        <v>63</v>
      </c>
      <c r="W556" s="3" t="str">
        <f t="array" ref="W556">IFS(V556&gt;120, "Harvested", V556&gt;=113, "Yellow Ripening", V556&gt;=101, "Dough Stage", V556&gt;=93, "Milking Stage", V556&gt;=86, "Flowering", V556&gt;=56, "Panicle Initiation/Booting", V556&lt;56, "Vegetative/Tillering")</f>
        <v>Panicle Initiation/Booting</v>
      </c>
    </row>
    <row r="557" ht="15.75" hidden="1" customHeight="1">
      <c r="A557" s="3">
        <v>744.0</v>
      </c>
      <c r="B557" s="3" t="s">
        <v>23</v>
      </c>
      <c r="C557" s="3" t="s">
        <v>24</v>
      </c>
      <c r="D557" s="3" t="s">
        <v>25</v>
      </c>
      <c r="E557" s="3" t="s">
        <v>1374</v>
      </c>
      <c r="F557" s="3">
        <v>1760463.0</v>
      </c>
      <c r="G557" s="4">
        <v>46012.0</v>
      </c>
      <c r="H557" s="4">
        <v>46107.0</v>
      </c>
      <c r="I557" s="3" t="s">
        <v>1732</v>
      </c>
      <c r="J557" s="3" t="s">
        <v>356</v>
      </c>
      <c r="K557" s="3" t="s">
        <v>1750</v>
      </c>
      <c r="L557" s="3">
        <v>2.0</v>
      </c>
      <c r="M557" s="3">
        <v>50000.0</v>
      </c>
      <c r="N557" s="3">
        <v>4.0</v>
      </c>
      <c r="O557" s="3">
        <v>95291.0</v>
      </c>
      <c r="P557" s="3" t="s">
        <v>1751</v>
      </c>
      <c r="Q557" s="3">
        <v>1319215.0</v>
      </c>
      <c r="R557" s="3"/>
      <c r="S557" s="3">
        <v>40000.0</v>
      </c>
      <c r="T557" s="3" t="s">
        <v>56</v>
      </c>
      <c r="U557" s="3">
        <v>40000.0</v>
      </c>
      <c r="V557" s="5">
        <f>(DATE(2026,2,3)-'RICE_Insured Farms_with PPI Pol'!$G557)+IF('RICE_Insured Farms_with PPI Pol'!$H557&lt;&gt;'RICE_Insured Farms_with PPI Pol'!$G557,18,0)</f>
        <v>62</v>
      </c>
      <c r="W557" s="3" t="str">
        <f t="array" ref="W557">IFS(V557&gt;120, "Harvested", V557&gt;=113, "Yellow Ripening", V557&gt;=101, "Dough Stage", V557&gt;=93, "Milking Stage", V557&gt;=86, "Flowering", V557&gt;=56, "Panicle Initiation/Booting", V557&lt;56, "Vegetative/Tillering")</f>
        <v>Panicle Initiation/Booting</v>
      </c>
    </row>
    <row r="558" ht="15.75" hidden="1" customHeight="1">
      <c r="A558" s="3">
        <v>557.0</v>
      </c>
      <c r="B558" s="3" t="s">
        <v>23</v>
      </c>
      <c r="C558" s="3" t="s">
        <v>68</v>
      </c>
      <c r="D558" s="3" t="s">
        <v>289</v>
      </c>
      <c r="E558" s="3" t="s">
        <v>507</v>
      </c>
      <c r="F558" s="3">
        <v>1760026.0</v>
      </c>
      <c r="G558" s="4">
        <v>46033.0</v>
      </c>
      <c r="H558" s="4">
        <v>46135.0</v>
      </c>
      <c r="I558" s="3" t="s">
        <v>1752</v>
      </c>
      <c r="J558" s="3" t="s">
        <v>166</v>
      </c>
      <c r="K558" s="3" t="s">
        <v>1753</v>
      </c>
      <c r="L558" s="3">
        <v>0.8225</v>
      </c>
      <c r="M558" s="3">
        <v>20562.5</v>
      </c>
      <c r="N558" s="3">
        <v>2.0</v>
      </c>
      <c r="O558" s="3">
        <v>329137.0</v>
      </c>
      <c r="P558" s="3" t="s">
        <v>1754</v>
      </c>
      <c r="Q558" s="3">
        <v>1189720.0</v>
      </c>
      <c r="R558" s="3"/>
      <c r="S558" s="3">
        <v>14393.75</v>
      </c>
      <c r="T558" s="3" t="s">
        <v>31</v>
      </c>
      <c r="U558" s="3">
        <v>14393.75</v>
      </c>
      <c r="V558" s="5">
        <f>(DATE(2026,2,3)-'RICE_Insured Farms_with PPI Pol'!$G558)+IF('RICE_Insured Farms_with PPI Pol'!$H558&lt;&gt;'RICE_Insured Farms_with PPI Pol'!$G558,18,0)</f>
        <v>41</v>
      </c>
      <c r="W558" s="3" t="str">
        <f t="array" ref="W558">IFS(V558&gt;120, "Harvested", V558&gt;=113, "Yellow Ripening", V558&gt;=101, "Dough Stage", V558&gt;=93, "Milking Stage", V558&gt;=86, "Flowering", V558&gt;=56, "Panicle Initiation/Booting", V558&lt;56, "Vegetative/Tillering")</f>
        <v>Vegetative/Tillering</v>
      </c>
    </row>
    <row r="559" ht="15.75" hidden="1" customHeight="1">
      <c r="A559" s="3">
        <v>558.0</v>
      </c>
      <c r="B559" s="3" t="s">
        <v>23</v>
      </c>
      <c r="C559" s="3" t="s">
        <v>68</v>
      </c>
      <c r="D559" s="3" t="s">
        <v>289</v>
      </c>
      <c r="E559" s="3" t="s">
        <v>290</v>
      </c>
      <c r="F559" s="3">
        <v>1760036.0</v>
      </c>
      <c r="G559" s="4">
        <v>46030.0</v>
      </c>
      <c r="H559" s="4">
        <v>46132.0</v>
      </c>
      <c r="I559" s="3" t="s">
        <v>291</v>
      </c>
      <c r="J559" s="3" t="s">
        <v>1755</v>
      </c>
      <c r="K559" s="3" t="s">
        <v>1756</v>
      </c>
      <c r="L559" s="3">
        <v>0.8153</v>
      </c>
      <c r="M559" s="3">
        <v>20382.5</v>
      </c>
      <c r="N559" s="3">
        <v>2.0</v>
      </c>
      <c r="O559" s="3">
        <v>436357.0</v>
      </c>
      <c r="P559" s="3" t="s">
        <v>1757</v>
      </c>
      <c r="Q559" s="3">
        <v>1285678.0</v>
      </c>
      <c r="R559" s="3"/>
      <c r="S559" s="3">
        <v>14267.75</v>
      </c>
      <c r="T559" s="3" t="s">
        <v>31</v>
      </c>
      <c r="U559" s="3">
        <v>14267.75</v>
      </c>
      <c r="V559" s="5">
        <f>(DATE(2026,2,3)-'RICE_Insured Farms_with PPI Pol'!$G559)+IF('RICE_Insured Farms_with PPI Pol'!$H559&lt;&gt;'RICE_Insured Farms_with PPI Pol'!$G559,18,0)</f>
        <v>44</v>
      </c>
      <c r="W559" s="3" t="str">
        <f t="array" ref="W559">IFS(V559&gt;120, "Harvested", V559&gt;=113, "Yellow Ripening", V559&gt;=101, "Dough Stage", V559&gt;=93, "Milking Stage", V559&gt;=86, "Flowering", V559&gt;=56, "Panicle Initiation/Booting", V559&lt;56, "Vegetative/Tillering")</f>
        <v>Vegetative/Tillering</v>
      </c>
    </row>
    <row r="560" ht="15.75" hidden="1" customHeight="1">
      <c r="A560" s="3">
        <v>559.0</v>
      </c>
      <c r="B560" s="3" t="s">
        <v>23</v>
      </c>
      <c r="C560" s="3" t="s">
        <v>68</v>
      </c>
      <c r="D560" s="3" t="s">
        <v>289</v>
      </c>
      <c r="E560" s="3" t="s">
        <v>290</v>
      </c>
      <c r="F560" s="3">
        <v>1760046.0</v>
      </c>
      <c r="G560" s="4">
        <v>46039.0</v>
      </c>
      <c r="H560" s="4">
        <v>46141.0</v>
      </c>
      <c r="I560" s="3" t="s">
        <v>291</v>
      </c>
      <c r="J560" s="3" t="s">
        <v>761</v>
      </c>
      <c r="K560" s="3" t="s">
        <v>1758</v>
      </c>
      <c r="L560" s="3">
        <v>0.1277</v>
      </c>
      <c r="M560" s="3">
        <v>3192.5</v>
      </c>
      <c r="N560" s="3">
        <v>2.0</v>
      </c>
      <c r="O560" s="3">
        <v>195189.0</v>
      </c>
      <c r="P560" s="3" t="s">
        <v>1759</v>
      </c>
      <c r="Q560" s="3">
        <v>1049252.0</v>
      </c>
      <c r="R560" s="3"/>
      <c r="S560" s="3">
        <v>2234.75</v>
      </c>
      <c r="T560" s="3" t="s">
        <v>31</v>
      </c>
      <c r="U560" s="3">
        <v>2234.75</v>
      </c>
      <c r="V560" s="5">
        <f>(DATE(2026,2,3)-'RICE_Insured Farms_with PPI Pol'!$G560)+IF('RICE_Insured Farms_with PPI Pol'!$H560&lt;&gt;'RICE_Insured Farms_with PPI Pol'!$G560,18,0)</f>
        <v>35</v>
      </c>
      <c r="W560" s="3" t="str">
        <f t="array" ref="W560">IFS(V560&gt;120, "Harvested", V560&gt;=113, "Yellow Ripening", V560&gt;=101, "Dough Stage", V560&gt;=93, "Milking Stage", V560&gt;=86, "Flowering", V560&gt;=56, "Panicle Initiation/Booting", V560&lt;56, "Vegetative/Tillering")</f>
        <v>Vegetative/Tillering</v>
      </c>
    </row>
    <row r="561" ht="15.75" hidden="1" customHeight="1">
      <c r="A561" s="3">
        <v>560.0</v>
      </c>
      <c r="B561" s="3" t="s">
        <v>23</v>
      </c>
      <c r="C561" s="3" t="s">
        <v>68</v>
      </c>
      <c r="D561" s="3" t="s">
        <v>289</v>
      </c>
      <c r="E561" s="3" t="s">
        <v>290</v>
      </c>
      <c r="F561" s="3">
        <v>1760046.0</v>
      </c>
      <c r="G561" s="4">
        <v>46034.0</v>
      </c>
      <c r="H561" s="4">
        <v>46136.0</v>
      </c>
      <c r="I561" s="3" t="s">
        <v>291</v>
      </c>
      <c r="J561" s="3" t="s">
        <v>761</v>
      </c>
      <c r="K561" s="3" t="s">
        <v>1758</v>
      </c>
      <c r="L561" s="3">
        <v>0.0502</v>
      </c>
      <c r="M561" s="3">
        <v>1255.0</v>
      </c>
      <c r="N561" s="3">
        <v>2.0</v>
      </c>
      <c r="O561" s="3">
        <v>195189.0</v>
      </c>
      <c r="P561" s="3" t="s">
        <v>1759</v>
      </c>
      <c r="Q561" s="3">
        <v>1134836.0</v>
      </c>
      <c r="R561" s="3"/>
      <c r="S561" s="3">
        <v>878.5</v>
      </c>
      <c r="T561" s="3" t="s">
        <v>31</v>
      </c>
      <c r="U561" s="3">
        <v>878.5</v>
      </c>
      <c r="V561" s="5">
        <f>(DATE(2026,2,3)-'RICE_Insured Farms_with PPI Pol'!$G561)+IF('RICE_Insured Farms_with PPI Pol'!$H561&lt;&gt;'RICE_Insured Farms_with PPI Pol'!$G561,18,0)</f>
        <v>40</v>
      </c>
      <c r="W561" s="3" t="str">
        <f t="array" ref="W561">IFS(V561&gt;120, "Harvested", V561&gt;=113, "Yellow Ripening", V561&gt;=101, "Dough Stage", V561&gt;=93, "Milking Stage", V561&gt;=86, "Flowering", V561&gt;=56, "Panicle Initiation/Booting", V561&lt;56, "Vegetative/Tillering")</f>
        <v>Vegetative/Tillering</v>
      </c>
    </row>
    <row r="562" ht="15.75" hidden="1" customHeight="1">
      <c r="A562" s="3">
        <v>561.0</v>
      </c>
      <c r="B562" s="3" t="s">
        <v>23</v>
      </c>
      <c r="C562" s="3" t="s">
        <v>68</v>
      </c>
      <c r="D562" s="3" t="s">
        <v>289</v>
      </c>
      <c r="E562" s="3" t="s">
        <v>290</v>
      </c>
      <c r="F562" s="3">
        <v>1760046.0</v>
      </c>
      <c r="G562" s="4">
        <v>46039.0</v>
      </c>
      <c r="H562" s="4">
        <v>46141.0</v>
      </c>
      <c r="I562" s="3" t="s">
        <v>291</v>
      </c>
      <c r="J562" s="3" t="s">
        <v>761</v>
      </c>
      <c r="K562" s="3" t="s">
        <v>1758</v>
      </c>
      <c r="L562" s="3">
        <v>0.1806</v>
      </c>
      <c r="M562" s="3">
        <v>4515.0</v>
      </c>
      <c r="N562" s="3">
        <v>2.0</v>
      </c>
      <c r="O562" s="3">
        <v>195189.0</v>
      </c>
      <c r="P562" s="3" t="s">
        <v>1759</v>
      </c>
      <c r="Q562" s="3">
        <v>1135073.0</v>
      </c>
      <c r="R562" s="3"/>
      <c r="S562" s="3">
        <v>3160.5</v>
      </c>
      <c r="T562" s="3" t="s">
        <v>31</v>
      </c>
      <c r="U562" s="3">
        <v>3160.5</v>
      </c>
      <c r="V562" s="5">
        <f>(DATE(2026,2,3)-'RICE_Insured Farms_with PPI Pol'!$G562)+IF('RICE_Insured Farms_with PPI Pol'!$H562&lt;&gt;'RICE_Insured Farms_with PPI Pol'!$G562,18,0)</f>
        <v>35</v>
      </c>
      <c r="W562" s="3" t="str">
        <f t="array" ref="W562">IFS(V562&gt;120, "Harvested", V562&gt;=113, "Yellow Ripening", V562&gt;=101, "Dough Stage", V562&gt;=93, "Milking Stage", V562&gt;=86, "Flowering", V562&gt;=56, "Panicle Initiation/Booting", V562&lt;56, "Vegetative/Tillering")</f>
        <v>Vegetative/Tillering</v>
      </c>
    </row>
    <row r="563" ht="15.75" hidden="1" customHeight="1">
      <c r="A563" s="3">
        <v>562.0</v>
      </c>
      <c r="B563" s="3" t="s">
        <v>23</v>
      </c>
      <c r="C563" s="3" t="s">
        <v>68</v>
      </c>
      <c r="D563" s="3" t="s">
        <v>289</v>
      </c>
      <c r="E563" s="3" t="s">
        <v>290</v>
      </c>
      <c r="F563" s="3">
        <v>1760046.0</v>
      </c>
      <c r="G563" s="4">
        <v>46034.0</v>
      </c>
      <c r="H563" s="4">
        <v>46136.0</v>
      </c>
      <c r="I563" s="3" t="s">
        <v>291</v>
      </c>
      <c r="J563" s="3" t="s">
        <v>761</v>
      </c>
      <c r="K563" s="3" t="s">
        <v>1758</v>
      </c>
      <c r="L563" s="3">
        <v>0.5126</v>
      </c>
      <c r="M563" s="3">
        <v>12815.0</v>
      </c>
      <c r="N563" s="3">
        <v>2.0</v>
      </c>
      <c r="O563" s="3">
        <v>195189.0</v>
      </c>
      <c r="P563" s="3" t="s">
        <v>1759</v>
      </c>
      <c r="Q563" s="3">
        <v>1283785.0</v>
      </c>
      <c r="R563" s="3"/>
      <c r="S563" s="3">
        <v>8970.5</v>
      </c>
      <c r="T563" s="3" t="s">
        <v>31</v>
      </c>
      <c r="U563" s="3">
        <v>8970.5</v>
      </c>
      <c r="V563" s="5">
        <f>(DATE(2026,2,3)-'RICE_Insured Farms_with PPI Pol'!$G563)+IF('RICE_Insured Farms_with PPI Pol'!$H563&lt;&gt;'RICE_Insured Farms_with PPI Pol'!$G563,18,0)</f>
        <v>40</v>
      </c>
      <c r="W563" s="3" t="str">
        <f t="array" ref="W563">IFS(V563&gt;120, "Harvested", V563&gt;=113, "Yellow Ripening", V563&gt;=101, "Dough Stage", V563&gt;=93, "Milking Stage", V563&gt;=86, "Flowering", V563&gt;=56, "Panicle Initiation/Booting", V563&lt;56, "Vegetative/Tillering")</f>
        <v>Vegetative/Tillering</v>
      </c>
    </row>
    <row r="564" ht="15.75" hidden="1" customHeight="1">
      <c r="A564" s="3">
        <v>563.0</v>
      </c>
      <c r="B564" s="3" t="s">
        <v>23</v>
      </c>
      <c r="C564" s="3" t="s">
        <v>68</v>
      </c>
      <c r="D564" s="3" t="s">
        <v>289</v>
      </c>
      <c r="E564" s="3" t="s">
        <v>290</v>
      </c>
      <c r="F564" s="3">
        <v>1760036.0</v>
      </c>
      <c r="G564" s="4">
        <v>46026.0</v>
      </c>
      <c r="H564" s="4">
        <v>46128.0</v>
      </c>
      <c r="I564" s="3" t="s">
        <v>291</v>
      </c>
      <c r="J564" s="3" t="s">
        <v>1034</v>
      </c>
      <c r="K564" s="3" t="s">
        <v>1760</v>
      </c>
      <c r="L564" s="3">
        <v>0.4129</v>
      </c>
      <c r="M564" s="3">
        <v>10322.5</v>
      </c>
      <c r="N564" s="3">
        <v>2.0</v>
      </c>
      <c r="O564" s="3">
        <v>195098.0</v>
      </c>
      <c r="P564" s="3" t="s">
        <v>1761</v>
      </c>
      <c r="Q564" s="3">
        <v>1283782.0</v>
      </c>
      <c r="R564" s="3"/>
      <c r="S564" s="3">
        <v>7225.75</v>
      </c>
      <c r="T564" s="3" t="s">
        <v>31</v>
      </c>
      <c r="U564" s="3">
        <v>7225.75</v>
      </c>
      <c r="V564" s="5">
        <f>(DATE(2026,2,3)-'RICE_Insured Farms_with PPI Pol'!$G564)+IF('RICE_Insured Farms_with PPI Pol'!$H564&lt;&gt;'RICE_Insured Farms_with PPI Pol'!$G564,18,0)</f>
        <v>48</v>
      </c>
      <c r="W564" s="3" t="str">
        <f t="array" ref="W564">IFS(V564&gt;120, "Harvested", V564&gt;=113, "Yellow Ripening", V564&gt;=101, "Dough Stage", V564&gt;=93, "Milking Stage", V564&gt;=86, "Flowering", V564&gt;=56, "Panicle Initiation/Booting", V564&lt;56, "Vegetative/Tillering")</f>
        <v>Vegetative/Tillering</v>
      </c>
    </row>
    <row r="565" ht="15.75" hidden="1" customHeight="1">
      <c r="A565" s="3">
        <v>564.0</v>
      </c>
      <c r="B565" s="3" t="s">
        <v>23</v>
      </c>
      <c r="C565" s="3" t="s">
        <v>68</v>
      </c>
      <c r="D565" s="3" t="s">
        <v>289</v>
      </c>
      <c r="E565" s="3" t="s">
        <v>290</v>
      </c>
      <c r="F565" s="3">
        <v>1760035.0</v>
      </c>
      <c r="G565" s="4">
        <v>46032.0</v>
      </c>
      <c r="H565" s="4">
        <v>46134.0</v>
      </c>
      <c r="I565" s="3" t="s">
        <v>291</v>
      </c>
      <c r="J565" s="3" t="s">
        <v>292</v>
      </c>
      <c r="K565" s="3" t="s">
        <v>293</v>
      </c>
      <c r="L565" s="3">
        <v>0.1016</v>
      </c>
      <c r="M565" s="3">
        <v>2540.0</v>
      </c>
      <c r="N565" s="3">
        <v>2.0</v>
      </c>
      <c r="O565" s="3">
        <v>204556.0</v>
      </c>
      <c r="P565" s="3" t="s">
        <v>294</v>
      </c>
      <c r="Q565" s="3">
        <v>1316683.0</v>
      </c>
      <c r="R565" s="3"/>
      <c r="S565" s="3">
        <v>1778.0</v>
      </c>
      <c r="T565" s="3" t="s">
        <v>31</v>
      </c>
      <c r="U565" s="3">
        <v>1778.0</v>
      </c>
      <c r="V565" s="5">
        <f>(DATE(2026,2,3)-'RICE_Insured Farms_with PPI Pol'!$G565)+IF('RICE_Insured Farms_with PPI Pol'!$H565&lt;&gt;'RICE_Insured Farms_with PPI Pol'!$G565,18,0)</f>
        <v>42</v>
      </c>
      <c r="W565" s="3" t="str">
        <f t="array" ref="W565">IFS(V565&gt;120, "Harvested", V565&gt;=113, "Yellow Ripening", V565&gt;=101, "Dough Stage", V565&gt;=93, "Milking Stage", V565&gt;=86, "Flowering", V565&gt;=56, "Panicle Initiation/Booting", V565&lt;56, "Vegetative/Tillering")</f>
        <v>Vegetative/Tillering</v>
      </c>
    </row>
    <row r="566" ht="15.75" hidden="1" customHeight="1">
      <c r="A566" s="3">
        <v>565.0</v>
      </c>
      <c r="B566" s="3" t="s">
        <v>23</v>
      </c>
      <c r="C566" s="3" t="s">
        <v>68</v>
      </c>
      <c r="D566" s="3" t="s">
        <v>289</v>
      </c>
      <c r="E566" s="3" t="s">
        <v>290</v>
      </c>
      <c r="F566" s="3">
        <v>1760035.0</v>
      </c>
      <c r="G566" s="4">
        <v>46028.0</v>
      </c>
      <c r="H566" s="4">
        <v>46130.0</v>
      </c>
      <c r="I566" s="3" t="s">
        <v>291</v>
      </c>
      <c r="J566" s="3" t="s">
        <v>292</v>
      </c>
      <c r="K566" s="3" t="s">
        <v>293</v>
      </c>
      <c r="L566" s="3">
        <v>0.3645</v>
      </c>
      <c r="M566" s="3">
        <v>9112.5</v>
      </c>
      <c r="N566" s="3">
        <v>2.0</v>
      </c>
      <c r="O566" s="3">
        <v>204556.0</v>
      </c>
      <c r="P566" s="3" t="s">
        <v>294</v>
      </c>
      <c r="Q566" s="3">
        <v>345546.0</v>
      </c>
      <c r="R566" s="3"/>
      <c r="S566" s="3">
        <v>6378.75</v>
      </c>
      <c r="T566" s="3" t="s">
        <v>31</v>
      </c>
      <c r="U566" s="3">
        <v>6378.75</v>
      </c>
      <c r="V566" s="5">
        <f>(DATE(2026,2,3)-'RICE_Insured Farms_with PPI Pol'!$G566)+IF('RICE_Insured Farms_with PPI Pol'!$H566&lt;&gt;'RICE_Insured Farms_with PPI Pol'!$G566,18,0)</f>
        <v>46</v>
      </c>
      <c r="W566" s="3" t="str">
        <f t="array" ref="W566">IFS(V566&gt;120, "Harvested", V566&gt;=113, "Yellow Ripening", V566&gt;=101, "Dough Stage", V566&gt;=93, "Milking Stage", V566&gt;=86, "Flowering", V566&gt;=56, "Panicle Initiation/Booting", V566&lt;56, "Vegetative/Tillering")</f>
        <v>Vegetative/Tillering</v>
      </c>
    </row>
    <row r="567" ht="15.75" hidden="1" customHeight="1">
      <c r="A567" s="3">
        <v>566.0</v>
      </c>
      <c r="B567" s="3" t="s">
        <v>23</v>
      </c>
      <c r="C567" s="3" t="s">
        <v>68</v>
      </c>
      <c r="D567" s="3" t="s">
        <v>289</v>
      </c>
      <c r="E567" s="3" t="s">
        <v>290</v>
      </c>
      <c r="F567" s="3">
        <v>1760035.0</v>
      </c>
      <c r="G567" s="4">
        <v>46030.0</v>
      </c>
      <c r="H567" s="4">
        <v>46132.0</v>
      </c>
      <c r="I567" s="3" t="s">
        <v>291</v>
      </c>
      <c r="J567" s="3" t="s">
        <v>437</v>
      </c>
      <c r="K567" s="3" t="s">
        <v>293</v>
      </c>
      <c r="L567" s="3">
        <v>0.9092</v>
      </c>
      <c r="M567" s="3">
        <v>22730.0</v>
      </c>
      <c r="N567" s="3">
        <v>2.0</v>
      </c>
      <c r="O567" s="3">
        <v>228529.0</v>
      </c>
      <c r="P567" s="3" t="s">
        <v>1762</v>
      </c>
      <c r="Q567" s="3">
        <v>1280376.0</v>
      </c>
      <c r="R567" s="3"/>
      <c r="S567" s="3">
        <v>15911.0</v>
      </c>
      <c r="T567" s="3" t="s">
        <v>31</v>
      </c>
      <c r="U567" s="3">
        <v>15911.0</v>
      </c>
      <c r="V567" s="5">
        <f>(DATE(2026,2,3)-'RICE_Insured Farms_with PPI Pol'!$G567)+IF('RICE_Insured Farms_with PPI Pol'!$H567&lt;&gt;'RICE_Insured Farms_with PPI Pol'!$G567,18,0)</f>
        <v>44</v>
      </c>
      <c r="W567" s="3" t="str">
        <f t="array" ref="W567">IFS(V567&gt;120, "Harvested", V567&gt;=113, "Yellow Ripening", V567&gt;=101, "Dough Stage", V567&gt;=93, "Milking Stage", V567&gt;=86, "Flowering", V567&gt;=56, "Panicle Initiation/Booting", V567&lt;56, "Vegetative/Tillering")</f>
        <v>Vegetative/Tillering</v>
      </c>
    </row>
    <row r="568" ht="15.75" hidden="1" customHeight="1">
      <c r="A568" s="3">
        <v>567.0</v>
      </c>
      <c r="B568" s="3" t="s">
        <v>23</v>
      </c>
      <c r="C568" s="3" t="s">
        <v>68</v>
      </c>
      <c r="D568" s="3" t="s">
        <v>289</v>
      </c>
      <c r="E568" s="3" t="s">
        <v>290</v>
      </c>
      <c r="F568" s="3">
        <v>1760035.0</v>
      </c>
      <c r="G568" s="4">
        <v>46030.0</v>
      </c>
      <c r="H568" s="4">
        <v>46132.0</v>
      </c>
      <c r="I568" s="3" t="s">
        <v>291</v>
      </c>
      <c r="J568" s="3" t="s">
        <v>437</v>
      </c>
      <c r="K568" s="3" t="s">
        <v>293</v>
      </c>
      <c r="L568" s="3">
        <v>0.2339</v>
      </c>
      <c r="M568" s="3">
        <v>5847.5</v>
      </c>
      <c r="N568" s="3">
        <v>2.0</v>
      </c>
      <c r="O568" s="3">
        <v>228529.0</v>
      </c>
      <c r="P568" s="3" t="s">
        <v>1762</v>
      </c>
      <c r="Q568" s="3">
        <v>1280379.0</v>
      </c>
      <c r="R568" s="3"/>
      <c r="S568" s="3">
        <v>4093.25</v>
      </c>
      <c r="T568" s="3" t="s">
        <v>31</v>
      </c>
      <c r="U568" s="3">
        <v>4093.25</v>
      </c>
      <c r="V568" s="5">
        <f>(DATE(2026,2,3)-'RICE_Insured Farms_with PPI Pol'!$G568)+IF('RICE_Insured Farms_with PPI Pol'!$H568&lt;&gt;'RICE_Insured Farms_with PPI Pol'!$G568,18,0)</f>
        <v>44</v>
      </c>
      <c r="W568" s="3" t="str">
        <f t="array" ref="W568">IFS(V568&gt;120, "Harvested", V568&gt;=113, "Yellow Ripening", V568&gt;=101, "Dough Stage", V568&gt;=93, "Milking Stage", V568&gt;=86, "Flowering", V568&gt;=56, "Panicle Initiation/Booting", V568&lt;56, "Vegetative/Tillering")</f>
        <v>Vegetative/Tillering</v>
      </c>
    </row>
    <row r="569" ht="15.75" hidden="1" customHeight="1">
      <c r="A569" s="3">
        <v>568.0</v>
      </c>
      <c r="B569" s="3" t="s">
        <v>23</v>
      </c>
      <c r="C569" s="3" t="s">
        <v>68</v>
      </c>
      <c r="D569" s="3" t="s">
        <v>289</v>
      </c>
      <c r="E569" s="3" t="s">
        <v>290</v>
      </c>
      <c r="F569" s="3">
        <v>1760035.0</v>
      </c>
      <c r="G569" s="4">
        <v>46030.0</v>
      </c>
      <c r="H569" s="4">
        <v>46132.0</v>
      </c>
      <c r="I569" s="3" t="s">
        <v>291</v>
      </c>
      <c r="J569" s="3" t="s">
        <v>437</v>
      </c>
      <c r="K569" s="3" t="s">
        <v>293</v>
      </c>
      <c r="L569" s="3">
        <v>0.1145</v>
      </c>
      <c r="M569" s="3">
        <v>2862.5</v>
      </c>
      <c r="N569" s="3">
        <v>2.0</v>
      </c>
      <c r="O569" s="3">
        <v>228529.0</v>
      </c>
      <c r="P569" s="3" t="s">
        <v>1762</v>
      </c>
      <c r="Q569" s="3">
        <v>1280380.0</v>
      </c>
      <c r="R569" s="3"/>
      <c r="S569" s="3">
        <v>2003.75</v>
      </c>
      <c r="T569" s="3" t="s">
        <v>31</v>
      </c>
      <c r="U569" s="3">
        <v>2003.75</v>
      </c>
      <c r="V569" s="5">
        <f>(DATE(2026,2,3)-'RICE_Insured Farms_with PPI Pol'!$G569)+IF('RICE_Insured Farms_with PPI Pol'!$H569&lt;&gt;'RICE_Insured Farms_with PPI Pol'!$G569,18,0)</f>
        <v>44</v>
      </c>
      <c r="W569" s="3" t="str">
        <f t="array" ref="W569">IFS(V569&gt;120, "Harvested", V569&gt;=113, "Yellow Ripening", V569&gt;=101, "Dough Stage", V569&gt;=93, "Milking Stage", V569&gt;=86, "Flowering", V569&gt;=56, "Panicle Initiation/Booting", V569&lt;56, "Vegetative/Tillering")</f>
        <v>Vegetative/Tillering</v>
      </c>
    </row>
    <row r="570" ht="15.75" customHeight="1">
      <c r="A570" s="3">
        <v>569.0</v>
      </c>
      <c r="B570" s="3" t="s">
        <v>23</v>
      </c>
      <c r="C570" s="3" t="s">
        <v>68</v>
      </c>
      <c r="D570" s="3" t="s">
        <v>289</v>
      </c>
      <c r="E570" s="3" t="s">
        <v>290</v>
      </c>
      <c r="F570" s="3">
        <v>1760035.0</v>
      </c>
      <c r="G570" s="4">
        <v>46021.0</v>
      </c>
      <c r="H570" s="4">
        <v>46123.0</v>
      </c>
      <c r="I570" s="3" t="s">
        <v>291</v>
      </c>
      <c r="J570" s="3" t="s">
        <v>614</v>
      </c>
      <c r="K570" s="3" t="s">
        <v>1763</v>
      </c>
      <c r="L570" s="3">
        <v>0.4104</v>
      </c>
      <c r="M570" s="3">
        <v>10260.0</v>
      </c>
      <c r="N570" s="3">
        <v>3.0</v>
      </c>
      <c r="O570" s="3">
        <v>293944.0</v>
      </c>
      <c r="P570" s="3" t="s">
        <v>1764</v>
      </c>
      <c r="Q570" s="3">
        <v>1283781.0</v>
      </c>
      <c r="R570" s="3"/>
      <c r="S570" s="3">
        <v>8208.0</v>
      </c>
      <c r="T570" s="3" t="s">
        <v>37</v>
      </c>
      <c r="U570" s="3">
        <v>8208.0</v>
      </c>
      <c r="V570" s="5">
        <f>(DATE(2026,2,3)-'RICE_Insured Farms_with PPI Pol'!$G570)+IF('RICE_Insured Farms_with PPI Pol'!$H570&lt;&gt;'RICE_Insured Farms_with PPI Pol'!$G570,18,0)</f>
        <v>53</v>
      </c>
      <c r="W570" s="3" t="str">
        <f t="array" ref="W570">IFS(V570&gt;120, "Harvested", V570&gt;=113, "Yellow Ripening", V570&gt;=101, "Dough Stage", V570&gt;=93, "Milking Stage", V570&gt;=86, "Flowering", V570&gt;=56, "Panicle Initiation/Booting", V570&lt;56, "Vegetative/Tillering")</f>
        <v>Vegetative/Tillering</v>
      </c>
    </row>
    <row r="571" ht="15.75" customHeight="1">
      <c r="A571" s="3">
        <v>570.0</v>
      </c>
      <c r="B571" s="3" t="s">
        <v>23</v>
      </c>
      <c r="C571" s="3" t="s">
        <v>68</v>
      </c>
      <c r="D571" s="3" t="s">
        <v>289</v>
      </c>
      <c r="E571" s="3" t="s">
        <v>290</v>
      </c>
      <c r="F571" s="3">
        <v>1760032.0</v>
      </c>
      <c r="G571" s="4">
        <v>46031.0</v>
      </c>
      <c r="H571" s="4">
        <v>46123.0</v>
      </c>
      <c r="I571" s="3" t="s">
        <v>291</v>
      </c>
      <c r="J571" s="3" t="s">
        <v>1765</v>
      </c>
      <c r="K571" s="3" t="s">
        <v>1766</v>
      </c>
      <c r="L571" s="3">
        <v>0.2744</v>
      </c>
      <c r="M571" s="3">
        <v>6860.0</v>
      </c>
      <c r="N571" s="3">
        <v>3.0</v>
      </c>
      <c r="O571" s="3">
        <v>152769.0</v>
      </c>
      <c r="P571" s="3" t="s">
        <v>1767</v>
      </c>
      <c r="Q571" s="3">
        <v>1134929.0</v>
      </c>
      <c r="R571" s="3"/>
      <c r="S571" s="3">
        <v>5488.0</v>
      </c>
      <c r="T571" s="3" t="s">
        <v>37</v>
      </c>
      <c r="U571" s="3">
        <v>5488.0</v>
      </c>
      <c r="V571" s="5">
        <f>(DATE(2026,2,3)-'RICE_Insured Farms_with PPI Pol'!$G571)+IF('RICE_Insured Farms_with PPI Pol'!$H571&lt;&gt;'RICE_Insured Farms_with PPI Pol'!$G571,18,0)</f>
        <v>43</v>
      </c>
      <c r="W571" s="3" t="str">
        <f t="array" ref="W571">IFS(V571&gt;120, "Harvested", V571&gt;=113, "Yellow Ripening", V571&gt;=101, "Dough Stage", V571&gt;=93, "Milking Stage", V571&gt;=86, "Flowering", V571&gt;=56, "Panicle Initiation/Booting", V571&lt;56, "Vegetative/Tillering")</f>
        <v>Vegetative/Tillering</v>
      </c>
    </row>
    <row r="572" ht="15.75" hidden="1" customHeight="1">
      <c r="A572" s="3">
        <v>571.0</v>
      </c>
      <c r="B572" s="3" t="s">
        <v>23</v>
      </c>
      <c r="C572" s="3" t="s">
        <v>121</v>
      </c>
      <c r="D572" s="3" t="s">
        <v>1368</v>
      </c>
      <c r="E572" s="3" t="s">
        <v>321</v>
      </c>
      <c r="F572" s="3">
        <v>1742654.0</v>
      </c>
      <c r="G572" s="4">
        <v>46025.0</v>
      </c>
      <c r="H572" s="4">
        <v>46145.0</v>
      </c>
      <c r="I572" s="3" t="s">
        <v>1768</v>
      </c>
      <c r="J572" s="3" t="s">
        <v>1769</v>
      </c>
      <c r="K572" s="3" t="s">
        <v>1770</v>
      </c>
      <c r="L572" s="3">
        <v>1.5</v>
      </c>
      <c r="M572" s="3">
        <v>37500.0</v>
      </c>
      <c r="N572" s="3">
        <v>2.0</v>
      </c>
      <c r="O572" s="3">
        <v>19108.0</v>
      </c>
      <c r="P572" s="3"/>
      <c r="Q572" s="3">
        <v>1138651.0</v>
      </c>
      <c r="R572" s="3"/>
      <c r="S572" s="3">
        <v>26250.0</v>
      </c>
      <c r="T572" s="3" t="s">
        <v>31</v>
      </c>
      <c r="U572" s="3">
        <v>26250.0</v>
      </c>
      <c r="V572" s="5">
        <f>(DATE(2026,2,3)-'RICE_Insured Farms_with PPI Pol'!$G572)+IF('RICE_Insured Farms_with PPI Pol'!$H572&lt;&gt;'RICE_Insured Farms_with PPI Pol'!$G572,18,0)</f>
        <v>49</v>
      </c>
      <c r="W572" s="3" t="str">
        <f t="array" ref="W572">IFS(V572&gt;120, "Harvested", V572&gt;=113, "Yellow Ripening", V572&gt;=101, "Dough Stage", V572&gt;=93, "Milking Stage", V572&gt;=86, "Flowering", V572&gt;=56, "Panicle Initiation/Booting", V572&lt;56, "Vegetative/Tillering")</f>
        <v>Vegetative/Tillering</v>
      </c>
    </row>
    <row r="573" ht="15.75" hidden="1" customHeight="1">
      <c r="A573" s="3">
        <v>572.0</v>
      </c>
      <c r="B573" s="3" t="s">
        <v>23</v>
      </c>
      <c r="C573" s="3" t="s">
        <v>121</v>
      </c>
      <c r="D573" s="3" t="s">
        <v>1368</v>
      </c>
      <c r="E573" s="3" t="s">
        <v>1771</v>
      </c>
      <c r="F573" s="3">
        <v>1742651.0</v>
      </c>
      <c r="G573" s="4">
        <v>46021.0</v>
      </c>
      <c r="H573" s="4">
        <v>46131.0</v>
      </c>
      <c r="I573" s="3" t="s">
        <v>1772</v>
      </c>
      <c r="J573" s="3" t="s">
        <v>1773</v>
      </c>
      <c r="K573" s="3" t="s">
        <v>1774</v>
      </c>
      <c r="L573" s="3">
        <v>0.9605</v>
      </c>
      <c r="M573" s="3">
        <v>24012.5</v>
      </c>
      <c r="N573" s="3">
        <v>2.0</v>
      </c>
      <c r="O573" s="3">
        <v>322241.0</v>
      </c>
      <c r="P573" s="3" t="s">
        <v>1775</v>
      </c>
      <c r="Q573" s="3">
        <v>1138817.0</v>
      </c>
      <c r="R573" s="3"/>
      <c r="S573" s="3">
        <v>16808.75</v>
      </c>
      <c r="T573" s="3" t="s">
        <v>31</v>
      </c>
      <c r="U573" s="3">
        <v>16808.75</v>
      </c>
      <c r="V573" s="5">
        <f>(DATE(2026,2,3)-'RICE_Insured Farms_with PPI Pol'!$G573)+IF('RICE_Insured Farms_with PPI Pol'!$H573&lt;&gt;'RICE_Insured Farms_with PPI Pol'!$G573,18,0)</f>
        <v>53</v>
      </c>
      <c r="W573" s="3" t="str">
        <f t="array" ref="W573">IFS(V573&gt;120, "Harvested", V573&gt;=113, "Yellow Ripening", V573&gt;=101, "Dough Stage", V573&gt;=93, "Milking Stage", V573&gt;=86, "Flowering", V573&gt;=56, "Panicle Initiation/Booting", V573&lt;56, "Vegetative/Tillering")</f>
        <v>Vegetative/Tillering</v>
      </c>
    </row>
    <row r="574" ht="15.75" customHeight="1">
      <c r="A574" s="3">
        <v>573.0</v>
      </c>
      <c r="B574" s="3" t="s">
        <v>23</v>
      </c>
      <c r="C574" s="3" t="s">
        <v>121</v>
      </c>
      <c r="D574" s="3" t="s">
        <v>1368</v>
      </c>
      <c r="E574" s="3" t="s">
        <v>1771</v>
      </c>
      <c r="F574" s="3">
        <v>1742651.0</v>
      </c>
      <c r="G574" s="4">
        <v>46024.0</v>
      </c>
      <c r="H574" s="4">
        <v>46119.0</v>
      </c>
      <c r="I574" s="3" t="s">
        <v>1772</v>
      </c>
      <c r="J574" s="3" t="s">
        <v>1773</v>
      </c>
      <c r="K574" s="3" t="s">
        <v>1774</v>
      </c>
      <c r="L574" s="3">
        <v>1.1137</v>
      </c>
      <c r="M574" s="3">
        <v>27842.5</v>
      </c>
      <c r="N574" s="3">
        <v>3.0</v>
      </c>
      <c r="O574" s="3">
        <v>322241.0</v>
      </c>
      <c r="P574" s="3" t="s">
        <v>1775</v>
      </c>
      <c r="Q574" s="3">
        <v>1138818.0</v>
      </c>
      <c r="R574" s="3"/>
      <c r="S574" s="3">
        <v>22274.0</v>
      </c>
      <c r="T574" s="3" t="s">
        <v>37</v>
      </c>
      <c r="U574" s="3">
        <v>22274.0</v>
      </c>
      <c r="V574" s="5">
        <f>(DATE(2026,2,3)-'RICE_Insured Farms_with PPI Pol'!$G574)+IF('RICE_Insured Farms_with PPI Pol'!$H574&lt;&gt;'RICE_Insured Farms_with PPI Pol'!$G574,18,0)</f>
        <v>50</v>
      </c>
      <c r="W574" s="3" t="str">
        <f t="array" ref="W574">IFS(V574&gt;120, "Harvested", V574&gt;=113, "Yellow Ripening", V574&gt;=101, "Dough Stage", V574&gt;=93, "Milking Stage", V574&gt;=86, "Flowering", V574&gt;=56, "Panicle Initiation/Booting", V574&lt;56, "Vegetative/Tillering")</f>
        <v>Vegetative/Tillering</v>
      </c>
    </row>
    <row r="575" ht="15.75" customHeight="1">
      <c r="A575" s="3">
        <v>574.0</v>
      </c>
      <c r="B575" s="3" t="s">
        <v>1776</v>
      </c>
      <c r="C575" s="3" t="s">
        <v>24</v>
      </c>
      <c r="D575" s="3" t="s">
        <v>25</v>
      </c>
      <c r="E575" s="3" t="s">
        <v>1374</v>
      </c>
      <c r="F575" s="3">
        <v>1760471.0</v>
      </c>
      <c r="G575" s="4">
        <v>46017.0</v>
      </c>
      <c r="H575" s="4">
        <v>46112.0</v>
      </c>
      <c r="I575" s="3" t="s">
        <v>1777</v>
      </c>
      <c r="J575" s="3" t="s">
        <v>259</v>
      </c>
      <c r="K575" s="3" t="s">
        <v>147</v>
      </c>
      <c r="L575" s="3">
        <v>0.676</v>
      </c>
      <c r="M575" s="3">
        <v>13520.0</v>
      </c>
      <c r="N575" s="3">
        <v>3.0</v>
      </c>
      <c r="O575" s="3">
        <v>155246.0</v>
      </c>
      <c r="P575" s="3" t="s">
        <v>1778</v>
      </c>
      <c r="Q575" s="3">
        <v>1276259.0</v>
      </c>
      <c r="R575" s="3"/>
      <c r="S575" s="3">
        <v>10816.0</v>
      </c>
      <c r="T575" s="3" t="s">
        <v>37</v>
      </c>
      <c r="U575" s="3">
        <v>10816.0</v>
      </c>
      <c r="V575" s="5">
        <f>(DATE(2026,2,3)-'RICE_Insured Farms_with PPI Pol'!$G575)+IF('RICE_Insured Farms_with PPI Pol'!$H575&lt;&gt;'RICE_Insured Farms_with PPI Pol'!$G575,18,0)</f>
        <v>57</v>
      </c>
      <c r="W575" s="3" t="str">
        <f t="array" ref="W575">IFS(V575&gt;120, "Harvested", V575&gt;=113, "Yellow Ripening", V575&gt;=101, "Dough Stage", V575&gt;=93, "Milking Stage", V575&gt;=86, "Flowering", V575&gt;=56, "Panicle Initiation/Booting", V575&lt;56, "Vegetative/Tillering")</f>
        <v>Panicle Initiation/Booting</v>
      </c>
    </row>
    <row r="576" ht="15.75" customHeight="1">
      <c r="A576" s="3">
        <v>575.0</v>
      </c>
      <c r="B576" s="3" t="s">
        <v>1776</v>
      </c>
      <c r="C576" s="3" t="s">
        <v>24</v>
      </c>
      <c r="D576" s="3" t="s">
        <v>25</v>
      </c>
      <c r="E576" s="3" t="s">
        <v>1374</v>
      </c>
      <c r="F576" s="3">
        <v>1760471.0</v>
      </c>
      <c r="G576" s="4">
        <v>46017.0</v>
      </c>
      <c r="H576" s="4">
        <v>46112.0</v>
      </c>
      <c r="I576" s="3" t="s">
        <v>1777</v>
      </c>
      <c r="J576" s="3" t="s">
        <v>259</v>
      </c>
      <c r="K576" s="3" t="s">
        <v>147</v>
      </c>
      <c r="L576" s="3">
        <v>0.2694</v>
      </c>
      <c r="M576" s="3">
        <v>5388.0</v>
      </c>
      <c r="N576" s="3">
        <v>3.0</v>
      </c>
      <c r="O576" s="3">
        <v>155246.0</v>
      </c>
      <c r="P576" s="3" t="s">
        <v>1778</v>
      </c>
      <c r="Q576" s="3">
        <v>1276260.0</v>
      </c>
      <c r="R576" s="3"/>
      <c r="S576" s="3">
        <v>4310.4</v>
      </c>
      <c r="T576" s="3" t="s">
        <v>37</v>
      </c>
      <c r="U576" s="3">
        <v>4310.4</v>
      </c>
      <c r="V576" s="5">
        <f>(DATE(2026,2,3)-'RICE_Insured Farms_with PPI Pol'!$G576)+IF('RICE_Insured Farms_with PPI Pol'!$H576&lt;&gt;'RICE_Insured Farms_with PPI Pol'!$G576,18,0)</f>
        <v>57</v>
      </c>
      <c r="W576" s="3" t="str">
        <f t="array" ref="W576">IFS(V576&gt;120, "Harvested", V576&gt;=113, "Yellow Ripening", V576&gt;=101, "Dough Stage", V576&gt;=93, "Milking Stage", V576&gt;=86, "Flowering", V576&gt;=56, "Panicle Initiation/Booting", V576&lt;56, "Vegetative/Tillering")</f>
        <v>Panicle Initiation/Booting</v>
      </c>
    </row>
    <row r="577" ht="15.75" customHeight="1">
      <c r="A577" s="3">
        <v>576.0</v>
      </c>
      <c r="B577" s="3" t="s">
        <v>1776</v>
      </c>
      <c r="C577" s="3" t="s">
        <v>24</v>
      </c>
      <c r="D577" s="3" t="s">
        <v>25</v>
      </c>
      <c r="E577" s="3" t="s">
        <v>1374</v>
      </c>
      <c r="F577" s="3">
        <v>1760471.0</v>
      </c>
      <c r="G577" s="4">
        <v>46024.0</v>
      </c>
      <c r="H577" s="4">
        <v>46119.0</v>
      </c>
      <c r="I577" s="3" t="s">
        <v>1777</v>
      </c>
      <c r="J577" s="3" t="s">
        <v>1779</v>
      </c>
      <c r="K577" s="3" t="s">
        <v>276</v>
      </c>
      <c r="L577" s="3">
        <v>0.4634</v>
      </c>
      <c r="M577" s="3">
        <v>9268.0</v>
      </c>
      <c r="N577" s="3">
        <v>3.0</v>
      </c>
      <c r="O577" s="3">
        <v>449623.0</v>
      </c>
      <c r="P577" s="3" t="s">
        <v>1780</v>
      </c>
      <c r="Q577" s="3">
        <v>1133098.0</v>
      </c>
      <c r="R577" s="3"/>
      <c r="S577" s="3">
        <v>7414.4</v>
      </c>
      <c r="T577" s="3" t="s">
        <v>37</v>
      </c>
      <c r="U577" s="3">
        <v>7414.4</v>
      </c>
      <c r="V577" s="5">
        <f>(DATE(2026,2,3)-'RICE_Insured Farms_with PPI Pol'!$G577)+IF('RICE_Insured Farms_with PPI Pol'!$H577&lt;&gt;'RICE_Insured Farms_with PPI Pol'!$G577,18,0)</f>
        <v>50</v>
      </c>
      <c r="W577" s="3" t="str">
        <f t="array" ref="W577">IFS(V577&gt;120, "Harvested", V577&gt;=113, "Yellow Ripening", V577&gt;=101, "Dough Stage", V577&gt;=93, "Milking Stage", V577&gt;=86, "Flowering", V577&gt;=56, "Panicle Initiation/Booting", V577&lt;56, "Vegetative/Tillering")</f>
        <v>Vegetative/Tillering</v>
      </c>
    </row>
    <row r="578" ht="15.75" hidden="1" customHeight="1">
      <c r="A578" s="3">
        <v>745.0</v>
      </c>
      <c r="B578" s="3" t="s">
        <v>1776</v>
      </c>
      <c r="C578" s="3" t="s">
        <v>24</v>
      </c>
      <c r="D578" s="3" t="s">
        <v>25</v>
      </c>
      <c r="E578" s="3" t="s">
        <v>1374</v>
      </c>
      <c r="F578" s="3">
        <v>1760471.0</v>
      </c>
      <c r="G578" s="4">
        <v>46016.0</v>
      </c>
      <c r="H578" s="4">
        <v>46111.0</v>
      </c>
      <c r="I578" s="3" t="s">
        <v>1732</v>
      </c>
      <c r="J578" s="3" t="s">
        <v>1781</v>
      </c>
      <c r="K578" s="3" t="s">
        <v>1734</v>
      </c>
      <c r="L578" s="3">
        <v>2.0</v>
      </c>
      <c r="M578" s="3">
        <v>40000.0</v>
      </c>
      <c r="N578" s="3">
        <v>4.0</v>
      </c>
      <c r="O578" s="3">
        <v>510020.0</v>
      </c>
      <c r="P578" s="3" t="s">
        <v>1782</v>
      </c>
      <c r="Q578" s="3">
        <v>1277317.0</v>
      </c>
      <c r="R578" s="3"/>
      <c r="S578" s="3">
        <v>32000.0</v>
      </c>
      <c r="T578" s="3" t="s">
        <v>56</v>
      </c>
      <c r="U578" s="3">
        <v>32000.0</v>
      </c>
      <c r="V578" s="5">
        <f>(DATE(2026,2,3)-'RICE_Insured Farms_with PPI Pol'!$G578)+IF('RICE_Insured Farms_with PPI Pol'!$H578&lt;&gt;'RICE_Insured Farms_with PPI Pol'!$G578,18,0)</f>
        <v>58</v>
      </c>
      <c r="W578" s="3" t="str">
        <f t="array" ref="W578">IFS(V578&gt;120, "Harvested", V578&gt;=113, "Yellow Ripening", V578&gt;=101, "Dough Stage", V578&gt;=93, "Milking Stage", V578&gt;=86, "Flowering", V578&gt;=56, "Panicle Initiation/Booting", V578&lt;56, "Vegetative/Tillering")</f>
        <v>Panicle Initiation/Booting</v>
      </c>
    </row>
    <row r="579" ht="15.75" hidden="1" customHeight="1">
      <c r="A579" s="3">
        <v>761.0</v>
      </c>
      <c r="B579" s="3" t="s">
        <v>23</v>
      </c>
      <c r="C579" s="3" t="s">
        <v>24</v>
      </c>
      <c r="D579" s="3" t="s">
        <v>25</v>
      </c>
      <c r="E579" s="3" t="s">
        <v>1783</v>
      </c>
      <c r="F579" s="3">
        <v>1760487.0</v>
      </c>
      <c r="G579" s="4">
        <v>46003.0</v>
      </c>
      <c r="H579" s="4">
        <v>46101.0</v>
      </c>
      <c r="I579" s="3" t="s">
        <v>1784</v>
      </c>
      <c r="J579" s="3" t="s">
        <v>1785</v>
      </c>
      <c r="K579" s="3" t="s">
        <v>271</v>
      </c>
      <c r="L579" s="3">
        <v>1.1418</v>
      </c>
      <c r="M579" s="3">
        <v>28545.0</v>
      </c>
      <c r="N579" s="3">
        <v>5.0</v>
      </c>
      <c r="O579" s="3">
        <v>425376.0</v>
      </c>
      <c r="P579" s="3"/>
      <c r="Q579" s="3">
        <v>1228634.0</v>
      </c>
      <c r="R579" s="3"/>
      <c r="S579" s="3">
        <v>25690.5</v>
      </c>
      <c r="T579" s="3" t="s">
        <v>1002</v>
      </c>
      <c r="U579" s="3">
        <v>25690.5</v>
      </c>
      <c r="V579" s="5">
        <f>(DATE(2026,2,3)-'RICE_Insured Farms_with PPI Pol'!$G579)+IF('RICE_Insured Farms_with PPI Pol'!$H579&lt;&gt;'RICE_Insured Farms_with PPI Pol'!$G579,18,0)</f>
        <v>71</v>
      </c>
      <c r="W579" s="3" t="str">
        <f t="array" ref="W579">IFS(V579&gt;120, "Harvested", V579&gt;=113, "Yellow Ripening", V579&gt;=101, "Dough Stage", V579&gt;=93, "Milking Stage", V579&gt;=86, "Flowering", V579&gt;=56, "Panicle Initiation/Booting", V579&lt;56, "Vegetative/Tillering")</f>
        <v>Panicle Initiation/Booting</v>
      </c>
    </row>
    <row r="580" ht="15.75" hidden="1" customHeight="1">
      <c r="A580" s="3">
        <v>774.0</v>
      </c>
      <c r="B580" s="3" t="s">
        <v>23</v>
      </c>
      <c r="C580" s="3" t="s">
        <v>24</v>
      </c>
      <c r="D580" s="3" t="s">
        <v>25</v>
      </c>
      <c r="E580" s="3" t="s">
        <v>1164</v>
      </c>
      <c r="F580" s="3">
        <v>1761008.0</v>
      </c>
      <c r="G580" s="4">
        <v>46015.0</v>
      </c>
      <c r="H580" s="4">
        <v>46106.0</v>
      </c>
      <c r="I580" s="3" t="s">
        <v>1786</v>
      </c>
      <c r="J580" s="3" t="s">
        <v>1787</v>
      </c>
      <c r="K580" s="3" t="s">
        <v>1788</v>
      </c>
      <c r="L580" s="3">
        <v>0.2437</v>
      </c>
      <c r="M580" s="3">
        <v>6092.5</v>
      </c>
      <c r="N580" s="3">
        <v>4.0</v>
      </c>
      <c r="O580" s="3">
        <v>418994.0</v>
      </c>
      <c r="P580" s="3" t="s">
        <v>1789</v>
      </c>
      <c r="Q580" s="3">
        <v>1330899.0</v>
      </c>
      <c r="R580" s="3"/>
      <c r="S580" s="3">
        <v>4874.0</v>
      </c>
      <c r="T580" s="3" t="s">
        <v>56</v>
      </c>
      <c r="U580" s="3">
        <v>4874.0</v>
      </c>
      <c r="V580" s="5">
        <f>(DATE(2026,2,3)-'RICE_Insured Farms_with PPI Pol'!$G580)+IF('RICE_Insured Farms_with PPI Pol'!$H580&lt;&gt;'RICE_Insured Farms_with PPI Pol'!$G580,18,0)</f>
        <v>59</v>
      </c>
      <c r="W580" s="3" t="str">
        <f t="array" ref="W580">IFS(V580&gt;120, "Harvested", V580&gt;=113, "Yellow Ripening", V580&gt;=101, "Dough Stage", V580&gt;=93, "Milking Stage", V580&gt;=86, "Flowering", V580&gt;=56, "Panicle Initiation/Booting", V580&lt;56, "Vegetative/Tillering")</f>
        <v>Panicle Initiation/Booting</v>
      </c>
    </row>
    <row r="581" ht="15.75" customHeight="1">
      <c r="A581" s="3">
        <v>580.0</v>
      </c>
      <c r="B581" s="3" t="s">
        <v>23</v>
      </c>
      <c r="C581" s="3" t="s">
        <v>68</v>
      </c>
      <c r="D581" s="3" t="s">
        <v>122</v>
      </c>
      <c r="E581" s="3" t="s">
        <v>321</v>
      </c>
      <c r="F581" s="3">
        <v>1196930.0</v>
      </c>
      <c r="G581" s="4">
        <v>46014.0</v>
      </c>
      <c r="H581" s="4">
        <v>46116.0</v>
      </c>
      <c r="I581" s="3" t="s">
        <v>1790</v>
      </c>
      <c r="J581" s="3" t="s">
        <v>1791</v>
      </c>
      <c r="K581" s="3" t="s">
        <v>1792</v>
      </c>
      <c r="L581" s="3">
        <v>0.3655</v>
      </c>
      <c r="M581" s="3">
        <v>9137.5</v>
      </c>
      <c r="N581" s="3">
        <v>3.0</v>
      </c>
      <c r="O581" s="3">
        <v>225471.0</v>
      </c>
      <c r="P581" s="3"/>
      <c r="Q581" s="3">
        <v>1186514.0</v>
      </c>
      <c r="R581" s="3"/>
      <c r="S581" s="3">
        <v>7310.0</v>
      </c>
      <c r="T581" s="3" t="s">
        <v>37</v>
      </c>
      <c r="U581" s="3">
        <v>7310.0</v>
      </c>
      <c r="V581" s="5">
        <f>(DATE(2026,2,3)-'RICE_Insured Farms_with PPI Pol'!$G581)+IF('RICE_Insured Farms_with PPI Pol'!$H581&lt;&gt;'RICE_Insured Farms_with PPI Pol'!$G581,18,0)</f>
        <v>60</v>
      </c>
      <c r="W581" s="3" t="str">
        <f t="array" ref="W581">IFS(V581&gt;120, "Harvested", V581&gt;=113, "Yellow Ripening", V581&gt;=101, "Dough Stage", V581&gt;=93, "Milking Stage", V581&gt;=86, "Flowering", V581&gt;=56, "Panicle Initiation/Booting", V581&lt;56, "Vegetative/Tillering")</f>
        <v>Panicle Initiation/Booting</v>
      </c>
    </row>
    <row r="582" ht="15.75" customHeight="1">
      <c r="A582" s="3">
        <v>581.0</v>
      </c>
      <c r="B582" s="3" t="s">
        <v>23</v>
      </c>
      <c r="C582" s="3" t="s">
        <v>68</v>
      </c>
      <c r="D582" s="3" t="s">
        <v>69</v>
      </c>
      <c r="E582" s="3" t="s">
        <v>131</v>
      </c>
      <c r="F582" s="3">
        <v>1739643.0</v>
      </c>
      <c r="G582" s="4">
        <v>46021.0</v>
      </c>
      <c r="H582" s="4">
        <v>46123.0</v>
      </c>
      <c r="I582" s="3" t="s">
        <v>337</v>
      </c>
      <c r="J582" s="3" t="s">
        <v>933</v>
      </c>
      <c r="K582" s="3" t="s">
        <v>1793</v>
      </c>
      <c r="L582" s="3">
        <v>1.4352</v>
      </c>
      <c r="M582" s="3">
        <v>35880.0</v>
      </c>
      <c r="N582" s="3">
        <v>3.0</v>
      </c>
      <c r="O582" s="3">
        <v>187636.0</v>
      </c>
      <c r="P582" s="3" t="s">
        <v>1794</v>
      </c>
      <c r="Q582" s="3">
        <v>1138141.0</v>
      </c>
      <c r="R582" s="3"/>
      <c r="S582" s="3">
        <v>28704.0</v>
      </c>
      <c r="T582" s="3" t="s">
        <v>37</v>
      </c>
      <c r="U582" s="3">
        <v>28704.0</v>
      </c>
      <c r="V582" s="5">
        <f>(DATE(2026,2,3)-'RICE_Insured Farms_with PPI Pol'!$G582)+IF('RICE_Insured Farms_with PPI Pol'!$H582&lt;&gt;'RICE_Insured Farms_with PPI Pol'!$G582,18,0)</f>
        <v>53</v>
      </c>
      <c r="W582" s="3" t="str">
        <f t="array" ref="W582">IFS(V582&gt;120, "Harvested", V582&gt;=113, "Yellow Ripening", V582&gt;=101, "Dough Stage", V582&gt;=93, "Milking Stage", V582&gt;=86, "Flowering", V582&gt;=56, "Panicle Initiation/Booting", V582&lt;56, "Vegetative/Tillering")</f>
        <v>Vegetative/Tillering</v>
      </c>
    </row>
    <row r="583" ht="15.75" customHeight="1">
      <c r="A583" s="3">
        <v>582.0</v>
      </c>
      <c r="B583" s="3" t="s">
        <v>23</v>
      </c>
      <c r="C583" s="3" t="s">
        <v>68</v>
      </c>
      <c r="D583" s="3" t="s">
        <v>69</v>
      </c>
      <c r="E583" s="3" t="s">
        <v>131</v>
      </c>
      <c r="F583" s="3">
        <v>1739643.0</v>
      </c>
      <c r="G583" s="4">
        <v>46022.0</v>
      </c>
      <c r="H583" s="4">
        <v>46124.0</v>
      </c>
      <c r="I583" s="3" t="s">
        <v>337</v>
      </c>
      <c r="J583" s="3" t="s">
        <v>933</v>
      </c>
      <c r="K583" s="3" t="s">
        <v>1793</v>
      </c>
      <c r="L583" s="3">
        <v>0.2974</v>
      </c>
      <c r="M583" s="3">
        <v>7435.0</v>
      </c>
      <c r="N583" s="3">
        <v>3.0</v>
      </c>
      <c r="O583" s="3">
        <v>187636.0</v>
      </c>
      <c r="P583" s="3" t="s">
        <v>1794</v>
      </c>
      <c r="Q583" s="3">
        <v>1138142.0</v>
      </c>
      <c r="R583" s="3"/>
      <c r="S583" s="3">
        <v>5948.0</v>
      </c>
      <c r="T583" s="3" t="s">
        <v>37</v>
      </c>
      <c r="U583" s="3">
        <v>5948.0</v>
      </c>
      <c r="V583" s="5">
        <f>(DATE(2026,2,3)-'RICE_Insured Farms_with PPI Pol'!$G583)+IF('RICE_Insured Farms_with PPI Pol'!$H583&lt;&gt;'RICE_Insured Farms_with PPI Pol'!$G583,18,0)</f>
        <v>52</v>
      </c>
      <c r="W583" s="3" t="str">
        <f t="array" ref="W583">IFS(V583&gt;120, "Harvested", V583&gt;=113, "Yellow Ripening", V583&gt;=101, "Dough Stage", V583&gt;=93, "Milking Stage", V583&gt;=86, "Flowering", V583&gt;=56, "Panicle Initiation/Booting", V583&lt;56, "Vegetative/Tillering")</f>
        <v>Vegetative/Tillering</v>
      </c>
    </row>
    <row r="584" ht="15.75" hidden="1" customHeight="1">
      <c r="A584" s="3">
        <v>583.0</v>
      </c>
      <c r="B584" s="3" t="s">
        <v>23</v>
      </c>
      <c r="C584" s="3" t="s">
        <v>68</v>
      </c>
      <c r="D584" s="3" t="s">
        <v>289</v>
      </c>
      <c r="E584" s="3" t="s">
        <v>774</v>
      </c>
      <c r="F584" s="3">
        <v>1760036.0</v>
      </c>
      <c r="G584" s="4">
        <v>46032.0</v>
      </c>
      <c r="H584" s="4">
        <v>46134.0</v>
      </c>
      <c r="I584" s="3" t="s">
        <v>775</v>
      </c>
      <c r="J584" s="3" t="s">
        <v>1795</v>
      </c>
      <c r="K584" s="3" t="s">
        <v>1796</v>
      </c>
      <c r="L584" s="3">
        <v>0.4678</v>
      </c>
      <c r="M584" s="3">
        <v>11695.0</v>
      </c>
      <c r="N584" s="3">
        <v>2.0</v>
      </c>
      <c r="O584" s="3">
        <v>299022.0</v>
      </c>
      <c r="P584" s="3"/>
      <c r="Q584" s="3">
        <v>1323020.0</v>
      </c>
      <c r="R584" s="3"/>
      <c r="S584" s="3">
        <v>8186.5</v>
      </c>
      <c r="T584" s="3" t="s">
        <v>31</v>
      </c>
      <c r="U584" s="3">
        <v>8186.5</v>
      </c>
      <c r="V584" s="5">
        <f>(DATE(2026,2,3)-'RICE_Insured Farms_with PPI Pol'!$G584)+IF('RICE_Insured Farms_with PPI Pol'!$H584&lt;&gt;'RICE_Insured Farms_with PPI Pol'!$G584,18,0)</f>
        <v>42</v>
      </c>
      <c r="W584" s="3" t="str">
        <f t="array" ref="W584">IFS(V584&gt;120, "Harvested", V584&gt;=113, "Yellow Ripening", V584&gt;=101, "Dough Stage", V584&gt;=93, "Milking Stage", V584&gt;=86, "Flowering", V584&gt;=56, "Panicle Initiation/Booting", V584&lt;56, "Vegetative/Tillering")</f>
        <v>Vegetative/Tillering</v>
      </c>
    </row>
    <row r="585" ht="15.75" hidden="1" customHeight="1">
      <c r="A585" s="3">
        <v>584.0</v>
      </c>
      <c r="B585" s="3" t="s">
        <v>23</v>
      </c>
      <c r="C585" s="3" t="s">
        <v>121</v>
      </c>
      <c r="D585" s="3" t="s">
        <v>1492</v>
      </c>
      <c r="E585" s="3" t="s">
        <v>1493</v>
      </c>
      <c r="F585" s="3">
        <v>1740661.0</v>
      </c>
      <c r="G585" s="4">
        <v>46031.0</v>
      </c>
      <c r="H585" s="4">
        <v>46151.0</v>
      </c>
      <c r="I585" s="3" t="s">
        <v>1562</v>
      </c>
      <c r="J585" s="3" t="s">
        <v>1797</v>
      </c>
      <c r="K585" s="3" t="s">
        <v>1798</v>
      </c>
      <c r="L585" s="3">
        <v>1.9881</v>
      </c>
      <c r="M585" s="3">
        <v>49702.5</v>
      </c>
      <c r="N585" s="3">
        <v>1.0</v>
      </c>
      <c r="O585" s="3">
        <v>22280.0</v>
      </c>
      <c r="P585" s="3" t="s">
        <v>1799</v>
      </c>
      <c r="Q585" s="3">
        <v>1136731.0</v>
      </c>
      <c r="R585" s="3"/>
      <c r="S585" s="3">
        <v>29821.5</v>
      </c>
      <c r="T585" s="3" t="s">
        <v>62</v>
      </c>
      <c r="U585" s="3">
        <v>29821.5</v>
      </c>
      <c r="V585" s="5">
        <f>(DATE(2026,2,3)-'RICE_Insured Farms_with PPI Pol'!$G585)+IF('RICE_Insured Farms_with PPI Pol'!$H585&lt;&gt;'RICE_Insured Farms_with PPI Pol'!$G585,18,0)</f>
        <v>43</v>
      </c>
      <c r="W585" s="3" t="str">
        <f t="array" ref="W585">IFS(V585&gt;120, "Harvested", V585&gt;=113, "Yellow Ripening", V585&gt;=101, "Dough Stage", V585&gt;=93, "Milking Stage", V585&gt;=86, "Flowering", V585&gt;=56, "Panicle Initiation/Booting", V585&lt;56, "Vegetative/Tillering")</f>
        <v>Vegetative/Tillering</v>
      </c>
    </row>
    <row r="586" ht="15.75" hidden="1" customHeight="1">
      <c r="A586" s="3">
        <v>585.0</v>
      </c>
      <c r="B586" s="3" t="s">
        <v>23</v>
      </c>
      <c r="C586" s="3" t="s">
        <v>68</v>
      </c>
      <c r="D586" s="3" t="s">
        <v>289</v>
      </c>
      <c r="E586" s="3" t="s">
        <v>743</v>
      </c>
      <c r="F586" s="3">
        <v>1760030.0</v>
      </c>
      <c r="G586" s="4">
        <v>46026.0</v>
      </c>
      <c r="H586" s="4">
        <v>46128.0</v>
      </c>
      <c r="I586" s="3" t="s">
        <v>1800</v>
      </c>
      <c r="J586" s="3" t="s">
        <v>1801</v>
      </c>
      <c r="K586" s="3" t="s">
        <v>1802</v>
      </c>
      <c r="L586" s="3">
        <v>0.3238</v>
      </c>
      <c r="M586" s="3">
        <v>8095.0</v>
      </c>
      <c r="N586" s="3">
        <v>2.0</v>
      </c>
      <c r="O586" s="3">
        <v>31067.0</v>
      </c>
      <c r="P586" s="3" t="s">
        <v>1803</v>
      </c>
      <c r="Q586" s="3">
        <v>1191997.0</v>
      </c>
      <c r="R586" s="3"/>
      <c r="S586" s="3">
        <v>5666.5</v>
      </c>
      <c r="T586" s="3" t="s">
        <v>31</v>
      </c>
      <c r="U586" s="3">
        <v>5666.5</v>
      </c>
      <c r="V586" s="5">
        <f>(DATE(2026,2,3)-'RICE_Insured Farms_with PPI Pol'!$G586)+IF('RICE_Insured Farms_with PPI Pol'!$H586&lt;&gt;'RICE_Insured Farms_with PPI Pol'!$G586,18,0)</f>
        <v>48</v>
      </c>
      <c r="W586" s="3" t="str">
        <f t="array" ref="W586">IFS(V586&gt;120, "Harvested", V586&gt;=113, "Yellow Ripening", V586&gt;=101, "Dough Stage", V586&gt;=93, "Milking Stage", V586&gt;=86, "Flowering", V586&gt;=56, "Panicle Initiation/Booting", V586&lt;56, "Vegetative/Tillering")</f>
        <v>Vegetative/Tillering</v>
      </c>
    </row>
    <row r="587" ht="15.75" hidden="1" customHeight="1">
      <c r="A587" s="3">
        <v>586.0</v>
      </c>
      <c r="B587" s="3" t="s">
        <v>23</v>
      </c>
      <c r="C587" s="3" t="s">
        <v>68</v>
      </c>
      <c r="D587" s="3" t="s">
        <v>289</v>
      </c>
      <c r="E587" s="3" t="s">
        <v>743</v>
      </c>
      <c r="F587" s="3">
        <v>1760030.0</v>
      </c>
      <c r="G587" s="4">
        <v>46026.0</v>
      </c>
      <c r="H587" s="4">
        <v>46128.0</v>
      </c>
      <c r="I587" s="3" t="s">
        <v>1800</v>
      </c>
      <c r="J587" s="3" t="s">
        <v>1801</v>
      </c>
      <c r="K587" s="3" t="s">
        <v>1802</v>
      </c>
      <c r="L587" s="3">
        <v>0.3871</v>
      </c>
      <c r="M587" s="3">
        <v>9677.5</v>
      </c>
      <c r="N587" s="3">
        <v>2.0</v>
      </c>
      <c r="O587" s="3">
        <v>31067.0</v>
      </c>
      <c r="P587" s="3" t="s">
        <v>1803</v>
      </c>
      <c r="Q587" s="3">
        <v>1191999.0</v>
      </c>
      <c r="R587" s="3"/>
      <c r="S587" s="3">
        <v>6774.25</v>
      </c>
      <c r="T587" s="3" t="s">
        <v>31</v>
      </c>
      <c r="U587" s="3">
        <v>6774.25</v>
      </c>
      <c r="V587" s="5">
        <f>(DATE(2026,2,3)-'RICE_Insured Farms_with PPI Pol'!$G587)+IF('RICE_Insured Farms_with PPI Pol'!$H587&lt;&gt;'RICE_Insured Farms_with PPI Pol'!$G587,18,0)</f>
        <v>48</v>
      </c>
      <c r="W587" s="3" t="str">
        <f t="array" ref="W587">IFS(V587&gt;120, "Harvested", V587&gt;=113, "Yellow Ripening", V587&gt;=101, "Dough Stage", V587&gt;=93, "Milking Stage", V587&gt;=86, "Flowering", V587&gt;=56, "Panicle Initiation/Booting", V587&lt;56, "Vegetative/Tillering")</f>
        <v>Vegetative/Tillering</v>
      </c>
    </row>
    <row r="588" ht="15.75" hidden="1" customHeight="1">
      <c r="A588" s="3">
        <v>587.0</v>
      </c>
      <c r="B588" s="3" t="s">
        <v>23</v>
      </c>
      <c r="C588" s="3" t="s">
        <v>68</v>
      </c>
      <c r="D588" s="3" t="s">
        <v>289</v>
      </c>
      <c r="E588" s="3" t="s">
        <v>743</v>
      </c>
      <c r="F588" s="3">
        <v>1760026.0</v>
      </c>
      <c r="G588" s="4">
        <v>46051.0</v>
      </c>
      <c r="H588" s="4">
        <v>46153.0</v>
      </c>
      <c r="I588" s="3" t="s">
        <v>1327</v>
      </c>
      <c r="J588" s="3" t="s">
        <v>1804</v>
      </c>
      <c r="K588" s="3" t="s">
        <v>1394</v>
      </c>
      <c r="L588" s="3">
        <v>0.7496</v>
      </c>
      <c r="M588" s="3">
        <v>18740.0</v>
      </c>
      <c r="N588" s="3">
        <v>1.0</v>
      </c>
      <c r="O588" s="3">
        <v>163039.0</v>
      </c>
      <c r="P588" s="3" t="s">
        <v>1805</v>
      </c>
      <c r="Q588" s="3">
        <v>1041865.0</v>
      </c>
      <c r="R588" s="3"/>
      <c r="S588" s="3">
        <v>11244.0</v>
      </c>
      <c r="T588" s="3" t="s">
        <v>62</v>
      </c>
      <c r="U588" s="3">
        <v>11244.0</v>
      </c>
      <c r="V588" s="5">
        <f>(DATE(2026,2,3)-'RICE_Insured Farms_with PPI Pol'!$G588)+IF('RICE_Insured Farms_with PPI Pol'!$H588&lt;&gt;'RICE_Insured Farms_with PPI Pol'!$G588,18,0)</f>
        <v>23</v>
      </c>
      <c r="W588" s="3" t="str">
        <f t="array" ref="W588">IFS(V588&gt;120, "Harvested", V588&gt;=113, "Yellow Ripening", V588&gt;=101, "Dough Stage", V588&gt;=93, "Milking Stage", V588&gt;=86, "Flowering", V588&gt;=56, "Panicle Initiation/Booting", V588&lt;56, "Vegetative/Tillering")</f>
        <v>Vegetative/Tillering</v>
      </c>
    </row>
    <row r="589" ht="15.75" hidden="1" customHeight="1">
      <c r="A589" s="3">
        <v>588.0</v>
      </c>
      <c r="B589" s="3" t="s">
        <v>23</v>
      </c>
      <c r="C589" s="3" t="s">
        <v>24</v>
      </c>
      <c r="D589" s="3" t="s">
        <v>25</v>
      </c>
      <c r="E589" s="3" t="s">
        <v>1164</v>
      </c>
      <c r="F589" s="3">
        <v>1761008.0</v>
      </c>
      <c r="G589" s="4">
        <v>46028.0</v>
      </c>
      <c r="H589" s="4">
        <v>46138.0</v>
      </c>
      <c r="I589" s="3" t="s">
        <v>1806</v>
      </c>
      <c r="J589" s="3" t="s">
        <v>1807</v>
      </c>
      <c r="K589" s="3" t="s">
        <v>1808</v>
      </c>
      <c r="L589" s="3">
        <v>1.6956</v>
      </c>
      <c r="M589" s="3">
        <v>42390.0</v>
      </c>
      <c r="N589" s="3">
        <v>2.0</v>
      </c>
      <c r="O589" s="3">
        <v>370420.0</v>
      </c>
      <c r="P589" s="3" t="s">
        <v>1809</v>
      </c>
      <c r="Q589" s="3">
        <v>1330922.0</v>
      </c>
      <c r="R589" s="3"/>
      <c r="S589" s="3">
        <v>29673.0</v>
      </c>
      <c r="T589" s="3" t="s">
        <v>31</v>
      </c>
      <c r="U589" s="3">
        <v>29673.0</v>
      </c>
      <c r="V589" s="5">
        <f>(DATE(2026,2,3)-'RICE_Insured Farms_with PPI Pol'!$G589)+IF('RICE_Insured Farms_with PPI Pol'!$H589&lt;&gt;'RICE_Insured Farms_with PPI Pol'!$G589,18,0)</f>
        <v>46</v>
      </c>
      <c r="W589" s="3" t="str">
        <f t="array" ref="W589">IFS(V589&gt;120, "Harvested", V589&gt;=113, "Yellow Ripening", V589&gt;=101, "Dough Stage", V589&gt;=93, "Milking Stage", V589&gt;=86, "Flowering", V589&gt;=56, "Panicle Initiation/Booting", V589&lt;56, "Vegetative/Tillering")</f>
        <v>Vegetative/Tillering</v>
      </c>
    </row>
    <row r="590" ht="15.75" customHeight="1">
      <c r="A590" s="3">
        <v>589.0</v>
      </c>
      <c r="B590" s="3" t="s">
        <v>23</v>
      </c>
      <c r="C590" s="3" t="s">
        <v>68</v>
      </c>
      <c r="D590" s="3" t="s">
        <v>289</v>
      </c>
      <c r="E590" s="3" t="s">
        <v>1535</v>
      </c>
      <c r="F590" s="3">
        <v>1760009.0</v>
      </c>
      <c r="G590" s="4">
        <v>46018.0</v>
      </c>
      <c r="H590" s="4">
        <v>46120.0</v>
      </c>
      <c r="I590" s="3" t="s">
        <v>1810</v>
      </c>
      <c r="J590" s="3" t="s">
        <v>166</v>
      </c>
      <c r="K590" s="3" t="s">
        <v>1811</v>
      </c>
      <c r="L590" s="3">
        <v>0.2476</v>
      </c>
      <c r="M590" s="3">
        <v>6190.0</v>
      </c>
      <c r="N590" s="3">
        <v>3.0</v>
      </c>
      <c r="O590" s="3">
        <v>31322.0</v>
      </c>
      <c r="P590" s="3" t="s">
        <v>1812</v>
      </c>
      <c r="Q590" s="3">
        <v>967799.0</v>
      </c>
      <c r="R590" s="3"/>
      <c r="S590" s="3">
        <v>4952.0</v>
      </c>
      <c r="T590" s="3" t="s">
        <v>37</v>
      </c>
      <c r="U590" s="3">
        <v>4952.0</v>
      </c>
      <c r="V590" s="5">
        <f>(DATE(2026,2,3)-'RICE_Insured Farms_with PPI Pol'!$G590)+IF('RICE_Insured Farms_with PPI Pol'!$H590&lt;&gt;'RICE_Insured Farms_with PPI Pol'!$G590,18,0)</f>
        <v>56</v>
      </c>
      <c r="W590" s="3" t="str">
        <f t="array" ref="W590">IFS(V590&gt;120, "Harvested", V590&gt;=113, "Yellow Ripening", V590&gt;=101, "Dough Stage", V590&gt;=93, "Milking Stage", V590&gt;=86, "Flowering", V590&gt;=56, "Panicle Initiation/Booting", V590&lt;56, "Vegetative/Tillering")</f>
        <v>Panicle Initiation/Booting</v>
      </c>
    </row>
    <row r="591" ht="15.75" customHeight="1">
      <c r="A591" s="3">
        <v>590.0</v>
      </c>
      <c r="B591" s="3" t="s">
        <v>23</v>
      </c>
      <c r="C591" s="3" t="s">
        <v>68</v>
      </c>
      <c r="D591" s="3" t="s">
        <v>289</v>
      </c>
      <c r="E591" s="3" t="s">
        <v>1535</v>
      </c>
      <c r="F591" s="3">
        <v>1760008.0</v>
      </c>
      <c r="G591" s="4">
        <v>46017.0</v>
      </c>
      <c r="H591" s="4">
        <v>46119.0</v>
      </c>
      <c r="I591" s="3" t="s">
        <v>1810</v>
      </c>
      <c r="J591" s="3" t="s">
        <v>1813</v>
      </c>
      <c r="K591" s="3" t="s">
        <v>1814</v>
      </c>
      <c r="L591" s="3">
        <v>0.9484</v>
      </c>
      <c r="M591" s="3">
        <v>23710.0</v>
      </c>
      <c r="N591" s="3">
        <v>3.0</v>
      </c>
      <c r="O591" s="3">
        <v>522335.0</v>
      </c>
      <c r="P591" s="3"/>
      <c r="Q591" s="3">
        <v>1310767.0</v>
      </c>
      <c r="R591" s="3"/>
      <c r="S591" s="3">
        <v>18968.0</v>
      </c>
      <c r="T591" s="3" t="s">
        <v>37</v>
      </c>
      <c r="U591" s="3">
        <v>18968.0</v>
      </c>
      <c r="V591" s="5">
        <f>(DATE(2026,2,3)-'RICE_Insured Farms_with PPI Pol'!$G591)+IF('RICE_Insured Farms_with PPI Pol'!$H591&lt;&gt;'RICE_Insured Farms_with PPI Pol'!$G591,18,0)</f>
        <v>57</v>
      </c>
      <c r="W591" s="3" t="str">
        <f t="array" ref="W591">IFS(V591&gt;120, "Harvested", V591&gt;=113, "Yellow Ripening", V591&gt;=101, "Dough Stage", V591&gt;=93, "Milking Stage", V591&gt;=86, "Flowering", V591&gt;=56, "Panicle Initiation/Booting", V591&lt;56, "Vegetative/Tillering")</f>
        <v>Panicle Initiation/Booting</v>
      </c>
    </row>
    <row r="592" ht="15.75" hidden="1" customHeight="1">
      <c r="A592" s="3">
        <v>591.0</v>
      </c>
      <c r="B592" s="3" t="s">
        <v>23</v>
      </c>
      <c r="C592" s="3" t="s">
        <v>121</v>
      </c>
      <c r="D592" s="3" t="s">
        <v>1368</v>
      </c>
      <c r="E592" s="3" t="s">
        <v>1815</v>
      </c>
      <c r="F592" s="3">
        <v>1742653.0</v>
      </c>
      <c r="G592" s="4">
        <v>46022.0</v>
      </c>
      <c r="H592" s="4">
        <v>46142.0</v>
      </c>
      <c r="I592" s="3" t="s">
        <v>1816</v>
      </c>
      <c r="J592" s="3" t="s">
        <v>1817</v>
      </c>
      <c r="K592" s="3" t="s">
        <v>1818</v>
      </c>
      <c r="L592" s="3">
        <v>0.8659</v>
      </c>
      <c r="M592" s="3">
        <v>21647.5</v>
      </c>
      <c r="N592" s="3">
        <v>2.0</v>
      </c>
      <c r="O592" s="3">
        <v>6907.0</v>
      </c>
      <c r="P592" s="3" t="s">
        <v>1819</v>
      </c>
      <c r="Q592" s="3">
        <v>1159453.0</v>
      </c>
      <c r="R592" s="3"/>
      <c r="S592" s="3">
        <v>15153.25</v>
      </c>
      <c r="T592" s="3" t="s">
        <v>31</v>
      </c>
      <c r="U592" s="3">
        <v>15153.25</v>
      </c>
      <c r="V592" s="5">
        <f>(DATE(2026,2,3)-'RICE_Insured Farms_with PPI Pol'!$G592)+IF('RICE_Insured Farms_with PPI Pol'!$H592&lt;&gt;'RICE_Insured Farms_with PPI Pol'!$G592,18,0)</f>
        <v>52</v>
      </c>
      <c r="W592" s="3" t="str">
        <f t="array" ref="W592">IFS(V592&gt;120, "Harvested", V592&gt;=113, "Yellow Ripening", V592&gt;=101, "Dough Stage", V592&gt;=93, "Milking Stage", V592&gt;=86, "Flowering", V592&gt;=56, "Panicle Initiation/Booting", V592&lt;56, "Vegetative/Tillering")</f>
        <v>Vegetative/Tillering</v>
      </c>
    </row>
    <row r="593" ht="15.75" hidden="1" customHeight="1">
      <c r="A593" s="3">
        <v>592.0</v>
      </c>
      <c r="B593" s="3" t="s">
        <v>23</v>
      </c>
      <c r="C593" s="3" t="s">
        <v>68</v>
      </c>
      <c r="D593" s="3" t="s">
        <v>289</v>
      </c>
      <c r="E593" s="3" t="s">
        <v>743</v>
      </c>
      <c r="F593" s="3">
        <v>1760039.0</v>
      </c>
      <c r="G593" s="4">
        <v>46036.0</v>
      </c>
      <c r="H593" s="4">
        <v>46138.0</v>
      </c>
      <c r="I593" s="3" t="s">
        <v>1820</v>
      </c>
      <c r="J593" s="3" t="s">
        <v>1821</v>
      </c>
      <c r="K593" s="3" t="s">
        <v>1822</v>
      </c>
      <c r="L593" s="3">
        <v>1.1813</v>
      </c>
      <c r="M593" s="3">
        <v>29532.5</v>
      </c>
      <c r="N593" s="3">
        <v>2.0</v>
      </c>
      <c r="O593" s="3">
        <v>95296.0</v>
      </c>
      <c r="P593" s="3" t="s">
        <v>1823</v>
      </c>
      <c r="Q593" s="3">
        <v>1034877.0</v>
      </c>
      <c r="R593" s="3"/>
      <c r="S593" s="3">
        <v>20672.75</v>
      </c>
      <c r="T593" s="3" t="s">
        <v>31</v>
      </c>
      <c r="U593" s="3">
        <v>20672.75</v>
      </c>
      <c r="V593" s="5">
        <f>(DATE(2026,2,3)-'RICE_Insured Farms_with PPI Pol'!$G593)+IF('RICE_Insured Farms_with PPI Pol'!$H593&lt;&gt;'RICE_Insured Farms_with PPI Pol'!$G593,18,0)</f>
        <v>38</v>
      </c>
      <c r="W593" s="3" t="str">
        <f t="array" ref="W593">IFS(V593&gt;120, "Harvested", V593&gt;=113, "Yellow Ripening", V593&gt;=101, "Dough Stage", V593&gt;=93, "Milking Stage", V593&gt;=86, "Flowering", V593&gt;=56, "Panicle Initiation/Booting", V593&lt;56, "Vegetative/Tillering")</f>
        <v>Vegetative/Tillering</v>
      </c>
    </row>
    <row r="594" ht="15.75" customHeight="1">
      <c r="A594" s="3">
        <v>593.0</v>
      </c>
      <c r="B594" s="3" t="s">
        <v>23</v>
      </c>
      <c r="C594" s="3" t="s">
        <v>24</v>
      </c>
      <c r="D594" s="3" t="s">
        <v>25</v>
      </c>
      <c r="E594" s="3" t="s">
        <v>1164</v>
      </c>
      <c r="F594" s="3">
        <v>1761008.0</v>
      </c>
      <c r="G594" s="4">
        <v>46018.0</v>
      </c>
      <c r="H594" s="4">
        <v>46114.0</v>
      </c>
      <c r="I594" s="3" t="s">
        <v>1395</v>
      </c>
      <c r="J594" s="3" t="s">
        <v>491</v>
      </c>
      <c r="K594" s="3" t="s">
        <v>1824</v>
      </c>
      <c r="L594" s="3">
        <v>0.5187</v>
      </c>
      <c r="M594" s="3">
        <v>12967.5</v>
      </c>
      <c r="N594" s="3">
        <v>3.0</v>
      </c>
      <c r="O594" s="3">
        <v>419041.0</v>
      </c>
      <c r="P594" s="3" t="s">
        <v>1825</v>
      </c>
      <c r="Q594" s="3">
        <v>1330119.0</v>
      </c>
      <c r="R594" s="3"/>
      <c r="S594" s="3">
        <v>10374.0</v>
      </c>
      <c r="T594" s="3" t="s">
        <v>37</v>
      </c>
      <c r="U594" s="3">
        <v>10374.0</v>
      </c>
      <c r="V594" s="5">
        <f>(DATE(2026,2,3)-'RICE_Insured Farms_with PPI Pol'!$G594)+IF('RICE_Insured Farms_with PPI Pol'!$H594&lt;&gt;'RICE_Insured Farms_with PPI Pol'!$G594,18,0)</f>
        <v>56</v>
      </c>
      <c r="W594" s="3" t="str">
        <f t="array" ref="W594">IFS(V594&gt;120, "Harvested", V594&gt;=113, "Yellow Ripening", V594&gt;=101, "Dough Stage", V594&gt;=93, "Milking Stage", V594&gt;=86, "Flowering", V594&gt;=56, "Panicle Initiation/Booting", V594&lt;56, "Vegetative/Tillering")</f>
        <v>Panicle Initiation/Booting</v>
      </c>
    </row>
    <row r="595" ht="15.75" hidden="1" customHeight="1">
      <c r="A595" s="3">
        <v>789.0</v>
      </c>
      <c r="B595" s="3" t="s">
        <v>23</v>
      </c>
      <c r="C595" s="3" t="s">
        <v>24</v>
      </c>
      <c r="D595" s="3" t="s">
        <v>25</v>
      </c>
      <c r="E595" s="3" t="s">
        <v>1826</v>
      </c>
      <c r="F595" s="3">
        <v>1761007.0</v>
      </c>
      <c r="G595" s="4">
        <v>46012.0</v>
      </c>
      <c r="H595" s="4">
        <v>46108.0</v>
      </c>
      <c r="I595" s="3" t="s">
        <v>1827</v>
      </c>
      <c r="J595" s="3" t="s">
        <v>1828</v>
      </c>
      <c r="K595" s="3" t="s">
        <v>1525</v>
      </c>
      <c r="L595" s="3">
        <v>0.6483</v>
      </c>
      <c r="M595" s="3">
        <v>16207.5</v>
      </c>
      <c r="N595" s="3">
        <v>4.0</v>
      </c>
      <c r="O595" s="3">
        <v>310514.0</v>
      </c>
      <c r="P595" s="3"/>
      <c r="Q595" s="3">
        <v>1282720.0</v>
      </c>
      <c r="R595" s="3"/>
      <c r="S595" s="3">
        <v>12966.0</v>
      </c>
      <c r="T595" s="3" t="s">
        <v>56</v>
      </c>
      <c r="U595" s="3">
        <v>12966.0</v>
      </c>
      <c r="V595" s="5">
        <f>(DATE(2026,2,3)-'RICE_Insured Farms_with PPI Pol'!$G595)+IF('RICE_Insured Farms_with PPI Pol'!$H595&lt;&gt;'RICE_Insured Farms_with PPI Pol'!$G595,18,0)</f>
        <v>62</v>
      </c>
      <c r="W595" s="3" t="str">
        <f t="array" ref="W595">IFS(V595&gt;120, "Harvested", V595&gt;=113, "Yellow Ripening", V595&gt;=101, "Dough Stage", V595&gt;=93, "Milking Stage", V595&gt;=86, "Flowering", V595&gt;=56, "Panicle Initiation/Booting", V595&lt;56, "Vegetative/Tillering")</f>
        <v>Panicle Initiation/Booting</v>
      </c>
    </row>
    <row r="596" ht="15.75" hidden="1" customHeight="1">
      <c r="A596" s="3">
        <v>595.0</v>
      </c>
      <c r="B596" s="3" t="s">
        <v>23</v>
      </c>
      <c r="C596" s="3" t="s">
        <v>121</v>
      </c>
      <c r="D596" s="3" t="s">
        <v>1368</v>
      </c>
      <c r="E596" s="3" t="s">
        <v>1815</v>
      </c>
      <c r="F596" s="3">
        <v>1742653.0</v>
      </c>
      <c r="G596" s="4">
        <v>46022.0</v>
      </c>
      <c r="H596" s="4">
        <v>46142.0</v>
      </c>
      <c r="I596" s="3" t="s">
        <v>1829</v>
      </c>
      <c r="J596" s="3" t="s">
        <v>1830</v>
      </c>
      <c r="K596" s="3" t="s">
        <v>1818</v>
      </c>
      <c r="L596" s="3">
        <v>1.1378</v>
      </c>
      <c r="M596" s="3">
        <v>28445.0</v>
      </c>
      <c r="N596" s="3">
        <v>2.0</v>
      </c>
      <c r="O596" s="3">
        <v>435942.0</v>
      </c>
      <c r="P596" s="3" t="s">
        <v>1831</v>
      </c>
      <c r="Q596" s="3">
        <v>1210654.0</v>
      </c>
      <c r="R596" s="3"/>
      <c r="S596" s="3">
        <v>19911.5</v>
      </c>
      <c r="T596" s="3" t="s">
        <v>31</v>
      </c>
      <c r="U596" s="3">
        <v>19911.5</v>
      </c>
      <c r="V596" s="5">
        <f>(DATE(2026,2,3)-'RICE_Insured Farms_with PPI Pol'!$G596)+IF('RICE_Insured Farms_with PPI Pol'!$H596&lt;&gt;'RICE_Insured Farms_with PPI Pol'!$G596,18,0)</f>
        <v>52</v>
      </c>
      <c r="W596" s="3" t="str">
        <f t="array" ref="W596">IFS(V596&gt;120, "Harvested", V596&gt;=113, "Yellow Ripening", V596&gt;=101, "Dough Stage", V596&gt;=93, "Milking Stage", V596&gt;=86, "Flowering", V596&gt;=56, "Panicle Initiation/Booting", V596&lt;56, "Vegetative/Tillering")</f>
        <v>Vegetative/Tillering</v>
      </c>
    </row>
    <row r="597" ht="15.75" hidden="1" customHeight="1">
      <c r="A597" s="3">
        <v>596.0</v>
      </c>
      <c r="B597" s="3" t="s">
        <v>23</v>
      </c>
      <c r="C597" s="3" t="s">
        <v>121</v>
      </c>
      <c r="D597" s="3" t="s">
        <v>667</v>
      </c>
      <c r="E597" s="3" t="s">
        <v>1832</v>
      </c>
      <c r="F597" s="3">
        <v>1760374.0</v>
      </c>
      <c r="G597" s="4">
        <v>46033.0</v>
      </c>
      <c r="H597" s="4">
        <v>46143.0</v>
      </c>
      <c r="I597" s="3" t="s">
        <v>1833</v>
      </c>
      <c r="J597" s="3" t="s">
        <v>114</v>
      </c>
      <c r="K597" s="3" t="s">
        <v>1834</v>
      </c>
      <c r="L597" s="3">
        <v>1.015</v>
      </c>
      <c r="M597" s="3">
        <v>25375.0</v>
      </c>
      <c r="N597" s="3">
        <v>1.0</v>
      </c>
      <c r="O597" s="3">
        <v>113425.0</v>
      </c>
      <c r="P597" s="3" t="s">
        <v>1835</v>
      </c>
      <c r="Q597" s="3">
        <v>1046619.0</v>
      </c>
      <c r="R597" s="3"/>
      <c r="S597" s="3">
        <v>15225.0</v>
      </c>
      <c r="T597" s="3" t="s">
        <v>62</v>
      </c>
      <c r="U597" s="3">
        <v>15225.0</v>
      </c>
      <c r="V597" s="5">
        <f>(DATE(2026,2,3)-'RICE_Insured Farms_with PPI Pol'!$G597)+IF('RICE_Insured Farms_with PPI Pol'!$H597&lt;&gt;'RICE_Insured Farms_with PPI Pol'!$G597,18,0)</f>
        <v>41</v>
      </c>
      <c r="W597" s="3" t="str">
        <f t="array" ref="W597">IFS(V597&gt;120, "Harvested", V597&gt;=113, "Yellow Ripening", V597&gt;=101, "Dough Stage", V597&gt;=93, "Milking Stage", V597&gt;=86, "Flowering", V597&gt;=56, "Panicle Initiation/Booting", V597&lt;56, "Vegetative/Tillering")</f>
        <v>Vegetative/Tillering</v>
      </c>
    </row>
    <row r="598" ht="15.75" hidden="1" customHeight="1">
      <c r="A598" s="3">
        <v>597.0</v>
      </c>
      <c r="B598" s="3" t="s">
        <v>23</v>
      </c>
      <c r="C598" s="3" t="s">
        <v>121</v>
      </c>
      <c r="D598" s="3" t="s">
        <v>399</v>
      </c>
      <c r="E598" s="3" t="s">
        <v>400</v>
      </c>
      <c r="F598" s="3">
        <v>1760153.0</v>
      </c>
      <c r="G598" s="4">
        <v>46027.0</v>
      </c>
      <c r="H598" s="4">
        <v>46147.0</v>
      </c>
      <c r="I598" s="3" t="s">
        <v>1836</v>
      </c>
      <c r="J598" s="3" t="s">
        <v>1837</v>
      </c>
      <c r="K598" s="3" t="s">
        <v>1838</v>
      </c>
      <c r="L598" s="3">
        <v>2.0</v>
      </c>
      <c r="M598" s="3">
        <v>50000.0</v>
      </c>
      <c r="N598" s="3">
        <v>1.0</v>
      </c>
      <c r="O598" s="3">
        <v>14914.0</v>
      </c>
      <c r="P598" s="3" t="s">
        <v>1839</v>
      </c>
      <c r="Q598" s="3">
        <v>1032736.0</v>
      </c>
      <c r="R598" s="3"/>
      <c r="S598" s="3">
        <v>30000.0</v>
      </c>
      <c r="T598" s="3" t="s">
        <v>62</v>
      </c>
      <c r="U598" s="3">
        <v>30000.0</v>
      </c>
      <c r="V598" s="5">
        <f>(DATE(2026,2,3)-'RICE_Insured Farms_with PPI Pol'!$G598)+IF('RICE_Insured Farms_with PPI Pol'!$H598&lt;&gt;'RICE_Insured Farms_with PPI Pol'!$G598,18,0)</f>
        <v>47</v>
      </c>
      <c r="W598" s="3" t="str">
        <f t="array" ref="W598">IFS(V598&gt;120, "Harvested", V598&gt;=113, "Yellow Ripening", V598&gt;=101, "Dough Stage", V598&gt;=93, "Milking Stage", V598&gt;=86, "Flowering", V598&gt;=56, "Panicle Initiation/Booting", V598&lt;56, "Vegetative/Tillering")</f>
        <v>Vegetative/Tillering</v>
      </c>
    </row>
    <row r="599" ht="15.75" hidden="1" customHeight="1">
      <c r="A599" s="3">
        <v>813.0</v>
      </c>
      <c r="B599" s="3" t="s">
        <v>1213</v>
      </c>
      <c r="C599" s="3" t="s">
        <v>24</v>
      </c>
      <c r="D599" s="3" t="s">
        <v>25</v>
      </c>
      <c r="E599" s="3" t="s">
        <v>348</v>
      </c>
      <c r="F599" s="3">
        <v>1760484.0</v>
      </c>
      <c r="G599" s="4">
        <v>46009.0</v>
      </c>
      <c r="H599" s="4">
        <v>46104.0</v>
      </c>
      <c r="I599" s="3" t="s">
        <v>1840</v>
      </c>
      <c r="J599" s="3" t="s">
        <v>1841</v>
      </c>
      <c r="K599" s="3" t="s">
        <v>1565</v>
      </c>
      <c r="L599" s="3">
        <v>1.5</v>
      </c>
      <c r="M599" s="3">
        <v>60000.0</v>
      </c>
      <c r="N599" s="3">
        <v>4.0</v>
      </c>
      <c r="O599" s="3">
        <v>1767.0</v>
      </c>
      <c r="P599" s="3" t="s">
        <v>1842</v>
      </c>
      <c r="Q599" s="3">
        <v>1044420.0</v>
      </c>
      <c r="R599" s="3"/>
      <c r="S599" s="3">
        <v>48000.0</v>
      </c>
      <c r="T599" s="3" t="s">
        <v>56</v>
      </c>
      <c r="U599" s="3">
        <v>48000.0</v>
      </c>
      <c r="V599" s="5">
        <f>(DATE(2026,2,3)-'RICE_Insured Farms_with PPI Pol'!$G599)+IF('RICE_Insured Farms_with PPI Pol'!$H599&lt;&gt;'RICE_Insured Farms_with PPI Pol'!$G599,18,0)</f>
        <v>65</v>
      </c>
      <c r="W599" s="3" t="str">
        <f t="array" ref="W599">IFS(V599&gt;120, "Harvested", V599&gt;=113, "Yellow Ripening", V599&gt;=101, "Dough Stage", V599&gt;=93, "Milking Stage", V599&gt;=86, "Flowering", V599&gt;=56, "Panicle Initiation/Booting", V599&lt;56, "Vegetative/Tillering")</f>
        <v>Panicle Initiation/Booting</v>
      </c>
    </row>
    <row r="600" ht="15.75" hidden="1" customHeight="1">
      <c r="A600" s="3">
        <v>828.0</v>
      </c>
      <c r="B600" s="3" t="s">
        <v>23</v>
      </c>
      <c r="C600" s="3" t="s">
        <v>24</v>
      </c>
      <c r="D600" s="3" t="s">
        <v>25</v>
      </c>
      <c r="E600" s="3" t="s">
        <v>1164</v>
      </c>
      <c r="F600" s="3">
        <v>1761010.0</v>
      </c>
      <c r="G600" s="4">
        <v>46021.0</v>
      </c>
      <c r="H600" s="4">
        <v>46111.0</v>
      </c>
      <c r="I600" s="3" t="s">
        <v>1843</v>
      </c>
      <c r="J600" s="3" t="s">
        <v>738</v>
      </c>
      <c r="K600" s="3" t="s">
        <v>1423</v>
      </c>
      <c r="L600" s="3">
        <v>0.25</v>
      </c>
      <c r="M600" s="3">
        <v>6250.0</v>
      </c>
      <c r="N600" s="3">
        <v>4.0</v>
      </c>
      <c r="O600" s="3">
        <v>205362.0</v>
      </c>
      <c r="P600" s="3"/>
      <c r="Q600" s="3">
        <v>1330926.0</v>
      </c>
      <c r="R600" s="3"/>
      <c r="S600" s="3">
        <v>5000.0</v>
      </c>
      <c r="T600" s="3" t="s">
        <v>56</v>
      </c>
      <c r="U600" s="3">
        <v>5000.0</v>
      </c>
      <c r="V600" s="5">
        <f>(DATE(2026,2,3)-'RICE_Insured Farms_with PPI Pol'!$G600)+IF('RICE_Insured Farms_with PPI Pol'!$H600&lt;&gt;'RICE_Insured Farms_with PPI Pol'!$G600,18,0)</f>
        <v>53</v>
      </c>
      <c r="W600" s="3" t="str">
        <f t="array" ref="W600">IFS(V600&gt;120, "Harvested", V600&gt;=113, "Yellow Ripening", V600&gt;=101, "Dough Stage", V600&gt;=93, "Milking Stage", V600&gt;=86, "Flowering", V600&gt;=56, "Panicle Initiation/Booting", V600&lt;56, "Vegetative/Tillering")</f>
        <v>Vegetative/Tillering</v>
      </c>
    </row>
    <row r="601" ht="15.75" hidden="1" customHeight="1">
      <c r="A601" s="3">
        <v>600.0</v>
      </c>
      <c r="B601" s="3" t="s">
        <v>23</v>
      </c>
      <c r="C601" s="3" t="s">
        <v>68</v>
      </c>
      <c r="D601" s="3" t="s">
        <v>289</v>
      </c>
      <c r="E601" s="3" t="s">
        <v>702</v>
      </c>
      <c r="F601" s="3">
        <v>1760044.0</v>
      </c>
      <c r="G601" s="4">
        <v>46040.0</v>
      </c>
      <c r="H601" s="4">
        <v>46142.0</v>
      </c>
      <c r="I601" s="3" t="s">
        <v>1844</v>
      </c>
      <c r="J601" s="3" t="s">
        <v>676</v>
      </c>
      <c r="K601" s="3" t="s">
        <v>1845</v>
      </c>
      <c r="L601" s="3">
        <v>0.331</v>
      </c>
      <c r="M601" s="3">
        <v>8275.0</v>
      </c>
      <c r="N601" s="3">
        <v>2.0</v>
      </c>
      <c r="O601" s="3">
        <v>61305.0</v>
      </c>
      <c r="P601" s="3" t="s">
        <v>1846</v>
      </c>
      <c r="Q601" s="3">
        <v>1284230.0</v>
      </c>
      <c r="R601" s="3"/>
      <c r="S601" s="3">
        <v>5792.5</v>
      </c>
      <c r="T601" s="3" t="s">
        <v>31</v>
      </c>
      <c r="U601" s="3">
        <v>5792.5</v>
      </c>
      <c r="V601" s="5">
        <f>(DATE(2026,2,3)-'RICE_Insured Farms_with PPI Pol'!$G601)+IF('RICE_Insured Farms_with PPI Pol'!$H601&lt;&gt;'RICE_Insured Farms_with PPI Pol'!$G601,18,0)</f>
        <v>34</v>
      </c>
      <c r="W601" s="3" t="str">
        <f t="array" ref="W601">IFS(V601&gt;120, "Harvested", V601&gt;=113, "Yellow Ripening", V601&gt;=101, "Dough Stage", V601&gt;=93, "Milking Stage", V601&gt;=86, "Flowering", V601&gt;=56, "Panicle Initiation/Booting", V601&lt;56, "Vegetative/Tillering")</f>
        <v>Vegetative/Tillering</v>
      </c>
    </row>
    <row r="602" ht="15.75" hidden="1" customHeight="1">
      <c r="A602" s="3">
        <v>601.0</v>
      </c>
      <c r="B602" s="3" t="s">
        <v>23</v>
      </c>
      <c r="C602" s="3" t="s">
        <v>68</v>
      </c>
      <c r="D602" s="3" t="s">
        <v>289</v>
      </c>
      <c r="E602" s="3" t="s">
        <v>702</v>
      </c>
      <c r="F602" s="3">
        <v>1760044.0</v>
      </c>
      <c r="G602" s="4">
        <v>46040.0</v>
      </c>
      <c r="H602" s="4">
        <v>46142.0</v>
      </c>
      <c r="I602" s="3" t="s">
        <v>1844</v>
      </c>
      <c r="J602" s="3" t="s">
        <v>676</v>
      </c>
      <c r="K602" s="3" t="s">
        <v>1845</v>
      </c>
      <c r="L602" s="3">
        <v>0.1441</v>
      </c>
      <c r="M602" s="3">
        <v>3602.5</v>
      </c>
      <c r="N602" s="3">
        <v>2.0</v>
      </c>
      <c r="O602" s="3">
        <v>61305.0</v>
      </c>
      <c r="P602" s="3" t="s">
        <v>1846</v>
      </c>
      <c r="Q602" s="3">
        <v>1284234.0</v>
      </c>
      <c r="R602" s="3"/>
      <c r="S602" s="3">
        <v>2521.75</v>
      </c>
      <c r="T602" s="3" t="s">
        <v>31</v>
      </c>
      <c r="U602" s="3">
        <v>2521.75</v>
      </c>
      <c r="V602" s="5">
        <f>(DATE(2026,2,3)-'RICE_Insured Farms_with PPI Pol'!$G602)+IF('RICE_Insured Farms_with PPI Pol'!$H602&lt;&gt;'RICE_Insured Farms_with PPI Pol'!$G602,18,0)</f>
        <v>34</v>
      </c>
      <c r="W602" s="3" t="str">
        <f t="array" ref="W602">IFS(V602&gt;120, "Harvested", V602&gt;=113, "Yellow Ripening", V602&gt;=101, "Dough Stage", V602&gt;=93, "Milking Stage", V602&gt;=86, "Flowering", V602&gt;=56, "Panicle Initiation/Booting", V602&lt;56, "Vegetative/Tillering")</f>
        <v>Vegetative/Tillering</v>
      </c>
    </row>
    <row r="603" ht="15.75" hidden="1" customHeight="1">
      <c r="A603" s="3">
        <v>602.0</v>
      </c>
      <c r="B603" s="3" t="s">
        <v>23</v>
      </c>
      <c r="C603" s="3" t="s">
        <v>68</v>
      </c>
      <c r="D603" s="3" t="s">
        <v>289</v>
      </c>
      <c r="E603" s="3" t="s">
        <v>702</v>
      </c>
      <c r="F603" s="3">
        <v>1760044.0</v>
      </c>
      <c r="G603" s="4">
        <v>46040.0</v>
      </c>
      <c r="H603" s="4">
        <v>46142.0</v>
      </c>
      <c r="I603" s="3" t="s">
        <v>1844</v>
      </c>
      <c r="J603" s="3" t="s">
        <v>676</v>
      </c>
      <c r="K603" s="3" t="s">
        <v>1845</v>
      </c>
      <c r="L603" s="3">
        <v>0.1117</v>
      </c>
      <c r="M603" s="3">
        <v>2792.5</v>
      </c>
      <c r="N603" s="3">
        <v>2.0</v>
      </c>
      <c r="O603" s="3">
        <v>61305.0</v>
      </c>
      <c r="P603" s="3" t="s">
        <v>1846</v>
      </c>
      <c r="Q603" s="3">
        <v>1284237.0</v>
      </c>
      <c r="R603" s="3"/>
      <c r="S603" s="3">
        <v>1954.75</v>
      </c>
      <c r="T603" s="3" t="s">
        <v>31</v>
      </c>
      <c r="U603" s="3">
        <v>1954.75</v>
      </c>
      <c r="V603" s="5">
        <f>(DATE(2026,2,3)-'RICE_Insured Farms_with PPI Pol'!$G603)+IF('RICE_Insured Farms_with PPI Pol'!$H603&lt;&gt;'RICE_Insured Farms_with PPI Pol'!$G603,18,0)</f>
        <v>34</v>
      </c>
      <c r="W603" s="3" t="str">
        <f t="array" ref="W603">IFS(V603&gt;120, "Harvested", V603&gt;=113, "Yellow Ripening", V603&gt;=101, "Dough Stage", V603&gt;=93, "Milking Stage", V603&gt;=86, "Flowering", V603&gt;=56, "Panicle Initiation/Booting", V603&lt;56, "Vegetative/Tillering")</f>
        <v>Vegetative/Tillering</v>
      </c>
    </row>
    <row r="604" ht="15.75" customHeight="1">
      <c r="A604" s="3">
        <v>603.0</v>
      </c>
      <c r="B604" s="3" t="s">
        <v>23</v>
      </c>
      <c r="C604" s="3" t="s">
        <v>68</v>
      </c>
      <c r="D604" s="3" t="s">
        <v>262</v>
      </c>
      <c r="E604" s="3" t="s">
        <v>1611</v>
      </c>
      <c r="F604" s="3">
        <v>1739590.0</v>
      </c>
      <c r="G604" s="4">
        <v>46016.0</v>
      </c>
      <c r="H604" s="4">
        <v>46118.0</v>
      </c>
      <c r="I604" s="3" t="s">
        <v>1847</v>
      </c>
      <c r="J604" s="3" t="s">
        <v>256</v>
      </c>
      <c r="K604" s="3" t="s">
        <v>325</v>
      </c>
      <c r="L604" s="3">
        <v>0.4495</v>
      </c>
      <c r="M604" s="3">
        <v>11237.5</v>
      </c>
      <c r="N604" s="3">
        <v>3.0</v>
      </c>
      <c r="O604" s="3">
        <v>75102.0</v>
      </c>
      <c r="P604" s="3" t="s">
        <v>1848</v>
      </c>
      <c r="Q604" s="3">
        <v>1182981.0</v>
      </c>
      <c r="R604" s="3"/>
      <c r="S604" s="3">
        <v>8990.0</v>
      </c>
      <c r="T604" s="3" t="s">
        <v>37</v>
      </c>
      <c r="U604" s="3">
        <v>8990.0</v>
      </c>
      <c r="V604" s="5">
        <f>(DATE(2026,2,3)-'RICE_Insured Farms_with PPI Pol'!$G604)+IF('RICE_Insured Farms_with PPI Pol'!$H604&lt;&gt;'RICE_Insured Farms_with PPI Pol'!$G604,18,0)</f>
        <v>58</v>
      </c>
      <c r="W604" s="3" t="str">
        <f t="array" ref="W604">IFS(V604&gt;120, "Harvested", V604&gt;=113, "Yellow Ripening", V604&gt;=101, "Dough Stage", V604&gt;=93, "Milking Stage", V604&gt;=86, "Flowering", V604&gt;=56, "Panicle Initiation/Booting", V604&lt;56, "Vegetative/Tillering")</f>
        <v>Panicle Initiation/Booting</v>
      </c>
    </row>
    <row r="605" ht="15.75" hidden="1" customHeight="1">
      <c r="A605" s="3">
        <v>604.0</v>
      </c>
      <c r="B605" s="3" t="s">
        <v>23</v>
      </c>
      <c r="C605" s="3" t="s">
        <v>68</v>
      </c>
      <c r="D605" s="3" t="s">
        <v>679</v>
      </c>
      <c r="E605" s="3" t="s">
        <v>680</v>
      </c>
      <c r="F605" s="3">
        <v>1175381.0</v>
      </c>
      <c r="G605" s="4">
        <v>46032.0</v>
      </c>
      <c r="H605" s="4">
        <v>46134.0</v>
      </c>
      <c r="I605" s="3" t="s">
        <v>797</v>
      </c>
      <c r="J605" s="3" t="s">
        <v>1849</v>
      </c>
      <c r="K605" s="3" t="s">
        <v>1850</v>
      </c>
      <c r="L605" s="3">
        <v>1.5612</v>
      </c>
      <c r="M605" s="3">
        <v>39030.0</v>
      </c>
      <c r="N605" s="3">
        <v>2.0</v>
      </c>
      <c r="O605" s="3">
        <v>295266.0</v>
      </c>
      <c r="P605" s="3" t="s">
        <v>1851</v>
      </c>
      <c r="Q605" s="3">
        <v>1142984.0</v>
      </c>
      <c r="R605" s="3"/>
      <c r="S605" s="3">
        <v>27321.0</v>
      </c>
      <c r="T605" s="3" t="s">
        <v>31</v>
      </c>
      <c r="U605" s="3">
        <v>27321.0</v>
      </c>
      <c r="V605" s="5">
        <f>(DATE(2026,2,3)-'RICE_Insured Farms_with PPI Pol'!$G605)+IF('RICE_Insured Farms_with PPI Pol'!$H605&lt;&gt;'RICE_Insured Farms_with PPI Pol'!$G605,18,0)</f>
        <v>42</v>
      </c>
      <c r="W605" s="3" t="str">
        <f t="array" ref="W605">IFS(V605&gt;120, "Harvested", V605&gt;=113, "Yellow Ripening", V605&gt;=101, "Dough Stage", V605&gt;=93, "Milking Stage", V605&gt;=86, "Flowering", V605&gt;=56, "Panicle Initiation/Booting", V605&lt;56, "Vegetative/Tillering")</f>
        <v>Vegetative/Tillering</v>
      </c>
    </row>
    <row r="606" ht="15.75" customHeight="1">
      <c r="A606" s="3">
        <v>605.0</v>
      </c>
      <c r="B606" s="3" t="s">
        <v>23</v>
      </c>
      <c r="C606" s="3" t="s">
        <v>68</v>
      </c>
      <c r="D606" s="3" t="s">
        <v>289</v>
      </c>
      <c r="E606" s="3" t="s">
        <v>774</v>
      </c>
      <c r="F606" s="3">
        <v>1760024.0</v>
      </c>
      <c r="G606" s="4">
        <v>46020.0</v>
      </c>
      <c r="H606" s="4">
        <v>46122.0</v>
      </c>
      <c r="I606" s="3" t="s">
        <v>1852</v>
      </c>
      <c r="J606" s="3" t="s">
        <v>1853</v>
      </c>
      <c r="K606" s="3" t="s">
        <v>1093</v>
      </c>
      <c r="L606" s="3">
        <v>0.3212</v>
      </c>
      <c r="M606" s="3">
        <v>8030.0</v>
      </c>
      <c r="N606" s="3">
        <v>3.0</v>
      </c>
      <c r="O606" s="3">
        <v>153622.0</v>
      </c>
      <c r="P606" s="3" t="s">
        <v>1854</v>
      </c>
      <c r="Q606" s="3">
        <v>1276383.0</v>
      </c>
      <c r="R606" s="3"/>
      <c r="S606" s="3">
        <v>6424.0</v>
      </c>
      <c r="T606" s="3" t="s">
        <v>37</v>
      </c>
      <c r="U606" s="3">
        <v>6424.0</v>
      </c>
      <c r="V606" s="5">
        <f>(DATE(2026,2,3)-'RICE_Insured Farms_with PPI Pol'!$G606)+IF('RICE_Insured Farms_with PPI Pol'!$H606&lt;&gt;'RICE_Insured Farms_with PPI Pol'!$G606,18,0)</f>
        <v>54</v>
      </c>
      <c r="W606" s="3" t="str">
        <f t="array" ref="W606">IFS(V606&gt;120, "Harvested", V606&gt;=113, "Yellow Ripening", V606&gt;=101, "Dough Stage", V606&gt;=93, "Milking Stage", V606&gt;=86, "Flowering", V606&gt;=56, "Panicle Initiation/Booting", V606&lt;56, "Vegetative/Tillering")</f>
        <v>Vegetative/Tillering</v>
      </c>
    </row>
    <row r="607" ht="15.75" customHeight="1">
      <c r="A607" s="3">
        <v>606.0</v>
      </c>
      <c r="B607" s="3" t="s">
        <v>23</v>
      </c>
      <c r="C607" s="3" t="s">
        <v>68</v>
      </c>
      <c r="D607" s="3" t="s">
        <v>289</v>
      </c>
      <c r="E607" s="3" t="s">
        <v>774</v>
      </c>
      <c r="F607" s="3">
        <v>1760024.0</v>
      </c>
      <c r="G607" s="4">
        <v>46018.0</v>
      </c>
      <c r="H607" s="4">
        <v>46120.0</v>
      </c>
      <c r="I607" s="3" t="s">
        <v>1852</v>
      </c>
      <c r="J607" s="3" t="s">
        <v>1853</v>
      </c>
      <c r="K607" s="3" t="s">
        <v>1093</v>
      </c>
      <c r="L607" s="3">
        <v>0.5641</v>
      </c>
      <c r="M607" s="3">
        <v>14102.5</v>
      </c>
      <c r="N607" s="3">
        <v>3.0</v>
      </c>
      <c r="O607" s="3">
        <v>153622.0</v>
      </c>
      <c r="P607" s="3" t="s">
        <v>1854</v>
      </c>
      <c r="Q607" s="3">
        <v>1276387.0</v>
      </c>
      <c r="R607" s="3"/>
      <c r="S607" s="3">
        <v>11282.0</v>
      </c>
      <c r="T607" s="3" t="s">
        <v>37</v>
      </c>
      <c r="U607" s="3">
        <v>11282.0</v>
      </c>
      <c r="V607" s="5">
        <f>(DATE(2026,2,3)-'RICE_Insured Farms_with PPI Pol'!$G607)+IF('RICE_Insured Farms_with PPI Pol'!$H607&lt;&gt;'RICE_Insured Farms_with PPI Pol'!$G607,18,0)</f>
        <v>56</v>
      </c>
      <c r="W607" s="3" t="str">
        <f t="array" ref="W607">IFS(V607&gt;120, "Harvested", V607&gt;=113, "Yellow Ripening", V607&gt;=101, "Dough Stage", V607&gt;=93, "Milking Stage", V607&gt;=86, "Flowering", V607&gt;=56, "Panicle Initiation/Booting", V607&lt;56, "Vegetative/Tillering")</f>
        <v>Panicle Initiation/Booting</v>
      </c>
    </row>
    <row r="608" ht="15.75" hidden="1" customHeight="1">
      <c r="A608" s="3">
        <v>607.0</v>
      </c>
      <c r="B608" s="3" t="s">
        <v>23</v>
      </c>
      <c r="C608" s="3" t="s">
        <v>68</v>
      </c>
      <c r="D608" s="3" t="s">
        <v>289</v>
      </c>
      <c r="E608" s="3" t="s">
        <v>774</v>
      </c>
      <c r="F608" s="3">
        <v>1760024.0</v>
      </c>
      <c r="G608" s="4">
        <v>46030.0</v>
      </c>
      <c r="H608" s="4">
        <v>46132.0</v>
      </c>
      <c r="I608" s="3" t="s">
        <v>1852</v>
      </c>
      <c r="J608" s="3" t="s">
        <v>1849</v>
      </c>
      <c r="K608" s="3" t="s">
        <v>526</v>
      </c>
      <c r="L608" s="3">
        <v>1.323</v>
      </c>
      <c r="M608" s="3">
        <v>33075.0</v>
      </c>
      <c r="N608" s="3">
        <v>2.0</v>
      </c>
      <c r="O608" s="3">
        <v>119789.0</v>
      </c>
      <c r="P608" s="3" t="s">
        <v>1855</v>
      </c>
      <c r="Q608" s="3">
        <v>1276411.0</v>
      </c>
      <c r="R608" s="3"/>
      <c r="S608" s="3">
        <v>23152.5</v>
      </c>
      <c r="T608" s="3" t="s">
        <v>31</v>
      </c>
      <c r="U608" s="3">
        <v>23152.5</v>
      </c>
      <c r="V608" s="5">
        <f>(DATE(2026,2,3)-'RICE_Insured Farms_with PPI Pol'!$G608)+IF('RICE_Insured Farms_with PPI Pol'!$H608&lt;&gt;'RICE_Insured Farms_with PPI Pol'!$G608,18,0)</f>
        <v>44</v>
      </c>
      <c r="W608" s="3" t="str">
        <f t="array" ref="W608">IFS(V608&gt;120, "Harvested", V608&gt;=113, "Yellow Ripening", V608&gt;=101, "Dough Stage", V608&gt;=93, "Milking Stage", V608&gt;=86, "Flowering", V608&gt;=56, "Panicle Initiation/Booting", V608&lt;56, "Vegetative/Tillering")</f>
        <v>Vegetative/Tillering</v>
      </c>
    </row>
    <row r="609" ht="15.75" hidden="1" customHeight="1">
      <c r="A609" s="3">
        <v>608.0</v>
      </c>
      <c r="B609" s="3" t="s">
        <v>23</v>
      </c>
      <c r="C609" s="3" t="s">
        <v>68</v>
      </c>
      <c r="D609" s="3" t="s">
        <v>289</v>
      </c>
      <c r="E609" s="3" t="s">
        <v>774</v>
      </c>
      <c r="F609" s="3">
        <v>1760034.0</v>
      </c>
      <c r="G609" s="4">
        <v>46034.0</v>
      </c>
      <c r="H609" s="4">
        <v>46136.0</v>
      </c>
      <c r="I609" s="3" t="s">
        <v>1852</v>
      </c>
      <c r="J609" s="3" t="s">
        <v>1856</v>
      </c>
      <c r="K609" s="3" t="s">
        <v>1518</v>
      </c>
      <c r="L609" s="3">
        <v>0.5344</v>
      </c>
      <c r="M609" s="3">
        <v>13360.0</v>
      </c>
      <c r="N609" s="3">
        <v>2.0</v>
      </c>
      <c r="O609" s="3">
        <v>431242.0</v>
      </c>
      <c r="P609" s="3"/>
      <c r="Q609" s="3">
        <v>1280466.0</v>
      </c>
      <c r="R609" s="3"/>
      <c r="S609" s="3">
        <v>9352.0</v>
      </c>
      <c r="T609" s="3" t="s">
        <v>31</v>
      </c>
      <c r="U609" s="3">
        <v>9352.0</v>
      </c>
      <c r="V609" s="5">
        <f>(DATE(2026,2,3)-'RICE_Insured Farms_with PPI Pol'!$G609)+IF('RICE_Insured Farms_with PPI Pol'!$H609&lt;&gt;'RICE_Insured Farms_with PPI Pol'!$G609,18,0)</f>
        <v>40</v>
      </c>
      <c r="W609" s="3" t="str">
        <f t="array" ref="W609">IFS(V609&gt;120, "Harvested", V609&gt;=113, "Yellow Ripening", V609&gt;=101, "Dough Stage", V609&gt;=93, "Milking Stage", V609&gt;=86, "Flowering", V609&gt;=56, "Panicle Initiation/Booting", V609&lt;56, "Vegetative/Tillering")</f>
        <v>Vegetative/Tillering</v>
      </c>
    </row>
    <row r="610" ht="15.75" hidden="1" customHeight="1">
      <c r="A610" s="3">
        <v>609.0</v>
      </c>
      <c r="B610" s="3" t="s">
        <v>23</v>
      </c>
      <c r="C610" s="3" t="s">
        <v>68</v>
      </c>
      <c r="D610" s="3" t="s">
        <v>289</v>
      </c>
      <c r="E610" s="3" t="s">
        <v>507</v>
      </c>
      <c r="F610" s="3">
        <v>1760026.0</v>
      </c>
      <c r="G610" s="4">
        <v>46025.0</v>
      </c>
      <c r="H610" s="4">
        <v>46127.0</v>
      </c>
      <c r="I610" s="3" t="s">
        <v>1857</v>
      </c>
      <c r="J610" s="3" t="s">
        <v>1858</v>
      </c>
      <c r="K610" s="3" t="s">
        <v>1859</v>
      </c>
      <c r="L610" s="3">
        <v>0.3906</v>
      </c>
      <c r="M610" s="3">
        <v>9765.0</v>
      </c>
      <c r="N610" s="3">
        <v>2.0</v>
      </c>
      <c r="O610" s="3">
        <v>31462.0</v>
      </c>
      <c r="P610" s="3"/>
      <c r="Q610" s="3">
        <v>1155798.0</v>
      </c>
      <c r="R610" s="3"/>
      <c r="S610" s="3">
        <v>6835.5</v>
      </c>
      <c r="T610" s="3" t="s">
        <v>31</v>
      </c>
      <c r="U610" s="3">
        <v>6835.5</v>
      </c>
      <c r="V610" s="5">
        <f>(DATE(2026,2,3)-'RICE_Insured Farms_with PPI Pol'!$G610)+IF('RICE_Insured Farms_with PPI Pol'!$H610&lt;&gt;'RICE_Insured Farms_with PPI Pol'!$G610,18,0)</f>
        <v>49</v>
      </c>
      <c r="W610" s="3" t="str">
        <f t="array" ref="W610">IFS(V610&gt;120, "Harvested", V610&gt;=113, "Yellow Ripening", V610&gt;=101, "Dough Stage", V610&gt;=93, "Milking Stage", V610&gt;=86, "Flowering", V610&gt;=56, "Panicle Initiation/Booting", V610&lt;56, "Vegetative/Tillering")</f>
        <v>Vegetative/Tillering</v>
      </c>
    </row>
    <row r="611" ht="15.75" customHeight="1">
      <c r="A611" s="3">
        <v>610.0</v>
      </c>
      <c r="B611" s="3" t="s">
        <v>23</v>
      </c>
      <c r="C611" s="3" t="s">
        <v>68</v>
      </c>
      <c r="D611" s="3" t="s">
        <v>289</v>
      </c>
      <c r="E611" s="3" t="s">
        <v>774</v>
      </c>
      <c r="F611" s="3">
        <v>1760013.0</v>
      </c>
      <c r="G611" s="4">
        <v>46018.0</v>
      </c>
      <c r="H611" s="4">
        <v>46120.0</v>
      </c>
      <c r="I611" s="3" t="s">
        <v>1860</v>
      </c>
      <c r="J611" s="3" t="s">
        <v>1861</v>
      </c>
      <c r="K611" s="3" t="s">
        <v>1862</v>
      </c>
      <c r="L611" s="3">
        <v>1.4883</v>
      </c>
      <c r="M611" s="3">
        <v>37207.5</v>
      </c>
      <c r="N611" s="3">
        <v>3.0</v>
      </c>
      <c r="O611" s="3">
        <v>391832.0</v>
      </c>
      <c r="P611" s="3" t="s">
        <v>1863</v>
      </c>
      <c r="Q611" s="3">
        <v>1276537.0</v>
      </c>
      <c r="R611" s="3"/>
      <c r="S611" s="3">
        <v>29766.0</v>
      </c>
      <c r="T611" s="3" t="s">
        <v>37</v>
      </c>
      <c r="U611" s="3">
        <v>29766.0</v>
      </c>
      <c r="V611" s="5">
        <f>(DATE(2026,2,3)-'RICE_Insured Farms_with PPI Pol'!$G611)+IF('RICE_Insured Farms_with PPI Pol'!$H611&lt;&gt;'RICE_Insured Farms_with PPI Pol'!$G611,18,0)</f>
        <v>56</v>
      </c>
      <c r="W611" s="3" t="str">
        <f t="array" ref="W611">IFS(V611&gt;120, "Harvested", V611&gt;=113, "Yellow Ripening", V611&gt;=101, "Dough Stage", V611&gt;=93, "Milking Stage", V611&gt;=86, "Flowering", V611&gt;=56, "Panicle Initiation/Booting", V611&lt;56, "Vegetative/Tillering")</f>
        <v>Panicle Initiation/Booting</v>
      </c>
    </row>
    <row r="612" ht="15.75" hidden="1" customHeight="1">
      <c r="A612" s="3">
        <v>887.0</v>
      </c>
      <c r="B612" s="3" t="s">
        <v>23</v>
      </c>
      <c r="C612" s="3" t="s">
        <v>24</v>
      </c>
      <c r="D612" s="3" t="s">
        <v>25</v>
      </c>
      <c r="E612" s="3" t="s">
        <v>1826</v>
      </c>
      <c r="F612" s="3">
        <v>1761007.0</v>
      </c>
      <c r="G612" s="4">
        <v>46012.0</v>
      </c>
      <c r="H612" s="4">
        <v>46108.0</v>
      </c>
      <c r="I612" s="3" t="s">
        <v>1864</v>
      </c>
      <c r="J612" s="3" t="s">
        <v>1865</v>
      </c>
      <c r="K612" s="3" t="s">
        <v>671</v>
      </c>
      <c r="L612" s="3">
        <v>1.269</v>
      </c>
      <c r="M612" s="3">
        <v>31725.0</v>
      </c>
      <c r="N612" s="3">
        <v>4.0</v>
      </c>
      <c r="O612" s="3">
        <v>195325.0</v>
      </c>
      <c r="P612" s="3" t="s">
        <v>1866</v>
      </c>
      <c r="Q612" s="3">
        <v>1319157.0</v>
      </c>
      <c r="R612" s="3"/>
      <c r="S612" s="3">
        <v>25380.0</v>
      </c>
      <c r="T612" s="3" t="s">
        <v>56</v>
      </c>
      <c r="U612" s="3">
        <v>25380.0</v>
      </c>
      <c r="V612" s="5">
        <f>(DATE(2026,2,3)-'RICE_Insured Farms_with PPI Pol'!$G612)+IF('RICE_Insured Farms_with PPI Pol'!$H612&lt;&gt;'RICE_Insured Farms_with PPI Pol'!$G612,18,0)</f>
        <v>62</v>
      </c>
      <c r="W612" s="3" t="str">
        <f t="array" ref="W612">IFS(V612&gt;120, "Harvested", V612&gt;=113, "Yellow Ripening", V612&gt;=101, "Dough Stage", V612&gt;=93, "Milking Stage", V612&gt;=86, "Flowering", V612&gt;=56, "Panicle Initiation/Booting", V612&lt;56, "Vegetative/Tillering")</f>
        <v>Panicle Initiation/Booting</v>
      </c>
    </row>
    <row r="613" ht="15.75" hidden="1" customHeight="1">
      <c r="A613" s="3">
        <v>612.0</v>
      </c>
      <c r="B613" s="3" t="s">
        <v>23</v>
      </c>
      <c r="C613" s="3" t="s">
        <v>68</v>
      </c>
      <c r="D613" s="3" t="s">
        <v>289</v>
      </c>
      <c r="E613" s="3" t="s">
        <v>685</v>
      </c>
      <c r="F613" s="3">
        <v>1760004.0</v>
      </c>
      <c r="G613" s="4">
        <v>46028.0</v>
      </c>
      <c r="H613" s="4">
        <v>46130.0</v>
      </c>
      <c r="I613" s="3" t="s">
        <v>1867</v>
      </c>
      <c r="J613" s="3" t="s">
        <v>1868</v>
      </c>
      <c r="K613" s="3" t="s">
        <v>1869</v>
      </c>
      <c r="L613" s="3">
        <v>0.9528</v>
      </c>
      <c r="M613" s="3">
        <v>23820.0</v>
      </c>
      <c r="N613" s="3">
        <v>2.0</v>
      </c>
      <c r="O613" s="3">
        <v>121164.0</v>
      </c>
      <c r="P613" s="3" t="s">
        <v>1870</v>
      </c>
      <c r="Q613" s="3">
        <v>618429.0</v>
      </c>
      <c r="R613" s="3"/>
      <c r="S613" s="3">
        <v>16674.0</v>
      </c>
      <c r="T613" s="3" t="s">
        <v>31</v>
      </c>
      <c r="U613" s="3">
        <v>16674.0</v>
      </c>
      <c r="V613" s="5">
        <f>(DATE(2026,2,3)-'RICE_Insured Farms_with PPI Pol'!$G613)+IF('RICE_Insured Farms_with PPI Pol'!$H613&lt;&gt;'RICE_Insured Farms_with PPI Pol'!$G613,18,0)</f>
        <v>46</v>
      </c>
      <c r="W613" s="3" t="str">
        <f t="array" ref="W613">IFS(V613&gt;120, "Harvested", V613&gt;=113, "Yellow Ripening", V613&gt;=101, "Dough Stage", V613&gt;=93, "Milking Stage", V613&gt;=86, "Flowering", V613&gt;=56, "Panicle Initiation/Booting", V613&lt;56, "Vegetative/Tillering")</f>
        <v>Vegetative/Tillering</v>
      </c>
    </row>
    <row r="614" ht="15.75" customHeight="1">
      <c r="A614" s="3">
        <v>613.0</v>
      </c>
      <c r="B614" s="3" t="s">
        <v>23</v>
      </c>
      <c r="C614" s="3" t="s">
        <v>24</v>
      </c>
      <c r="D614" s="3" t="s">
        <v>25</v>
      </c>
      <c r="E614" s="3" t="s">
        <v>637</v>
      </c>
      <c r="F614" s="3">
        <v>1760465.0</v>
      </c>
      <c r="G614" s="4">
        <v>46001.0</v>
      </c>
      <c r="H614" s="4">
        <v>46121.0</v>
      </c>
      <c r="I614" s="3" t="s">
        <v>1871</v>
      </c>
      <c r="J614" s="3" t="s">
        <v>1872</v>
      </c>
      <c r="K614" s="3" t="s">
        <v>1873</v>
      </c>
      <c r="L614" s="3">
        <v>1.2242</v>
      </c>
      <c r="M614" s="3">
        <v>30605.0</v>
      </c>
      <c r="N614" s="3">
        <v>3.0</v>
      </c>
      <c r="O614" s="3">
        <v>191819.0</v>
      </c>
      <c r="P614" s="3" t="s">
        <v>1874</v>
      </c>
      <c r="Q614" s="3">
        <v>1318612.0</v>
      </c>
      <c r="R614" s="3"/>
      <c r="S614" s="3">
        <v>24484.0</v>
      </c>
      <c r="T614" s="3" t="s">
        <v>37</v>
      </c>
      <c r="U614" s="3">
        <v>24484.0</v>
      </c>
      <c r="V614" s="5">
        <f>(DATE(2026,2,3)-'RICE_Insured Farms_with PPI Pol'!$G614)+IF('RICE_Insured Farms_with PPI Pol'!$H614&lt;&gt;'RICE_Insured Farms_with PPI Pol'!$G614,18,0)</f>
        <v>73</v>
      </c>
      <c r="W614" s="3" t="str">
        <f t="array" ref="W614">IFS(V614&gt;120, "Harvested", V614&gt;=113, "Yellow Ripening", V614&gt;=101, "Dough Stage", V614&gt;=93, "Milking Stage", V614&gt;=86, "Flowering", V614&gt;=56, "Panicle Initiation/Booting", V614&lt;56, "Vegetative/Tillering")</f>
        <v>Panicle Initiation/Booting</v>
      </c>
    </row>
    <row r="615" ht="15.75" customHeight="1">
      <c r="A615" s="3">
        <v>614.0</v>
      </c>
      <c r="B615" s="3" t="s">
        <v>23</v>
      </c>
      <c r="C615" s="3" t="s">
        <v>68</v>
      </c>
      <c r="D615" s="3" t="s">
        <v>289</v>
      </c>
      <c r="E615" s="3" t="s">
        <v>290</v>
      </c>
      <c r="F615" s="3">
        <v>1760037.0</v>
      </c>
      <c r="G615" s="4">
        <v>46018.0</v>
      </c>
      <c r="H615" s="4">
        <v>46120.0</v>
      </c>
      <c r="I615" s="3" t="s">
        <v>1875</v>
      </c>
      <c r="J615" s="3" t="s">
        <v>1876</v>
      </c>
      <c r="K615" s="3" t="s">
        <v>1877</v>
      </c>
      <c r="L615" s="3">
        <v>0.4536</v>
      </c>
      <c r="M615" s="3">
        <v>11340.0</v>
      </c>
      <c r="N615" s="3">
        <v>3.0</v>
      </c>
      <c r="O615" s="3">
        <v>119558.0</v>
      </c>
      <c r="P615" s="3" t="s">
        <v>1878</v>
      </c>
      <c r="Q615" s="3">
        <v>1283671.0</v>
      </c>
      <c r="R615" s="3"/>
      <c r="S615" s="3">
        <v>9072.0</v>
      </c>
      <c r="T615" s="3" t="s">
        <v>37</v>
      </c>
      <c r="U615" s="3">
        <v>9072.0</v>
      </c>
      <c r="V615" s="5">
        <f>(DATE(2026,2,3)-'RICE_Insured Farms_with PPI Pol'!$G615)+IF('RICE_Insured Farms_with PPI Pol'!$H615&lt;&gt;'RICE_Insured Farms_with PPI Pol'!$G615,18,0)</f>
        <v>56</v>
      </c>
      <c r="W615" s="3" t="str">
        <f t="array" ref="W615">IFS(V615&gt;120, "Harvested", V615&gt;=113, "Yellow Ripening", V615&gt;=101, "Dough Stage", V615&gt;=93, "Milking Stage", V615&gt;=86, "Flowering", V615&gt;=56, "Panicle Initiation/Booting", V615&lt;56, "Vegetative/Tillering")</f>
        <v>Panicle Initiation/Booting</v>
      </c>
    </row>
    <row r="616" ht="15.75" hidden="1" customHeight="1">
      <c r="A616" s="3">
        <v>615.0</v>
      </c>
      <c r="B616" s="3" t="s">
        <v>23</v>
      </c>
      <c r="C616" s="3" t="s">
        <v>68</v>
      </c>
      <c r="D616" s="3" t="s">
        <v>289</v>
      </c>
      <c r="E616" s="3" t="s">
        <v>290</v>
      </c>
      <c r="F616" s="3">
        <v>1760037.0</v>
      </c>
      <c r="G616" s="4">
        <v>46035.0</v>
      </c>
      <c r="H616" s="4">
        <v>46137.0</v>
      </c>
      <c r="I616" s="3" t="s">
        <v>1875</v>
      </c>
      <c r="J616" s="3" t="s">
        <v>1876</v>
      </c>
      <c r="K616" s="3" t="s">
        <v>1877</v>
      </c>
      <c r="L616" s="3">
        <v>0.332</v>
      </c>
      <c r="M616" s="3">
        <v>8300.0</v>
      </c>
      <c r="N616" s="3">
        <v>2.0</v>
      </c>
      <c r="O616" s="3">
        <v>119558.0</v>
      </c>
      <c r="P616" s="3" t="s">
        <v>1878</v>
      </c>
      <c r="Q616" s="3">
        <v>1283673.0</v>
      </c>
      <c r="R616" s="3"/>
      <c r="S616" s="3">
        <v>5810.0</v>
      </c>
      <c r="T616" s="3" t="s">
        <v>31</v>
      </c>
      <c r="U616" s="3">
        <v>5810.0</v>
      </c>
      <c r="V616" s="5">
        <f>(DATE(2026,2,3)-'RICE_Insured Farms_with PPI Pol'!$G616)+IF('RICE_Insured Farms_with PPI Pol'!$H616&lt;&gt;'RICE_Insured Farms_with PPI Pol'!$G616,18,0)</f>
        <v>39</v>
      </c>
      <c r="W616" s="3" t="str">
        <f t="array" ref="W616">IFS(V616&gt;120, "Harvested", V616&gt;=113, "Yellow Ripening", V616&gt;=101, "Dough Stage", V616&gt;=93, "Milking Stage", V616&gt;=86, "Flowering", V616&gt;=56, "Panicle Initiation/Booting", V616&lt;56, "Vegetative/Tillering")</f>
        <v>Vegetative/Tillering</v>
      </c>
    </row>
    <row r="617" ht="15.75" hidden="1" customHeight="1">
      <c r="A617" s="3">
        <v>616.0</v>
      </c>
      <c r="B617" s="3" t="s">
        <v>23</v>
      </c>
      <c r="C617" s="3" t="s">
        <v>68</v>
      </c>
      <c r="D617" s="3" t="s">
        <v>289</v>
      </c>
      <c r="E617" s="3" t="s">
        <v>774</v>
      </c>
      <c r="F617" s="3">
        <v>1760023.0</v>
      </c>
      <c r="G617" s="4">
        <v>46028.0</v>
      </c>
      <c r="H617" s="4">
        <v>46130.0</v>
      </c>
      <c r="I617" s="3" t="s">
        <v>803</v>
      </c>
      <c r="J617" s="3" t="s">
        <v>426</v>
      </c>
      <c r="K617" s="3" t="s">
        <v>1879</v>
      </c>
      <c r="L617" s="3">
        <v>0.5319</v>
      </c>
      <c r="M617" s="3">
        <v>13297.5</v>
      </c>
      <c r="N617" s="3">
        <v>2.0</v>
      </c>
      <c r="O617" s="3">
        <v>192600.0</v>
      </c>
      <c r="P617" s="3" t="s">
        <v>1880</v>
      </c>
      <c r="Q617" s="3">
        <v>1142394.0</v>
      </c>
      <c r="R617" s="3"/>
      <c r="S617" s="3">
        <v>9308.25</v>
      </c>
      <c r="T617" s="3" t="s">
        <v>31</v>
      </c>
      <c r="U617" s="3">
        <v>9308.25</v>
      </c>
      <c r="V617" s="5">
        <f>(DATE(2026,2,3)-'RICE_Insured Farms_with PPI Pol'!$G617)+IF('RICE_Insured Farms_with PPI Pol'!$H617&lt;&gt;'RICE_Insured Farms_with PPI Pol'!$G617,18,0)</f>
        <v>46</v>
      </c>
      <c r="W617" s="3" t="str">
        <f t="array" ref="W617">IFS(V617&gt;120, "Harvested", V617&gt;=113, "Yellow Ripening", V617&gt;=101, "Dough Stage", V617&gt;=93, "Milking Stage", V617&gt;=86, "Flowering", V617&gt;=56, "Panicle Initiation/Booting", V617&lt;56, "Vegetative/Tillering")</f>
        <v>Vegetative/Tillering</v>
      </c>
    </row>
    <row r="618" ht="15.75" customHeight="1">
      <c r="A618" s="3">
        <v>617.0</v>
      </c>
      <c r="B618" s="3" t="s">
        <v>23</v>
      </c>
      <c r="C618" s="3" t="s">
        <v>68</v>
      </c>
      <c r="D618" s="3" t="s">
        <v>289</v>
      </c>
      <c r="E618" s="3" t="s">
        <v>339</v>
      </c>
      <c r="F618" s="3">
        <v>1760027.0</v>
      </c>
      <c r="G618" s="4">
        <v>46019.0</v>
      </c>
      <c r="H618" s="4">
        <v>46121.0</v>
      </c>
      <c r="I618" s="3" t="s">
        <v>1881</v>
      </c>
      <c r="J618" s="3" t="s">
        <v>1882</v>
      </c>
      <c r="K618" s="3" t="s">
        <v>846</v>
      </c>
      <c r="L618" s="3">
        <v>0.4246</v>
      </c>
      <c r="M618" s="3">
        <v>10615.0</v>
      </c>
      <c r="N618" s="3">
        <v>3.0</v>
      </c>
      <c r="O618" s="3">
        <v>298785.0</v>
      </c>
      <c r="P618" s="3"/>
      <c r="Q618" s="3">
        <v>1282392.0</v>
      </c>
      <c r="R618" s="3"/>
      <c r="S618" s="3">
        <v>8492.0</v>
      </c>
      <c r="T618" s="3" t="s">
        <v>37</v>
      </c>
      <c r="U618" s="3">
        <v>8492.0</v>
      </c>
      <c r="V618" s="5">
        <f>(DATE(2026,2,3)-'RICE_Insured Farms_with PPI Pol'!$G618)+IF('RICE_Insured Farms_with PPI Pol'!$H618&lt;&gt;'RICE_Insured Farms_with PPI Pol'!$G618,18,0)</f>
        <v>55</v>
      </c>
      <c r="W618" s="3" t="str">
        <f t="array" ref="W618">IFS(V618&gt;120, "Harvested", V618&gt;=113, "Yellow Ripening", V618&gt;=101, "Dough Stage", V618&gt;=93, "Milking Stage", V618&gt;=86, "Flowering", V618&gt;=56, "Panicle Initiation/Booting", V618&lt;56, "Vegetative/Tillering")</f>
        <v>Vegetative/Tillering</v>
      </c>
    </row>
    <row r="619" ht="15.75" customHeight="1">
      <c r="A619" s="3">
        <v>618.0</v>
      </c>
      <c r="B619" s="3" t="s">
        <v>23</v>
      </c>
      <c r="C619" s="3" t="s">
        <v>68</v>
      </c>
      <c r="D619" s="3" t="s">
        <v>289</v>
      </c>
      <c r="E619" s="3" t="s">
        <v>339</v>
      </c>
      <c r="F619" s="3">
        <v>1760027.0</v>
      </c>
      <c r="G619" s="4">
        <v>46019.0</v>
      </c>
      <c r="H619" s="4">
        <v>46121.0</v>
      </c>
      <c r="I619" s="3" t="s">
        <v>1881</v>
      </c>
      <c r="J619" s="3" t="s">
        <v>1882</v>
      </c>
      <c r="K619" s="3" t="s">
        <v>846</v>
      </c>
      <c r="L619" s="3">
        <v>0.3326</v>
      </c>
      <c r="M619" s="3">
        <v>8315.0</v>
      </c>
      <c r="N619" s="3">
        <v>3.0</v>
      </c>
      <c r="O619" s="3">
        <v>298785.0</v>
      </c>
      <c r="P619" s="3"/>
      <c r="Q619" s="3">
        <v>1282394.0</v>
      </c>
      <c r="R619" s="3"/>
      <c r="S619" s="3">
        <v>6652.0</v>
      </c>
      <c r="T619" s="3" t="s">
        <v>37</v>
      </c>
      <c r="U619" s="3">
        <v>6652.0</v>
      </c>
      <c r="V619" s="5">
        <f>(DATE(2026,2,3)-'RICE_Insured Farms_with PPI Pol'!$G619)+IF('RICE_Insured Farms_with PPI Pol'!$H619&lt;&gt;'RICE_Insured Farms_with PPI Pol'!$G619,18,0)</f>
        <v>55</v>
      </c>
      <c r="W619" s="3" t="str">
        <f t="array" ref="W619">IFS(V619&gt;120, "Harvested", V619&gt;=113, "Yellow Ripening", V619&gt;=101, "Dough Stage", V619&gt;=93, "Milking Stage", V619&gt;=86, "Flowering", V619&gt;=56, "Panicle Initiation/Booting", V619&lt;56, "Vegetative/Tillering")</f>
        <v>Vegetative/Tillering</v>
      </c>
    </row>
    <row r="620" ht="15.75" customHeight="1">
      <c r="A620" s="3">
        <v>619.0</v>
      </c>
      <c r="B620" s="3" t="s">
        <v>23</v>
      </c>
      <c r="C620" s="3" t="s">
        <v>68</v>
      </c>
      <c r="D620" s="3" t="s">
        <v>289</v>
      </c>
      <c r="E620" s="3" t="s">
        <v>339</v>
      </c>
      <c r="F620" s="3">
        <v>1760023.0</v>
      </c>
      <c r="G620" s="4">
        <v>46022.0</v>
      </c>
      <c r="H620" s="4">
        <v>46124.0</v>
      </c>
      <c r="I620" s="3" t="s">
        <v>1881</v>
      </c>
      <c r="J620" s="3" t="s">
        <v>1883</v>
      </c>
      <c r="K620" s="3" t="s">
        <v>1884</v>
      </c>
      <c r="L620" s="3">
        <v>0.5018</v>
      </c>
      <c r="M620" s="3">
        <v>12545.0</v>
      </c>
      <c r="N620" s="3">
        <v>3.0</v>
      </c>
      <c r="O620" s="3">
        <v>298807.0</v>
      </c>
      <c r="P620" s="3" t="s">
        <v>1885</v>
      </c>
      <c r="Q620" s="3">
        <v>1282388.0</v>
      </c>
      <c r="R620" s="3"/>
      <c r="S620" s="3">
        <v>10036.0</v>
      </c>
      <c r="T620" s="3" t="s">
        <v>37</v>
      </c>
      <c r="U620" s="3">
        <v>10036.0</v>
      </c>
      <c r="V620" s="5">
        <f>(DATE(2026,2,3)-'RICE_Insured Farms_with PPI Pol'!$G620)+IF('RICE_Insured Farms_with PPI Pol'!$H620&lt;&gt;'RICE_Insured Farms_with PPI Pol'!$G620,18,0)</f>
        <v>52</v>
      </c>
      <c r="W620" s="3" t="str">
        <f t="array" ref="W620">IFS(V620&gt;120, "Harvested", V620&gt;=113, "Yellow Ripening", V620&gt;=101, "Dough Stage", V620&gt;=93, "Milking Stage", V620&gt;=86, "Flowering", V620&gt;=56, "Panicle Initiation/Booting", V620&lt;56, "Vegetative/Tillering")</f>
        <v>Vegetative/Tillering</v>
      </c>
    </row>
    <row r="621" ht="15.75" customHeight="1">
      <c r="A621" s="3">
        <v>620.0</v>
      </c>
      <c r="B621" s="3" t="s">
        <v>23</v>
      </c>
      <c r="C621" s="3" t="s">
        <v>68</v>
      </c>
      <c r="D621" s="3" t="s">
        <v>289</v>
      </c>
      <c r="E621" s="3" t="s">
        <v>774</v>
      </c>
      <c r="F621" s="3">
        <v>1760024.0</v>
      </c>
      <c r="G621" s="4">
        <v>46019.0</v>
      </c>
      <c r="H621" s="4">
        <v>46121.0</v>
      </c>
      <c r="I621" s="3" t="s">
        <v>1886</v>
      </c>
      <c r="J621" s="3" t="s">
        <v>1887</v>
      </c>
      <c r="K621" s="3" t="s">
        <v>1888</v>
      </c>
      <c r="L621" s="3">
        <v>0.3199</v>
      </c>
      <c r="M621" s="3">
        <v>7997.5</v>
      </c>
      <c r="N621" s="3">
        <v>3.0</v>
      </c>
      <c r="O621" s="3">
        <v>431405.0</v>
      </c>
      <c r="P621" s="3" t="s">
        <v>1889</v>
      </c>
      <c r="Q621" s="3">
        <v>1280481.0</v>
      </c>
      <c r="R621" s="3"/>
      <c r="S621" s="3">
        <v>6398.0</v>
      </c>
      <c r="T621" s="3" t="s">
        <v>37</v>
      </c>
      <c r="U621" s="3">
        <v>6398.0</v>
      </c>
      <c r="V621" s="5">
        <f>(DATE(2026,2,3)-'RICE_Insured Farms_with PPI Pol'!$G621)+IF('RICE_Insured Farms_with PPI Pol'!$H621&lt;&gt;'RICE_Insured Farms_with PPI Pol'!$G621,18,0)</f>
        <v>55</v>
      </c>
      <c r="W621" s="3" t="str">
        <f t="array" ref="W621">IFS(V621&gt;120, "Harvested", V621&gt;=113, "Yellow Ripening", V621&gt;=101, "Dough Stage", V621&gt;=93, "Milking Stage", V621&gt;=86, "Flowering", V621&gt;=56, "Panicle Initiation/Booting", V621&lt;56, "Vegetative/Tillering")</f>
        <v>Vegetative/Tillering</v>
      </c>
    </row>
    <row r="622" ht="15.75" customHeight="1">
      <c r="A622" s="3">
        <v>621.0</v>
      </c>
      <c r="B622" s="3" t="s">
        <v>23</v>
      </c>
      <c r="C622" s="3" t="s">
        <v>68</v>
      </c>
      <c r="D622" s="3" t="s">
        <v>289</v>
      </c>
      <c r="E622" s="3" t="s">
        <v>774</v>
      </c>
      <c r="F622" s="3">
        <v>1760025.0</v>
      </c>
      <c r="G622" s="4">
        <v>46022.0</v>
      </c>
      <c r="H622" s="4">
        <v>46124.0</v>
      </c>
      <c r="I622" s="3" t="s">
        <v>1886</v>
      </c>
      <c r="J622" s="3" t="s">
        <v>527</v>
      </c>
      <c r="K622" s="3" t="s">
        <v>775</v>
      </c>
      <c r="L622" s="3">
        <v>0.8542</v>
      </c>
      <c r="M622" s="3">
        <v>21355.0</v>
      </c>
      <c r="N622" s="3">
        <v>3.0</v>
      </c>
      <c r="O622" s="3">
        <v>119822.0</v>
      </c>
      <c r="P622" s="3" t="s">
        <v>1890</v>
      </c>
      <c r="Q622" s="3">
        <v>1280463.0</v>
      </c>
      <c r="R622" s="3"/>
      <c r="S622" s="3">
        <v>17084.0</v>
      </c>
      <c r="T622" s="3" t="s">
        <v>37</v>
      </c>
      <c r="U622" s="3">
        <v>17084.0</v>
      </c>
      <c r="V622" s="5">
        <f>(DATE(2026,2,3)-'RICE_Insured Farms_with PPI Pol'!$G622)+IF('RICE_Insured Farms_with PPI Pol'!$H622&lt;&gt;'RICE_Insured Farms_with PPI Pol'!$G622,18,0)</f>
        <v>52</v>
      </c>
      <c r="W622" s="3" t="str">
        <f t="array" ref="W622">IFS(V622&gt;120, "Harvested", V622&gt;=113, "Yellow Ripening", V622&gt;=101, "Dough Stage", V622&gt;=93, "Milking Stage", V622&gt;=86, "Flowering", V622&gt;=56, "Panicle Initiation/Booting", V622&lt;56, "Vegetative/Tillering")</f>
        <v>Vegetative/Tillering</v>
      </c>
    </row>
    <row r="623" ht="15.75" customHeight="1">
      <c r="A623" s="3">
        <v>622.0</v>
      </c>
      <c r="B623" s="3" t="s">
        <v>23</v>
      </c>
      <c r="C623" s="3" t="s">
        <v>68</v>
      </c>
      <c r="D623" s="3" t="s">
        <v>289</v>
      </c>
      <c r="E623" s="3" t="s">
        <v>774</v>
      </c>
      <c r="F623" s="3">
        <v>1760024.0</v>
      </c>
      <c r="G623" s="4">
        <v>46022.0</v>
      </c>
      <c r="H623" s="4">
        <v>46124.0</v>
      </c>
      <c r="I623" s="3" t="s">
        <v>1886</v>
      </c>
      <c r="J623" s="3" t="s">
        <v>645</v>
      </c>
      <c r="K623" s="3" t="s">
        <v>1891</v>
      </c>
      <c r="L623" s="3">
        <v>0.6622</v>
      </c>
      <c r="M623" s="3">
        <v>16555.0</v>
      </c>
      <c r="N623" s="3">
        <v>3.0</v>
      </c>
      <c r="O623" s="3">
        <v>204783.0</v>
      </c>
      <c r="P623" s="3" t="s">
        <v>1892</v>
      </c>
      <c r="Q623" s="3">
        <v>1280561.0</v>
      </c>
      <c r="R623" s="3"/>
      <c r="S623" s="3">
        <v>13244.0</v>
      </c>
      <c r="T623" s="3" t="s">
        <v>37</v>
      </c>
      <c r="U623" s="3">
        <v>13244.0</v>
      </c>
      <c r="V623" s="5">
        <f>(DATE(2026,2,3)-'RICE_Insured Farms_with PPI Pol'!$G623)+IF('RICE_Insured Farms_with PPI Pol'!$H623&lt;&gt;'RICE_Insured Farms_with PPI Pol'!$G623,18,0)</f>
        <v>52</v>
      </c>
      <c r="W623" s="3" t="str">
        <f t="array" ref="W623">IFS(V623&gt;120, "Harvested", V623&gt;=113, "Yellow Ripening", V623&gt;=101, "Dough Stage", V623&gt;=93, "Milking Stage", V623&gt;=86, "Flowering", V623&gt;=56, "Panicle Initiation/Booting", V623&lt;56, "Vegetative/Tillering")</f>
        <v>Vegetative/Tillering</v>
      </c>
    </row>
    <row r="624" ht="15.75" hidden="1" customHeight="1">
      <c r="A624" s="3">
        <v>623.0</v>
      </c>
      <c r="B624" s="3" t="s">
        <v>23</v>
      </c>
      <c r="C624" s="3" t="s">
        <v>68</v>
      </c>
      <c r="D624" s="3" t="s">
        <v>289</v>
      </c>
      <c r="E624" s="3" t="s">
        <v>507</v>
      </c>
      <c r="F624" s="3">
        <v>1760030.0</v>
      </c>
      <c r="G624" s="4">
        <v>46031.0</v>
      </c>
      <c r="H624" s="4">
        <v>46133.0</v>
      </c>
      <c r="I624" s="3" t="s">
        <v>815</v>
      </c>
      <c r="J624" s="3" t="s">
        <v>1893</v>
      </c>
      <c r="K624" s="3" t="s">
        <v>1894</v>
      </c>
      <c r="L624" s="3">
        <v>0.7812</v>
      </c>
      <c r="M624" s="3">
        <v>19530.0</v>
      </c>
      <c r="N624" s="3">
        <v>2.0</v>
      </c>
      <c r="O624" s="3">
        <v>82361.0</v>
      </c>
      <c r="P624" s="3" t="s">
        <v>1895</v>
      </c>
      <c r="Q624" s="3">
        <v>1280371.0</v>
      </c>
      <c r="R624" s="3"/>
      <c r="S624" s="3">
        <v>13671.0</v>
      </c>
      <c r="T624" s="3" t="s">
        <v>31</v>
      </c>
      <c r="U624" s="3">
        <v>13671.0</v>
      </c>
      <c r="V624" s="5">
        <f>(DATE(2026,2,3)-'RICE_Insured Farms_with PPI Pol'!$G624)+IF('RICE_Insured Farms_with PPI Pol'!$H624&lt;&gt;'RICE_Insured Farms_with PPI Pol'!$G624,18,0)</f>
        <v>43</v>
      </c>
      <c r="W624" s="3" t="str">
        <f t="array" ref="W624">IFS(V624&gt;120, "Harvested", V624&gt;=113, "Yellow Ripening", V624&gt;=101, "Dough Stage", V624&gt;=93, "Milking Stage", V624&gt;=86, "Flowering", V624&gt;=56, "Panicle Initiation/Booting", V624&lt;56, "Vegetative/Tillering")</f>
        <v>Vegetative/Tillering</v>
      </c>
    </row>
    <row r="625" ht="15.75" hidden="1" customHeight="1">
      <c r="A625" s="3">
        <v>624.0</v>
      </c>
      <c r="B625" s="3" t="s">
        <v>23</v>
      </c>
      <c r="C625" s="3" t="s">
        <v>68</v>
      </c>
      <c r="D625" s="3" t="s">
        <v>289</v>
      </c>
      <c r="E625" s="3" t="s">
        <v>507</v>
      </c>
      <c r="F625" s="3">
        <v>1760030.0</v>
      </c>
      <c r="G625" s="4">
        <v>46031.0</v>
      </c>
      <c r="H625" s="4">
        <v>46133.0</v>
      </c>
      <c r="I625" s="3" t="s">
        <v>815</v>
      </c>
      <c r="J625" s="3" t="s">
        <v>1893</v>
      </c>
      <c r="K625" s="3" t="s">
        <v>1894</v>
      </c>
      <c r="L625" s="3">
        <v>1.2466</v>
      </c>
      <c r="M625" s="3">
        <v>31165.0</v>
      </c>
      <c r="N625" s="3">
        <v>2.0</v>
      </c>
      <c r="O625" s="3">
        <v>82361.0</v>
      </c>
      <c r="P625" s="3" t="s">
        <v>1895</v>
      </c>
      <c r="Q625" s="3">
        <v>1280372.0</v>
      </c>
      <c r="R625" s="3"/>
      <c r="S625" s="3">
        <v>21815.5</v>
      </c>
      <c r="T625" s="3" t="s">
        <v>31</v>
      </c>
      <c r="U625" s="3">
        <v>21815.5</v>
      </c>
      <c r="V625" s="5">
        <f>(DATE(2026,2,3)-'RICE_Insured Farms_with PPI Pol'!$G625)+IF('RICE_Insured Farms_with PPI Pol'!$H625&lt;&gt;'RICE_Insured Farms_with PPI Pol'!$G625,18,0)</f>
        <v>43</v>
      </c>
      <c r="W625" s="3" t="str">
        <f t="array" ref="W625">IFS(V625&gt;120, "Harvested", V625&gt;=113, "Yellow Ripening", V625&gt;=101, "Dough Stage", V625&gt;=93, "Milking Stage", V625&gt;=86, "Flowering", V625&gt;=56, "Panicle Initiation/Booting", V625&lt;56, "Vegetative/Tillering")</f>
        <v>Vegetative/Tillering</v>
      </c>
    </row>
    <row r="626" ht="15.75" hidden="1" customHeight="1">
      <c r="A626" s="3">
        <v>625.0</v>
      </c>
      <c r="B626" s="3" t="s">
        <v>23</v>
      </c>
      <c r="C626" s="3" t="s">
        <v>311</v>
      </c>
      <c r="D626" s="3" t="s">
        <v>329</v>
      </c>
      <c r="E626" s="3" t="s">
        <v>330</v>
      </c>
      <c r="F626" s="3">
        <v>1740206.0</v>
      </c>
      <c r="G626" s="4">
        <v>46038.0</v>
      </c>
      <c r="H626" s="4">
        <v>46138.0</v>
      </c>
      <c r="I626" s="3" t="s">
        <v>815</v>
      </c>
      <c r="J626" s="3" t="s">
        <v>791</v>
      </c>
      <c r="K626" s="3" t="s">
        <v>1896</v>
      </c>
      <c r="L626" s="3">
        <v>2.177</v>
      </c>
      <c r="M626" s="3">
        <v>54425.0</v>
      </c>
      <c r="N626" s="3">
        <v>2.0</v>
      </c>
      <c r="O626" s="3">
        <v>159631.0</v>
      </c>
      <c r="P626" s="3" t="s">
        <v>1897</v>
      </c>
      <c r="Q626" s="3">
        <v>1315646.0</v>
      </c>
      <c r="R626" s="3"/>
      <c r="S626" s="3">
        <v>38097.5</v>
      </c>
      <c r="T626" s="3" t="s">
        <v>31</v>
      </c>
      <c r="U626" s="3">
        <v>38097.5</v>
      </c>
      <c r="V626" s="5">
        <f>(DATE(2026,2,3)-'RICE_Insured Farms_with PPI Pol'!$G626)+IF('RICE_Insured Farms_with PPI Pol'!$H626&lt;&gt;'RICE_Insured Farms_with PPI Pol'!$G626,18,0)</f>
        <v>36</v>
      </c>
      <c r="W626" s="3" t="str">
        <f t="array" ref="W626">IFS(V626&gt;120, "Harvested", V626&gt;=113, "Yellow Ripening", V626&gt;=101, "Dough Stage", V626&gt;=93, "Milking Stage", V626&gt;=86, "Flowering", V626&gt;=56, "Panicle Initiation/Booting", V626&lt;56, "Vegetative/Tillering")</f>
        <v>Vegetative/Tillering</v>
      </c>
    </row>
    <row r="627" ht="15.75" customHeight="1">
      <c r="A627" s="3">
        <v>626.0</v>
      </c>
      <c r="B627" s="3" t="s">
        <v>23</v>
      </c>
      <c r="C627" s="3" t="s">
        <v>68</v>
      </c>
      <c r="D627" s="3" t="s">
        <v>289</v>
      </c>
      <c r="E627" s="3" t="s">
        <v>507</v>
      </c>
      <c r="F627" s="3">
        <v>1760016.0</v>
      </c>
      <c r="G627" s="4">
        <v>46020.0</v>
      </c>
      <c r="H627" s="4">
        <v>46122.0</v>
      </c>
      <c r="I627" s="3" t="s">
        <v>815</v>
      </c>
      <c r="J627" s="3" t="s">
        <v>676</v>
      </c>
      <c r="K627" s="3" t="s">
        <v>1898</v>
      </c>
      <c r="L627" s="3">
        <v>0.4377</v>
      </c>
      <c r="M627" s="3">
        <v>10942.5</v>
      </c>
      <c r="N627" s="3">
        <v>3.0</v>
      </c>
      <c r="O627" s="3">
        <v>15841.0</v>
      </c>
      <c r="P627" s="3" t="s">
        <v>1899</v>
      </c>
      <c r="Q627" s="3">
        <v>1140512.0</v>
      </c>
      <c r="R627" s="3"/>
      <c r="S627" s="3">
        <v>8754.0</v>
      </c>
      <c r="T627" s="3" t="s">
        <v>37</v>
      </c>
      <c r="U627" s="3">
        <v>8754.0</v>
      </c>
      <c r="V627" s="5">
        <f>(DATE(2026,2,3)-'RICE_Insured Farms_with PPI Pol'!$G627)+IF('RICE_Insured Farms_with PPI Pol'!$H627&lt;&gt;'RICE_Insured Farms_with PPI Pol'!$G627,18,0)</f>
        <v>54</v>
      </c>
      <c r="W627" s="3" t="str">
        <f t="array" ref="W627">IFS(V627&gt;120, "Harvested", V627&gt;=113, "Yellow Ripening", V627&gt;=101, "Dough Stage", V627&gt;=93, "Milking Stage", V627&gt;=86, "Flowering", V627&gt;=56, "Panicle Initiation/Booting", V627&lt;56, "Vegetative/Tillering")</f>
        <v>Vegetative/Tillering</v>
      </c>
    </row>
    <row r="628" ht="15.75" customHeight="1">
      <c r="A628" s="3">
        <v>627.0</v>
      </c>
      <c r="B628" s="3" t="s">
        <v>23</v>
      </c>
      <c r="C628" s="3" t="s">
        <v>68</v>
      </c>
      <c r="D628" s="3" t="s">
        <v>289</v>
      </c>
      <c r="E628" s="3" t="s">
        <v>571</v>
      </c>
      <c r="F628" s="3">
        <v>1760010.0</v>
      </c>
      <c r="G628" s="4">
        <v>46028.0</v>
      </c>
      <c r="H628" s="4">
        <v>46120.0</v>
      </c>
      <c r="I628" s="3" t="s">
        <v>1900</v>
      </c>
      <c r="J628" s="3" t="s">
        <v>1381</v>
      </c>
      <c r="K628" s="3" t="s">
        <v>1901</v>
      </c>
      <c r="L628" s="3">
        <v>0.9043</v>
      </c>
      <c r="M628" s="3">
        <v>22607.5</v>
      </c>
      <c r="N628" s="3">
        <v>3.0</v>
      </c>
      <c r="O628" s="3">
        <v>305646.0</v>
      </c>
      <c r="P628" s="3" t="s">
        <v>1902</v>
      </c>
      <c r="Q628" s="3">
        <v>1029703.0</v>
      </c>
      <c r="R628" s="3"/>
      <c r="S628" s="3">
        <v>18086.0</v>
      </c>
      <c r="T628" s="3" t="s">
        <v>37</v>
      </c>
      <c r="U628" s="3">
        <v>18086.0</v>
      </c>
      <c r="V628" s="5">
        <f>(DATE(2026,2,3)-'RICE_Insured Farms_with PPI Pol'!$G628)+IF('RICE_Insured Farms_with PPI Pol'!$H628&lt;&gt;'RICE_Insured Farms_with PPI Pol'!$G628,18,0)</f>
        <v>46</v>
      </c>
      <c r="W628" s="3" t="str">
        <f t="array" ref="W628">IFS(V628&gt;120, "Harvested", V628&gt;=113, "Yellow Ripening", V628&gt;=101, "Dough Stage", V628&gt;=93, "Milking Stage", V628&gt;=86, "Flowering", V628&gt;=56, "Panicle Initiation/Booting", V628&lt;56, "Vegetative/Tillering")</f>
        <v>Vegetative/Tillering</v>
      </c>
    </row>
    <row r="629" ht="15.75" hidden="1" customHeight="1">
      <c r="A629" s="3">
        <v>628.0</v>
      </c>
      <c r="B629" s="3" t="s">
        <v>23</v>
      </c>
      <c r="C629" s="3" t="s">
        <v>68</v>
      </c>
      <c r="D629" s="3" t="s">
        <v>289</v>
      </c>
      <c r="E629" s="3" t="s">
        <v>507</v>
      </c>
      <c r="F629" s="3">
        <v>1760006.0</v>
      </c>
      <c r="G629" s="4">
        <v>46032.0</v>
      </c>
      <c r="H629" s="4">
        <v>46134.0</v>
      </c>
      <c r="I629" s="3" t="s">
        <v>1903</v>
      </c>
      <c r="J629" s="3" t="s">
        <v>1904</v>
      </c>
      <c r="K629" s="3" t="s">
        <v>642</v>
      </c>
      <c r="L629" s="3">
        <v>0.447</v>
      </c>
      <c r="M629" s="3">
        <v>11175.0</v>
      </c>
      <c r="N629" s="3">
        <v>2.0</v>
      </c>
      <c r="O629" s="3">
        <v>66092.0</v>
      </c>
      <c r="P629" s="3" t="s">
        <v>1905</v>
      </c>
      <c r="Q629" s="3">
        <v>1155791.0</v>
      </c>
      <c r="R629" s="3"/>
      <c r="S629" s="3">
        <v>7822.5</v>
      </c>
      <c r="T629" s="3" t="s">
        <v>31</v>
      </c>
      <c r="U629" s="3">
        <v>7822.5</v>
      </c>
      <c r="V629" s="5">
        <f>(DATE(2026,2,3)-'RICE_Insured Farms_with PPI Pol'!$G629)+IF('RICE_Insured Farms_with PPI Pol'!$H629&lt;&gt;'RICE_Insured Farms_with PPI Pol'!$G629,18,0)</f>
        <v>42</v>
      </c>
      <c r="W629" s="3" t="str">
        <f t="array" ref="W629">IFS(V629&gt;120, "Harvested", V629&gt;=113, "Yellow Ripening", V629&gt;=101, "Dough Stage", V629&gt;=93, "Milking Stage", V629&gt;=86, "Flowering", V629&gt;=56, "Panicle Initiation/Booting", V629&lt;56, "Vegetative/Tillering")</f>
        <v>Vegetative/Tillering</v>
      </c>
    </row>
    <row r="630" ht="15.75" hidden="1" customHeight="1">
      <c r="A630" s="3">
        <v>629.0</v>
      </c>
      <c r="B630" s="3" t="s">
        <v>23</v>
      </c>
      <c r="C630" s="3" t="s">
        <v>68</v>
      </c>
      <c r="D630" s="3" t="s">
        <v>289</v>
      </c>
      <c r="E630" s="3" t="s">
        <v>507</v>
      </c>
      <c r="F630" s="3">
        <v>1760006.0</v>
      </c>
      <c r="G630" s="4">
        <v>46026.0</v>
      </c>
      <c r="H630" s="4">
        <v>46128.0</v>
      </c>
      <c r="I630" s="3" t="s">
        <v>1903</v>
      </c>
      <c r="J630" s="3" t="s">
        <v>1904</v>
      </c>
      <c r="K630" s="3" t="s">
        <v>642</v>
      </c>
      <c r="L630" s="3">
        <v>0.7968</v>
      </c>
      <c r="M630" s="3">
        <v>19920.0</v>
      </c>
      <c r="N630" s="3">
        <v>2.0</v>
      </c>
      <c r="O630" s="3">
        <v>66092.0</v>
      </c>
      <c r="P630" s="3" t="s">
        <v>1905</v>
      </c>
      <c r="Q630" s="3">
        <v>1155793.0</v>
      </c>
      <c r="R630" s="3"/>
      <c r="S630" s="3">
        <v>13944.0</v>
      </c>
      <c r="T630" s="3" t="s">
        <v>31</v>
      </c>
      <c r="U630" s="3">
        <v>13944.0</v>
      </c>
      <c r="V630" s="5">
        <f>(DATE(2026,2,3)-'RICE_Insured Farms_with PPI Pol'!$G630)+IF('RICE_Insured Farms_with PPI Pol'!$H630&lt;&gt;'RICE_Insured Farms_with PPI Pol'!$G630,18,0)</f>
        <v>48</v>
      </c>
      <c r="W630" s="3" t="str">
        <f t="array" ref="W630">IFS(V630&gt;120, "Harvested", V630&gt;=113, "Yellow Ripening", V630&gt;=101, "Dough Stage", V630&gt;=93, "Milking Stage", V630&gt;=86, "Flowering", V630&gt;=56, "Panicle Initiation/Booting", V630&lt;56, "Vegetative/Tillering")</f>
        <v>Vegetative/Tillering</v>
      </c>
    </row>
    <row r="631" ht="15.75" hidden="1" customHeight="1">
      <c r="A631" s="3">
        <v>630.0</v>
      </c>
      <c r="B631" s="3" t="s">
        <v>23</v>
      </c>
      <c r="C631" s="3" t="s">
        <v>1453</v>
      </c>
      <c r="D631" s="3" t="s">
        <v>1454</v>
      </c>
      <c r="E631" s="3" t="s">
        <v>1246</v>
      </c>
      <c r="F631" s="3">
        <v>1742093.0</v>
      </c>
      <c r="G631" s="4">
        <v>46037.0</v>
      </c>
      <c r="H631" s="4">
        <v>46139.0</v>
      </c>
      <c r="I631" s="3" t="s">
        <v>1906</v>
      </c>
      <c r="J631" s="3" t="s">
        <v>1907</v>
      </c>
      <c r="K631" s="3" t="s">
        <v>1908</v>
      </c>
      <c r="L631" s="3">
        <v>0.25</v>
      </c>
      <c r="M631" s="3">
        <v>6250.0</v>
      </c>
      <c r="N631" s="3">
        <v>2.0</v>
      </c>
      <c r="O631" s="3">
        <v>439307.0</v>
      </c>
      <c r="P631" s="3" t="s">
        <v>1909</v>
      </c>
      <c r="Q631" s="3">
        <v>1317557.0</v>
      </c>
      <c r="R631" s="3"/>
      <c r="S631" s="3">
        <v>4375.0</v>
      </c>
      <c r="T631" s="3" t="s">
        <v>31</v>
      </c>
      <c r="U631" s="3">
        <v>4375.0</v>
      </c>
      <c r="V631" s="5">
        <f>(DATE(2026,2,3)-'RICE_Insured Farms_with PPI Pol'!$G631)+IF('RICE_Insured Farms_with PPI Pol'!$H631&lt;&gt;'RICE_Insured Farms_with PPI Pol'!$G631,18,0)</f>
        <v>37</v>
      </c>
      <c r="W631" s="3" t="str">
        <f t="array" ref="W631">IFS(V631&gt;120, "Harvested", V631&gt;=113, "Yellow Ripening", V631&gt;=101, "Dough Stage", V631&gt;=93, "Milking Stage", V631&gt;=86, "Flowering", V631&gt;=56, "Panicle Initiation/Booting", V631&lt;56, "Vegetative/Tillering")</f>
        <v>Vegetative/Tillering</v>
      </c>
    </row>
    <row r="632" ht="15.75" hidden="1" customHeight="1">
      <c r="A632" s="3">
        <v>631.0</v>
      </c>
      <c r="B632" s="3" t="s">
        <v>23</v>
      </c>
      <c r="C632" s="3" t="s">
        <v>1453</v>
      </c>
      <c r="D632" s="3" t="s">
        <v>1454</v>
      </c>
      <c r="E632" s="3" t="s">
        <v>1246</v>
      </c>
      <c r="F632" s="3">
        <v>1742093.0</v>
      </c>
      <c r="G632" s="4">
        <v>46036.0</v>
      </c>
      <c r="H632" s="4">
        <v>46138.0</v>
      </c>
      <c r="I632" s="3" t="s">
        <v>1906</v>
      </c>
      <c r="J632" s="3" t="s">
        <v>1907</v>
      </c>
      <c r="K632" s="3" t="s">
        <v>1908</v>
      </c>
      <c r="L632" s="3">
        <v>0.1338</v>
      </c>
      <c r="M632" s="3">
        <v>3345.0</v>
      </c>
      <c r="N632" s="3">
        <v>2.0</v>
      </c>
      <c r="O632" s="3">
        <v>439307.0</v>
      </c>
      <c r="P632" s="3" t="s">
        <v>1909</v>
      </c>
      <c r="Q632" s="3">
        <v>1317559.0</v>
      </c>
      <c r="R632" s="3"/>
      <c r="S632" s="3">
        <v>2341.5</v>
      </c>
      <c r="T632" s="3" t="s">
        <v>31</v>
      </c>
      <c r="U632" s="3">
        <v>2341.5</v>
      </c>
      <c r="V632" s="5">
        <f>(DATE(2026,2,3)-'RICE_Insured Farms_with PPI Pol'!$G632)+IF('RICE_Insured Farms_with PPI Pol'!$H632&lt;&gt;'RICE_Insured Farms_with PPI Pol'!$G632,18,0)</f>
        <v>38</v>
      </c>
      <c r="W632" s="3" t="str">
        <f t="array" ref="W632">IFS(V632&gt;120, "Harvested", V632&gt;=113, "Yellow Ripening", V632&gt;=101, "Dough Stage", V632&gt;=93, "Milking Stage", V632&gt;=86, "Flowering", V632&gt;=56, "Panicle Initiation/Booting", V632&lt;56, "Vegetative/Tillering")</f>
        <v>Vegetative/Tillering</v>
      </c>
    </row>
    <row r="633" ht="15.75" hidden="1" customHeight="1">
      <c r="A633" s="3">
        <v>632.0</v>
      </c>
      <c r="B633" s="3" t="s">
        <v>23</v>
      </c>
      <c r="C633" s="3" t="s">
        <v>68</v>
      </c>
      <c r="D633" s="3" t="s">
        <v>289</v>
      </c>
      <c r="E633" s="3" t="s">
        <v>352</v>
      </c>
      <c r="F633" s="3">
        <v>1760050.0</v>
      </c>
      <c r="G633" s="4">
        <v>46040.0</v>
      </c>
      <c r="H633" s="4">
        <v>46142.0</v>
      </c>
      <c r="I633" s="3" t="s">
        <v>1910</v>
      </c>
      <c r="J633" s="3" t="s">
        <v>1911</v>
      </c>
      <c r="K633" s="3" t="s">
        <v>1912</v>
      </c>
      <c r="L633" s="3">
        <v>1.1722</v>
      </c>
      <c r="M633" s="3">
        <v>29305.0</v>
      </c>
      <c r="N633" s="3">
        <v>2.0</v>
      </c>
      <c r="O633" s="3">
        <v>299713.0</v>
      </c>
      <c r="P633" s="3"/>
      <c r="Q633" s="3">
        <v>1285743.0</v>
      </c>
      <c r="R633" s="3"/>
      <c r="S633" s="3">
        <v>20513.5</v>
      </c>
      <c r="T633" s="3" t="s">
        <v>31</v>
      </c>
      <c r="U633" s="3">
        <v>20513.5</v>
      </c>
      <c r="V633" s="5">
        <f>(DATE(2026,2,3)-'RICE_Insured Farms_with PPI Pol'!$G633)+IF('RICE_Insured Farms_with PPI Pol'!$H633&lt;&gt;'RICE_Insured Farms_with PPI Pol'!$G633,18,0)</f>
        <v>34</v>
      </c>
      <c r="W633" s="3" t="str">
        <f t="array" ref="W633">IFS(V633&gt;120, "Harvested", V633&gt;=113, "Yellow Ripening", V633&gt;=101, "Dough Stage", V633&gt;=93, "Milking Stage", V633&gt;=86, "Flowering", V633&gt;=56, "Panicle Initiation/Booting", V633&lt;56, "Vegetative/Tillering")</f>
        <v>Vegetative/Tillering</v>
      </c>
    </row>
    <row r="634" ht="15.75" hidden="1" customHeight="1">
      <c r="A634" s="3">
        <v>944.0</v>
      </c>
      <c r="B634" s="3" t="s">
        <v>23</v>
      </c>
      <c r="C634" s="3" t="s">
        <v>24</v>
      </c>
      <c r="D634" s="3" t="s">
        <v>25</v>
      </c>
      <c r="E634" s="3" t="s">
        <v>1164</v>
      </c>
      <c r="F634" s="3">
        <v>1760491.0</v>
      </c>
      <c r="G634" s="4">
        <v>46012.0</v>
      </c>
      <c r="H634" s="4">
        <v>46110.0</v>
      </c>
      <c r="I634" s="3" t="s">
        <v>1913</v>
      </c>
      <c r="J634" s="3" t="s">
        <v>1914</v>
      </c>
      <c r="K634" s="3" t="s">
        <v>163</v>
      </c>
      <c r="L634" s="3">
        <v>0.3503</v>
      </c>
      <c r="M634" s="3">
        <v>8757.5</v>
      </c>
      <c r="N634" s="3">
        <v>4.0</v>
      </c>
      <c r="O634" s="3">
        <v>356338.0</v>
      </c>
      <c r="P634" s="3"/>
      <c r="Q634" s="3">
        <v>1276808.0</v>
      </c>
      <c r="R634" s="3"/>
      <c r="S634" s="3">
        <v>7006.0</v>
      </c>
      <c r="T634" s="3" t="s">
        <v>56</v>
      </c>
      <c r="U634" s="3">
        <v>7006.0</v>
      </c>
      <c r="V634" s="5">
        <f>(DATE(2026,2,3)-'RICE_Insured Farms_with PPI Pol'!$G634)+IF('RICE_Insured Farms_with PPI Pol'!$H634&lt;&gt;'RICE_Insured Farms_with PPI Pol'!$G634,18,0)</f>
        <v>62</v>
      </c>
      <c r="W634" s="3" t="str">
        <f t="array" ref="W634">IFS(V634&gt;120, "Harvested", V634&gt;=113, "Yellow Ripening", V634&gt;=101, "Dough Stage", V634&gt;=93, "Milking Stage", V634&gt;=86, "Flowering", V634&gt;=56, "Panicle Initiation/Booting", V634&lt;56, "Vegetative/Tillering")</f>
        <v>Panicle Initiation/Booting</v>
      </c>
    </row>
    <row r="635" ht="15.75" hidden="1" customHeight="1">
      <c r="A635" s="3">
        <v>945.0</v>
      </c>
      <c r="B635" s="3" t="s">
        <v>23</v>
      </c>
      <c r="C635" s="3" t="s">
        <v>24</v>
      </c>
      <c r="D635" s="3" t="s">
        <v>25</v>
      </c>
      <c r="E635" s="3" t="s">
        <v>1164</v>
      </c>
      <c r="F635" s="3">
        <v>1760491.0</v>
      </c>
      <c r="G635" s="4">
        <v>46012.0</v>
      </c>
      <c r="H635" s="4">
        <v>46110.0</v>
      </c>
      <c r="I635" s="3" t="s">
        <v>1913</v>
      </c>
      <c r="J635" s="3" t="s">
        <v>1914</v>
      </c>
      <c r="K635" s="3" t="s">
        <v>163</v>
      </c>
      <c r="L635" s="3">
        <v>0.3442</v>
      </c>
      <c r="M635" s="3">
        <v>8605.0</v>
      </c>
      <c r="N635" s="3">
        <v>4.0</v>
      </c>
      <c r="O635" s="3">
        <v>356338.0</v>
      </c>
      <c r="P635" s="3"/>
      <c r="Q635" s="3">
        <v>1276810.0</v>
      </c>
      <c r="R635" s="3"/>
      <c r="S635" s="3">
        <v>6884.0</v>
      </c>
      <c r="T635" s="3" t="s">
        <v>56</v>
      </c>
      <c r="U635" s="3">
        <v>6884.0</v>
      </c>
      <c r="V635" s="5">
        <f>(DATE(2026,2,3)-'RICE_Insured Farms_with PPI Pol'!$G635)+IF('RICE_Insured Farms_with PPI Pol'!$H635&lt;&gt;'RICE_Insured Farms_with PPI Pol'!$G635,18,0)</f>
        <v>62</v>
      </c>
      <c r="W635" s="3" t="str">
        <f t="array" ref="W635">IFS(V635&gt;120, "Harvested", V635&gt;=113, "Yellow Ripening", V635&gt;=101, "Dough Stage", V635&gt;=93, "Milking Stage", V635&gt;=86, "Flowering", V635&gt;=56, "Panicle Initiation/Booting", V635&lt;56, "Vegetative/Tillering")</f>
        <v>Panicle Initiation/Booting</v>
      </c>
    </row>
    <row r="636" ht="15.75" customHeight="1">
      <c r="A636" s="3">
        <v>635.0</v>
      </c>
      <c r="B636" s="3" t="s">
        <v>1776</v>
      </c>
      <c r="C636" s="3" t="s">
        <v>24</v>
      </c>
      <c r="D636" s="3" t="s">
        <v>25</v>
      </c>
      <c r="E636" s="3" t="s">
        <v>1374</v>
      </c>
      <c r="F636" s="3">
        <v>1760471.0</v>
      </c>
      <c r="G636" s="4">
        <v>46022.0</v>
      </c>
      <c r="H636" s="4">
        <v>46117.0</v>
      </c>
      <c r="I636" s="3" t="s">
        <v>1915</v>
      </c>
      <c r="J636" s="3" t="s">
        <v>454</v>
      </c>
      <c r="K636" s="3" t="s">
        <v>1200</v>
      </c>
      <c r="L636" s="3">
        <v>0.218</v>
      </c>
      <c r="M636" s="3">
        <v>4360.0</v>
      </c>
      <c r="N636" s="3">
        <v>3.0</v>
      </c>
      <c r="O636" s="3">
        <v>448677.0</v>
      </c>
      <c r="P636" s="3" t="s">
        <v>1916</v>
      </c>
      <c r="Q636" s="3">
        <v>1232280.0</v>
      </c>
      <c r="R636" s="3"/>
      <c r="S636" s="3">
        <v>3488.0</v>
      </c>
      <c r="T636" s="3" t="s">
        <v>37</v>
      </c>
      <c r="U636" s="3">
        <v>3488.0</v>
      </c>
      <c r="V636" s="5">
        <f>(DATE(2026,2,3)-'RICE_Insured Farms_with PPI Pol'!$G636)+IF('RICE_Insured Farms_with PPI Pol'!$H636&lt;&gt;'RICE_Insured Farms_with PPI Pol'!$G636,18,0)</f>
        <v>52</v>
      </c>
      <c r="W636" s="3" t="str">
        <f t="array" ref="W636">IFS(V636&gt;120, "Harvested", V636&gt;=113, "Yellow Ripening", V636&gt;=101, "Dough Stage", V636&gt;=93, "Milking Stage", V636&gt;=86, "Flowering", V636&gt;=56, "Panicle Initiation/Booting", V636&lt;56, "Vegetative/Tillering")</f>
        <v>Vegetative/Tillering</v>
      </c>
    </row>
    <row r="637" ht="15.75" hidden="1" customHeight="1">
      <c r="A637" s="3">
        <v>636.0</v>
      </c>
      <c r="B637" s="3" t="s">
        <v>23</v>
      </c>
      <c r="C637" s="3" t="s">
        <v>68</v>
      </c>
      <c r="D637" s="3" t="s">
        <v>289</v>
      </c>
      <c r="E637" s="3" t="s">
        <v>743</v>
      </c>
      <c r="F637" s="3">
        <v>1760041.0</v>
      </c>
      <c r="G637" s="4">
        <v>46032.0</v>
      </c>
      <c r="H637" s="4">
        <v>46134.0</v>
      </c>
      <c r="I637" s="3" t="s">
        <v>1917</v>
      </c>
      <c r="J637" s="3" t="s">
        <v>1918</v>
      </c>
      <c r="K637" s="3" t="s">
        <v>1919</v>
      </c>
      <c r="L637" s="3">
        <v>0.6445</v>
      </c>
      <c r="M637" s="3">
        <v>16112.5</v>
      </c>
      <c r="N637" s="3">
        <v>2.0</v>
      </c>
      <c r="O637" s="3">
        <v>120601.0</v>
      </c>
      <c r="P637" s="3" t="s">
        <v>1920</v>
      </c>
      <c r="Q637" s="3">
        <v>1190263.0</v>
      </c>
      <c r="R637" s="3"/>
      <c r="S637" s="3">
        <v>11278.75</v>
      </c>
      <c r="T637" s="3" t="s">
        <v>31</v>
      </c>
      <c r="U637" s="3">
        <v>11278.75</v>
      </c>
      <c r="V637" s="5">
        <f>(DATE(2026,2,3)-'RICE_Insured Farms_with PPI Pol'!$G637)+IF('RICE_Insured Farms_with PPI Pol'!$H637&lt;&gt;'RICE_Insured Farms_with PPI Pol'!$G637,18,0)</f>
        <v>42</v>
      </c>
      <c r="W637" s="3" t="str">
        <f t="array" ref="W637">IFS(V637&gt;120, "Harvested", V637&gt;=113, "Yellow Ripening", V637&gt;=101, "Dough Stage", V637&gt;=93, "Milking Stage", V637&gt;=86, "Flowering", V637&gt;=56, "Panicle Initiation/Booting", V637&lt;56, "Vegetative/Tillering")</f>
        <v>Vegetative/Tillering</v>
      </c>
    </row>
    <row r="638" ht="15.75" hidden="1" customHeight="1">
      <c r="A638" s="3">
        <v>637.0</v>
      </c>
      <c r="B638" s="3" t="s">
        <v>23</v>
      </c>
      <c r="C638" s="3" t="s">
        <v>68</v>
      </c>
      <c r="D638" s="3" t="s">
        <v>289</v>
      </c>
      <c r="E638" s="3" t="s">
        <v>743</v>
      </c>
      <c r="F638" s="3">
        <v>1760035.0</v>
      </c>
      <c r="G638" s="4">
        <v>46033.0</v>
      </c>
      <c r="H638" s="4">
        <v>46135.0</v>
      </c>
      <c r="I638" s="3" t="s">
        <v>1917</v>
      </c>
      <c r="J638" s="3" t="s">
        <v>621</v>
      </c>
      <c r="K638" s="3" t="s">
        <v>1921</v>
      </c>
      <c r="L638" s="3">
        <v>0.6825</v>
      </c>
      <c r="M638" s="3">
        <v>17062.5</v>
      </c>
      <c r="N638" s="3">
        <v>2.0</v>
      </c>
      <c r="O638" s="3">
        <v>98978.0</v>
      </c>
      <c r="P638" s="3" t="s">
        <v>1922</v>
      </c>
      <c r="Q638" s="3">
        <v>1285393.0</v>
      </c>
      <c r="R638" s="3"/>
      <c r="S638" s="3">
        <v>11943.75</v>
      </c>
      <c r="T638" s="3" t="s">
        <v>31</v>
      </c>
      <c r="U638" s="3">
        <v>11943.75</v>
      </c>
      <c r="V638" s="5">
        <f>(DATE(2026,2,3)-'RICE_Insured Farms_with PPI Pol'!$G638)+IF('RICE_Insured Farms_with PPI Pol'!$H638&lt;&gt;'RICE_Insured Farms_with PPI Pol'!$G638,18,0)</f>
        <v>41</v>
      </c>
      <c r="W638" s="3" t="str">
        <f t="array" ref="W638">IFS(V638&gt;120, "Harvested", V638&gt;=113, "Yellow Ripening", V638&gt;=101, "Dough Stage", V638&gt;=93, "Milking Stage", V638&gt;=86, "Flowering", V638&gt;=56, "Panicle Initiation/Booting", V638&lt;56, "Vegetative/Tillering")</f>
        <v>Vegetative/Tillering</v>
      </c>
    </row>
    <row r="639" ht="15.75" customHeight="1">
      <c r="A639" s="3">
        <v>638.0</v>
      </c>
      <c r="B639" s="3" t="s">
        <v>23</v>
      </c>
      <c r="C639" s="3" t="s">
        <v>24</v>
      </c>
      <c r="D639" s="3" t="s">
        <v>538</v>
      </c>
      <c r="E639" s="3" t="s">
        <v>1138</v>
      </c>
      <c r="F639" s="3">
        <v>1190664.0</v>
      </c>
      <c r="G639" s="4">
        <v>46025.0</v>
      </c>
      <c r="H639" s="4">
        <v>46120.0</v>
      </c>
      <c r="I639" s="3" t="s">
        <v>1923</v>
      </c>
      <c r="J639" s="3" t="s">
        <v>1924</v>
      </c>
      <c r="K639" s="3" t="s">
        <v>1925</v>
      </c>
      <c r="L639" s="3">
        <v>0.693</v>
      </c>
      <c r="M639" s="3">
        <v>17325.0</v>
      </c>
      <c r="N639" s="3">
        <v>3.0</v>
      </c>
      <c r="O639" s="3">
        <v>472707.0</v>
      </c>
      <c r="P639" s="3"/>
      <c r="Q639" s="3">
        <v>1235290.0</v>
      </c>
      <c r="R639" s="3"/>
      <c r="S639" s="3">
        <v>13860.0</v>
      </c>
      <c r="T639" s="3" t="s">
        <v>37</v>
      </c>
      <c r="U639" s="3">
        <v>13860.0</v>
      </c>
      <c r="V639" s="5">
        <f>(DATE(2026,2,3)-'RICE_Insured Farms_with PPI Pol'!$G639)+IF('RICE_Insured Farms_with PPI Pol'!$H639&lt;&gt;'RICE_Insured Farms_with PPI Pol'!$G639,18,0)</f>
        <v>49</v>
      </c>
      <c r="W639" s="3" t="str">
        <f t="array" ref="W639">IFS(V639&gt;120, "Harvested", V639&gt;=113, "Yellow Ripening", V639&gt;=101, "Dough Stage", V639&gt;=93, "Milking Stage", V639&gt;=86, "Flowering", V639&gt;=56, "Panicle Initiation/Booting", V639&lt;56, "Vegetative/Tillering")</f>
        <v>Vegetative/Tillering</v>
      </c>
    </row>
    <row r="640" ht="15.75" customHeight="1">
      <c r="A640" s="3">
        <v>639.0</v>
      </c>
      <c r="B640" s="3" t="s">
        <v>23</v>
      </c>
      <c r="C640" s="3" t="s">
        <v>24</v>
      </c>
      <c r="D640" s="3" t="s">
        <v>538</v>
      </c>
      <c r="E640" s="3" t="s">
        <v>1138</v>
      </c>
      <c r="F640" s="3">
        <v>1190664.0</v>
      </c>
      <c r="G640" s="4">
        <v>46023.0</v>
      </c>
      <c r="H640" s="4">
        <v>46118.0</v>
      </c>
      <c r="I640" s="3" t="s">
        <v>1923</v>
      </c>
      <c r="J640" s="3" t="s">
        <v>1924</v>
      </c>
      <c r="K640" s="3" t="s">
        <v>1925</v>
      </c>
      <c r="L640" s="3">
        <v>0.2737</v>
      </c>
      <c r="M640" s="3">
        <v>6842.5</v>
      </c>
      <c r="N640" s="3">
        <v>3.0</v>
      </c>
      <c r="O640" s="3">
        <v>472707.0</v>
      </c>
      <c r="P640" s="3"/>
      <c r="Q640" s="3">
        <v>1281654.0</v>
      </c>
      <c r="R640" s="3"/>
      <c r="S640" s="3">
        <v>5474.0</v>
      </c>
      <c r="T640" s="3" t="s">
        <v>37</v>
      </c>
      <c r="U640" s="3">
        <v>5474.0</v>
      </c>
      <c r="V640" s="5">
        <f>(DATE(2026,2,3)-'RICE_Insured Farms_with PPI Pol'!$G640)+IF('RICE_Insured Farms_with PPI Pol'!$H640&lt;&gt;'RICE_Insured Farms_with PPI Pol'!$G640,18,0)</f>
        <v>51</v>
      </c>
      <c r="W640" s="3" t="str">
        <f t="array" ref="W640">IFS(V640&gt;120, "Harvested", V640&gt;=113, "Yellow Ripening", V640&gt;=101, "Dough Stage", V640&gt;=93, "Milking Stage", V640&gt;=86, "Flowering", V640&gt;=56, "Panicle Initiation/Booting", V640&lt;56, "Vegetative/Tillering")</f>
        <v>Vegetative/Tillering</v>
      </c>
    </row>
    <row r="641" ht="15.75" customHeight="1">
      <c r="A641" s="3">
        <v>640.0</v>
      </c>
      <c r="B641" s="3" t="s">
        <v>23</v>
      </c>
      <c r="C641" s="3" t="s">
        <v>24</v>
      </c>
      <c r="D641" s="3" t="s">
        <v>538</v>
      </c>
      <c r="E641" s="3" t="s">
        <v>1138</v>
      </c>
      <c r="F641" s="3">
        <v>1190664.0</v>
      </c>
      <c r="G641" s="4">
        <v>46023.0</v>
      </c>
      <c r="H641" s="4">
        <v>46118.0</v>
      </c>
      <c r="I641" s="3" t="s">
        <v>1923</v>
      </c>
      <c r="J641" s="3" t="s">
        <v>1926</v>
      </c>
      <c r="K641" s="3" t="s">
        <v>1925</v>
      </c>
      <c r="L641" s="3">
        <v>0.7819</v>
      </c>
      <c r="M641" s="3">
        <v>19547.5</v>
      </c>
      <c r="N641" s="3">
        <v>3.0</v>
      </c>
      <c r="O641" s="3">
        <v>317383.0</v>
      </c>
      <c r="P641" s="3" t="s">
        <v>1927</v>
      </c>
      <c r="Q641" s="3">
        <v>1273805.0</v>
      </c>
      <c r="R641" s="3"/>
      <c r="S641" s="3">
        <v>15638.0</v>
      </c>
      <c r="T641" s="3" t="s">
        <v>37</v>
      </c>
      <c r="U641" s="3">
        <v>15638.0</v>
      </c>
      <c r="V641" s="5">
        <f>(DATE(2026,2,3)-'RICE_Insured Farms_with PPI Pol'!$G641)+IF('RICE_Insured Farms_with PPI Pol'!$H641&lt;&gt;'RICE_Insured Farms_with PPI Pol'!$G641,18,0)</f>
        <v>51</v>
      </c>
      <c r="W641" s="3" t="str">
        <f t="array" ref="W641">IFS(V641&gt;120, "Harvested", V641&gt;=113, "Yellow Ripening", V641&gt;=101, "Dough Stage", V641&gt;=93, "Milking Stage", V641&gt;=86, "Flowering", V641&gt;=56, "Panicle Initiation/Booting", V641&lt;56, "Vegetative/Tillering")</f>
        <v>Vegetative/Tillering</v>
      </c>
    </row>
    <row r="642" ht="15.75" customHeight="1">
      <c r="A642" s="3">
        <v>641.0</v>
      </c>
      <c r="B642" s="3" t="s">
        <v>23</v>
      </c>
      <c r="C642" s="3" t="s">
        <v>24</v>
      </c>
      <c r="D642" s="3" t="s">
        <v>538</v>
      </c>
      <c r="E642" s="3" t="s">
        <v>1138</v>
      </c>
      <c r="F642" s="3">
        <v>1190663.0</v>
      </c>
      <c r="G642" s="4">
        <v>46025.0</v>
      </c>
      <c r="H642" s="4">
        <v>46120.0</v>
      </c>
      <c r="I642" s="3" t="s">
        <v>1928</v>
      </c>
      <c r="J642" s="3" t="s">
        <v>1929</v>
      </c>
      <c r="K642" s="3" t="s">
        <v>1930</v>
      </c>
      <c r="L642" s="3">
        <v>0.7238</v>
      </c>
      <c r="M642" s="3">
        <v>18095.0</v>
      </c>
      <c r="N642" s="3">
        <v>3.0</v>
      </c>
      <c r="O642" s="3">
        <v>196369.0</v>
      </c>
      <c r="P642" s="3" t="s">
        <v>1931</v>
      </c>
      <c r="Q642" s="3">
        <v>1324677.0</v>
      </c>
      <c r="R642" s="3"/>
      <c r="S642" s="3">
        <v>14476.0</v>
      </c>
      <c r="T642" s="3" t="s">
        <v>37</v>
      </c>
      <c r="U642" s="3">
        <v>14476.0</v>
      </c>
      <c r="V642" s="5">
        <f>(DATE(2026,2,3)-'RICE_Insured Farms_with PPI Pol'!$G642)+IF('RICE_Insured Farms_with PPI Pol'!$H642&lt;&gt;'RICE_Insured Farms_with PPI Pol'!$G642,18,0)</f>
        <v>49</v>
      </c>
      <c r="W642" s="3" t="str">
        <f t="array" ref="W642">IFS(V642&gt;120, "Harvested", V642&gt;=113, "Yellow Ripening", V642&gt;=101, "Dough Stage", V642&gt;=93, "Milking Stage", V642&gt;=86, "Flowering", V642&gt;=56, "Panicle Initiation/Booting", V642&lt;56, "Vegetative/Tillering")</f>
        <v>Vegetative/Tillering</v>
      </c>
    </row>
    <row r="643" ht="15.75" customHeight="1">
      <c r="A643" s="3">
        <v>642.0</v>
      </c>
      <c r="B643" s="3" t="s">
        <v>23</v>
      </c>
      <c r="C643" s="3" t="s">
        <v>68</v>
      </c>
      <c r="D643" s="3" t="s">
        <v>289</v>
      </c>
      <c r="E643" s="3" t="s">
        <v>431</v>
      </c>
      <c r="F643" s="3">
        <v>1760019.0</v>
      </c>
      <c r="G643" s="4">
        <v>46020.0</v>
      </c>
      <c r="H643" s="4">
        <v>46122.0</v>
      </c>
      <c r="I643" s="3" t="s">
        <v>1932</v>
      </c>
      <c r="J643" s="3" t="s">
        <v>621</v>
      </c>
      <c r="K643" s="3" t="s">
        <v>1933</v>
      </c>
      <c r="L643" s="3">
        <v>0.2077</v>
      </c>
      <c r="M643" s="3">
        <v>5192.5</v>
      </c>
      <c r="N643" s="3">
        <v>3.0</v>
      </c>
      <c r="O643" s="3">
        <v>199448.0</v>
      </c>
      <c r="P643" s="3"/>
      <c r="Q643" s="3">
        <v>1138715.0</v>
      </c>
      <c r="R643" s="3"/>
      <c r="S643" s="3">
        <v>4154.0</v>
      </c>
      <c r="T643" s="3" t="s">
        <v>37</v>
      </c>
      <c r="U643" s="3">
        <v>4154.0</v>
      </c>
      <c r="V643" s="5">
        <f>(DATE(2026,2,3)-'RICE_Insured Farms_with PPI Pol'!$G643)+IF('RICE_Insured Farms_with PPI Pol'!$H643&lt;&gt;'RICE_Insured Farms_with PPI Pol'!$G643,18,0)</f>
        <v>54</v>
      </c>
      <c r="W643" s="3" t="str">
        <f t="array" ref="W643">IFS(V643&gt;120, "Harvested", V643&gt;=113, "Yellow Ripening", V643&gt;=101, "Dough Stage", V643&gt;=93, "Milking Stage", V643&gt;=86, "Flowering", V643&gt;=56, "Panicle Initiation/Booting", V643&lt;56, "Vegetative/Tillering")</f>
        <v>Vegetative/Tillering</v>
      </c>
    </row>
    <row r="644" ht="15.75" customHeight="1">
      <c r="A644" s="3">
        <v>643.0</v>
      </c>
      <c r="B644" s="3" t="s">
        <v>23</v>
      </c>
      <c r="C644" s="3" t="s">
        <v>1453</v>
      </c>
      <c r="D644" s="3" t="s">
        <v>1454</v>
      </c>
      <c r="E644" s="3" t="s">
        <v>1934</v>
      </c>
      <c r="F644" s="3">
        <v>1742041.0</v>
      </c>
      <c r="G644" s="4">
        <v>46020.0</v>
      </c>
      <c r="H644" s="4">
        <v>46122.0</v>
      </c>
      <c r="I644" s="3" t="s">
        <v>1935</v>
      </c>
      <c r="J644" s="3" t="s">
        <v>1769</v>
      </c>
      <c r="K644" s="3" t="s">
        <v>1936</v>
      </c>
      <c r="L644" s="3">
        <v>0.2767</v>
      </c>
      <c r="M644" s="3">
        <v>6917.5</v>
      </c>
      <c r="N644" s="3">
        <v>3.0</v>
      </c>
      <c r="O644" s="3">
        <v>36545.0</v>
      </c>
      <c r="P644" s="3" t="s">
        <v>1937</v>
      </c>
      <c r="Q644" s="3">
        <v>955991.0</v>
      </c>
      <c r="R644" s="3"/>
      <c r="S644" s="3">
        <v>5534.0</v>
      </c>
      <c r="T644" s="3" t="s">
        <v>37</v>
      </c>
      <c r="U644" s="3">
        <v>5534.0</v>
      </c>
      <c r="V644" s="5">
        <f>(DATE(2026,2,3)-'RICE_Insured Farms_with PPI Pol'!$G644)+IF('RICE_Insured Farms_with PPI Pol'!$H644&lt;&gt;'RICE_Insured Farms_with PPI Pol'!$G644,18,0)</f>
        <v>54</v>
      </c>
      <c r="W644" s="3" t="str">
        <f t="array" ref="W644">IFS(V644&gt;120, "Harvested", V644&gt;=113, "Yellow Ripening", V644&gt;=101, "Dough Stage", V644&gt;=93, "Milking Stage", V644&gt;=86, "Flowering", V644&gt;=56, "Panicle Initiation/Booting", V644&lt;56, "Vegetative/Tillering")</f>
        <v>Vegetative/Tillering</v>
      </c>
    </row>
    <row r="645" ht="15.75" customHeight="1">
      <c r="A645" s="3">
        <v>644.0</v>
      </c>
      <c r="B645" s="3" t="s">
        <v>23</v>
      </c>
      <c r="C645" s="3" t="s">
        <v>68</v>
      </c>
      <c r="D645" s="3" t="s">
        <v>289</v>
      </c>
      <c r="E645" s="3" t="s">
        <v>774</v>
      </c>
      <c r="F645" s="3">
        <v>1760024.0</v>
      </c>
      <c r="G645" s="4">
        <v>46024.0</v>
      </c>
      <c r="H645" s="4">
        <v>46126.0</v>
      </c>
      <c r="I645" s="3" t="s">
        <v>1938</v>
      </c>
      <c r="J645" s="3" t="s">
        <v>426</v>
      </c>
      <c r="K645" s="3" t="s">
        <v>1939</v>
      </c>
      <c r="L645" s="3">
        <v>0.2108</v>
      </c>
      <c r="M645" s="3">
        <v>5270.0</v>
      </c>
      <c r="N645" s="3">
        <v>3.0</v>
      </c>
      <c r="O645" s="3">
        <v>173748.0</v>
      </c>
      <c r="P645" s="3" t="s">
        <v>1940</v>
      </c>
      <c r="Q645" s="3">
        <v>1276924.0</v>
      </c>
      <c r="R645" s="3"/>
      <c r="S645" s="3">
        <v>4216.0</v>
      </c>
      <c r="T645" s="3" t="s">
        <v>37</v>
      </c>
      <c r="U645" s="3">
        <v>4216.0</v>
      </c>
      <c r="V645" s="5">
        <f>(DATE(2026,2,3)-'RICE_Insured Farms_with PPI Pol'!$G645)+IF('RICE_Insured Farms_with PPI Pol'!$H645&lt;&gt;'RICE_Insured Farms_with PPI Pol'!$G645,18,0)</f>
        <v>50</v>
      </c>
      <c r="W645" s="3" t="str">
        <f t="array" ref="W645">IFS(V645&gt;120, "Harvested", V645&gt;=113, "Yellow Ripening", V645&gt;=101, "Dough Stage", V645&gt;=93, "Milking Stage", V645&gt;=86, "Flowering", V645&gt;=56, "Panicle Initiation/Booting", V645&lt;56, "Vegetative/Tillering")</f>
        <v>Vegetative/Tillering</v>
      </c>
    </row>
    <row r="646" ht="15.75" customHeight="1">
      <c r="A646" s="3">
        <v>645.0</v>
      </c>
      <c r="B646" s="3" t="s">
        <v>23</v>
      </c>
      <c r="C646" s="3" t="s">
        <v>68</v>
      </c>
      <c r="D646" s="3" t="s">
        <v>289</v>
      </c>
      <c r="E646" s="3" t="s">
        <v>848</v>
      </c>
      <c r="F646" s="3">
        <v>1760002.0</v>
      </c>
      <c r="G646" s="4">
        <v>46020.0</v>
      </c>
      <c r="H646" s="4">
        <v>46122.0</v>
      </c>
      <c r="I646" s="3" t="s">
        <v>828</v>
      </c>
      <c r="J646" s="3" t="s">
        <v>667</v>
      </c>
      <c r="K646" s="3" t="s">
        <v>1941</v>
      </c>
      <c r="L646" s="3">
        <v>1.5178</v>
      </c>
      <c r="M646" s="3">
        <v>37945.0</v>
      </c>
      <c r="N646" s="3">
        <v>3.0</v>
      </c>
      <c r="O646" s="3">
        <v>293774.0</v>
      </c>
      <c r="P646" s="3" t="s">
        <v>1942</v>
      </c>
      <c r="Q646" s="3">
        <v>508706.0</v>
      </c>
      <c r="R646" s="3"/>
      <c r="S646" s="3">
        <v>30356.0</v>
      </c>
      <c r="T646" s="3" t="s">
        <v>37</v>
      </c>
      <c r="U646" s="3">
        <v>30356.0</v>
      </c>
      <c r="V646" s="5">
        <f>(DATE(2026,2,3)-'RICE_Insured Farms_with PPI Pol'!$G646)+IF('RICE_Insured Farms_with PPI Pol'!$H646&lt;&gt;'RICE_Insured Farms_with PPI Pol'!$G646,18,0)</f>
        <v>54</v>
      </c>
      <c r="W646" s="3" t="str">
        <f t="array" ref="W646">IFS(V646&gt;120, "Harvested", V646&gt;=113, "Yellow Ripening", V646&gt;=101, "Dough Stage", V646&gt;=93, "Milking Stage", V646&gt;=86, "Flowering", V646&gt;=56, "Panicle Initiation/Booting", V646&lt;56, "Vegetative/Tillering")</f>
        <v>Vegetative/Tillering</v>
      </c>
    </row>
    <row r="647" ht="15.75" customHeight="1">
      <c r="A647" s="3">
        <v>646.0</v>
      </c>
      <c r="B647" s="3" t="s">
        <v>23</v>
      </c>
      <c r="C647" s="3" t="s">
        <v>68</v>
      </c>
      <c r="D647" s="3" t="s">
        <v>289</v>
      </c>
      <c r="E647" s="3" t="s">
        <v>848</v>
      </c>
      <c r="F647" s="3">
        <v>1760002.0</v>
      </c>
      <c r="G647" s="4">
        <v>46020.0</v>
      </c>
      <c r="H647" s="4">
        <v>46122.0</v>
      </c>
      <c r="I647" s="3" t="s">
        <v>828</v>
      </c>
      <c r="J647" s="3" t="s">
        <v>1943</v>
      </c>
      <c r="K647" s="3" t="s">
        <v>1944</v>
      </c>
      <c r="L647" s="3">
        <v>0.7025</v>
      </c>
      <c r="M647" s="3">
        <v>17562.5</v>
      </c>
      <c r="N647" s="3">
        <v>3.0</v>
      </c>
      <c r="O647" s="3">
        <v>293773.0</v>
      </c>
      <c r="P647" s="3" t="s">
        <v>1945</v>
      </c>
      <c r="Q647" s="3">
        <v>1148129.0</v>
      </c>
      <c r="R647" s="3"/>
      <c r="S647" s="3">
        <v>14050.0</v>
      </c>
      <c r="T647" s="3" t="s">
        <v>37</v>
      </c>
      <c r="U647" s="3">
        <v>14050.0</v>
      </c>
      <c r="V647" s="5">
        <f>(DATE(2026,2,3)-'RICE_Insured Farms_with PPI Pol'!$G647)+IF('RICE_Insured Farms_with PPI Pol'!$H647&lt;&gt;'RICE_Insured Farms_with PPI Pol'!$G647,18,0)</f>
        <v>54</v>
      </c>
      <c r="W647" s="3" t="str">
        <f t="array" ref="W647">IFS(V647&gt;120, "Harvested", V647&gt;=113, "Yellow Ripening", V647&gt;=101, "Dough Stage", V647&gt;=93, "Milking Stage", V647&gt;=86, "Flowering", V647&gt;=56, "Panicle Initiation/Booting", V647&lt;56, "Vegetative/Tillering")</f>
        <v>Vegetative/Tillering</v>
      </c>
    </row>
    <row r="648" ht="15.75" customHeight="1">
      <c r="A648" s="3">
        <v>647.0</v>
      </c>
      <c r="B648" s="3" t="s">
        <v>23</v>
      </c>
      <c r="C648" s="3" t="s">
        <v>68</v>
      </c>
      <c r="D648" s="3" t="s">
        <v>69</v>
      </c>
      <c r="E648" s="3" t="s">
        <v>131</v>
      </c>
      <c r="F648" s="3">
        <v>1739643.0</v>
      </c>
      <c r="G648" s="4">
        <v>46014.0</v>
      </c>
      <c r="H648" s="4">
        <v>46116.0</v>
      </c>
      <c r="I648" s="3" t="s">
        <v>1946</v>
      </c>
      <c r="J648" s="3" t="s">
        <v>1947</v>
      </c>
      <c r="K648" s="3" t="s">
        <v>1948</v>
      </c>
      <c r="L648" s="3">
        <v>0.799</v>
      </c>
      <c r="M648" s="3">
        <v>19975.0</v>
      </c>
      <c r="N648" s="3">
        <v>3.0</v>
      </c>
      <c r="O648" s="3">
        <v>296261.0</v>
      </c>
      <c r="P648" s="3" t="s">
        <v>1949</v>
      </c>
      <c r="Q648" s="3">
        <v>1137084.0</v>
      </c>
      <c r="R648" s="3"/>
      <c r="S648" s="3">
        <v>15980.0</v>
      </c>
      <c r="T648" s="3" t="s">
        <v>37</v>
      </c>
      <c r="U648" s="3">
        <v>15980.0</v>
      </c>
      <c r="V648" s="5">
        <f>(DATE(2026,2,3)-'RICE_Insured Farms_with PPI Pol'!$G648)+IF('RICE_Insured Farms_with PPI Pol'!$H648&lt;&gt;'RICE_Insured Farms_with PPI Pol'!$G648,18,0)</f>
        <v>60</v>
      </c>
      <c r="W648" s="3" t="str">
        <f t="array" ref="W648">IFS(V648&gt;120, "Harvested", V648&gt;=113, "Yellow Ripening", V648&gt;=101, "Dough Stage", V648&gt;=93, "Milking Stage", V648&gt;=86, "Flowering", V648&gt;=56, "Panicle Initiation/Booting", V648&lt;56, "Vegetative/Tillering")</f>
        <v>Panicle Initiation/Booting</v>
      </c>
    </row>
    <row r="649" ht="15.75" customHeight="1">
      <c r="A649" s="3">
        <v>648.0</v>
      </c>
      <c r="B649" s="3" t="s">
        <v>23</v>
      </c>
      <c r="C649" s="3" t="s">
        <v>24</v>
      </c>
      <c r="D649" s="3" t="s">
        <v>25</v>
      </c>
      <c r="E649" s="3" t="s">
        <v>1374</v>
      </c>
      <c r="F649" s="3">
        <v>1760467.0</v>
      </c>
      <c r="G649" s="4">
        <v>46019.0</v>
      </c>
      <c r="H649" s="4">
        <v>46126.0</v>
      </c>
      <c r="I649" s="3" t="s">
        <v>1950</v>
      </c>
      <c r="J649" s="3" t="s">
        <v>1951</v>
      </c>
      <c r="K649" s="3" t="s">
        <v>1556</v>
      </c>
      <c r="L649" s="3">
        <v>0.29</v>
      </c>
      <c r="M649" s="3">
        <v>7250.0</v>
      </c>
      <c r="N649" s="3">
        <v>3.0</v>
      </c>
      <c r="O649" s="3">
        <v>334451.0</v>
      </c>
      <c r="P649" s="3" t="s">
        <v>1952</v>
      </c>
      <c r="Q649" s="3">
        <v>1288626.0</v>
      </c>
      <c r="R649" s="3"/>
      <c r="S649" s="3">
        <v>5800.0</v>
      </c>
      <c r="T649" s="3" t="s">
        <v>37</v>
      </c>
      <c r="U649" s="3">
        <v>5800.0</v>
      </c>
      <c r="V649" s="5">
        <f>(DATE(2026,2,3)-'RICE_Insured Farms_with PPI Pol'!$G649)+IF('RICE_Insured Farms_with PPI Pol'!$H649&lt;&gt;'RICE_Insured Farms_with PPI Pol'!$G649,18,0)</f>
        <v>55</v>
      </c>
      <c r="W649" s="3" t="str">
        <f t="array" ref="W649">IFS(V649&gt;120, "Harvested", V649&gt;=113, "Yellow Ripening", V649&gt;=101, "Dough Stage", V649&gt;=93, "Milking Stage", V649&gt;=86, "Flowering", V649&gt;=56, "Panicle Initiation/Booting", V649&lt;56, "Vegetative/Tillering")</f>
        <v>Vegetative/Tillering</v>
      </c>
    </row>
    <row r="650" ht="15.75" hidden="1" customHeight="1">
      <c r="A650" s="3">
        <v>649.0</v>
      </c>
      <c r="B650" s="3" t="s">
        <v>23</v>
      </c>
      <c r="C650" s="3" t="s">
        <v>68</v>
      </c>
      <c r="D650" s="3" t="s">
        <v>289</v>
      </c>
      <c r="E650" s="3" t="s">
        <v>571</v>
      </c>
      <c r="F650" s="3">
        <v>1760010.0</v>
      </c>
      <c r="G650" s="4">
        <v>46028.0</v>
      </c>
      <c r="H650" s="4">
        <v>46130.0</v>
      </c>
      <c r="I650" s="3" t="s">
        <v>1953</v>
      </c>
      <c r="J650" s="3" t="s">
        <v>1954</v>
      </c>
      <c r="K650" s="3" t="s">
        <v>1955</v>
      </c>
      <c r="L650" s="3">
        <v>0.5501</v>
      </c>
      <c r="M650" s="3">
        <v>13752.5</v>
      </c>
      <c r="N650" s="3">
        <v>2.0</v>
      </c>
      <c r="O650" s="3">
        <v>330259.0</v>
      </c>
      <c r="P650" s="3"/>
      <c r="Q650" s="3">
        <v>625512.0</v>
      </c>
      <c r="R650" s="3"/>
      <c r="S650" s="3">
        <v>9626.75</v>
      </c>
      <c r="T650" s="3" t="s">
        <v>31</v>
      </c>
      <c r="U650" s="3">
        <v>9626.75</v>
      </c>
      <c r="V650" s="5">
        <f>(DATE(2026,2,3)-'RICE_Insured Farms_with PPI Pol'!$G650)+IF('RICE_Insured Farms_with PPI Pol'!$H650&lt;&gt;'RICE_Insured Farms_with PPI Pol'!$G650,18,0)</f>
        <v>46</v>
      </c>
      <c r="W650" s="3" t="str">
        <f t="array" ref="W650">IFS(V650&gt;120, "Harvested", V650&gt;=113, "Yellow Ripening", V650&gt;=101, "Dough Stage", V650&gt;=93, "Milking Stage", V650&gt;=86, "Flowering", V650&gt;=56, "Panicle Initiation/Booting", V650&lt;56, "Vegetative/Tillering")</f>
        <v>Vegetative/Tillering</v>
      </c>
    </row>
    <row r="651" ht="15.75" hidden="1" customHeight="1">
      <c r="A651" s="3">
        <v>951.0</v>
      </c>
      <c r="B651" s="3" t="s">
        <v>23</v>
      </c>
      <c r="C651" s="3" t="s">
        <v>24</v>
      </c>
      <c r="D651" s="3" t="s">
        <v>25</v>
      </c>
      <c r="E651" s="3" t="s">
        <v>1164</v>
      </c>
      <c r="F651" s="3">
        <v>1760492.0</v>
      </c>
      <c r="G651" s="4">
        <v>46012.0</v>
      </c>
      <c r="H651" s="4">
        <v>46107.0</v>
      </c>
      <c r="I651" s="3" t="s">
        <v>1956</v>
      </c>
      <c r="J651" s="3" t="s">
        <v>1957</v>
      </c>
      <c r="K651" s="3" t="s">
        <v>1601</v>
      </c>
      <c r="L651" s="3">
        <v>0.6036</v>
      </c>
      <c r="M651" s="3">
        <v>15090.0</v>
      </c>
      <c r="N651" s="3">
        <v>4.0</v>
      </c>
      <c r="O651" s="3">
        <v>435767.0</v>
      </c>
      <c r="P651" s="3" t="s">
        <v>1958</v>
      </c>
      <c r="Q651" s="3">
        <v>1328496.0</v>
      </c>
      <c r="R651" s="3"/>
      <c r="S651" s="3">
        <v>12072.0</v>
      </c>
      <c r="T651" s="3" t="s">
        <v>56</v>
      </c>
      <c r="U651" s="3">
        <v>12072.0</v>
      </c>
      <c r="V651" s="5">
        <f>(DATE(2026,2,3)-'RICE_Insured Farms_with PPI Pol'!$G651)+IF('RICE_Insured Farms_with PPI Pol'!$H651&lt;&gt;'RICE_Insured Farms_with PPI Pol'!$G651,18,0)</f>
        <v>62</v>
      </c>
      <c r="W651" s="3" t="str">
        <f t="array" ref="W651">IFS(V651&gt;120, "Harvested", V651&gt;=113, "Yellow Ripening", V651&gt;=101, "Dough Stage", V651&gt;=93, "Milking Stage", V651&gt;=86, "Flowering", V651&gt;=56, "Panicle Initiation/Booting", V651&lt;56, "Vegetative/Tillering")</f>
        <v>Panicle Initiation/Booting</v>
      </c>
    </row>
    <row r="652" ht="15.75" hidden="1" customHeight="1">
      <c r="A652" s="3">
        <v>651.0</v>
      </c>
      <c r="B652" s="3" t="s">
        <v>23</v>
      </c>
      <c r="C652" s="3" t="s">
        <v>68</v>
      </c>
      <c r="D652" s="3" t="s">
        <v>289</v>
      </c>
      <c r="E652" s="3" t="s">
        <v>702</v>
      </c>
      <c r="F652" s="3">
        <v>1760027.0</v>
      </c>
      <c r="G652" s="4">
        <v>46028.0</v>
      </c>
      <c r="H652" s="4">
        <v>46130.0</v>
      </c>
      <c r="I652" s="3" t="s">
        <v>835</v>
      </c>
      <c r="J652" s="3" t="s">
        <v>1959</v>
      </c>
      <c r="K652" s="3" t="s">
        <v>1960</v>
      </c>
      <c r="L652" s="3">
        <v>0.3823</v>
      </c>
      <c r="M652" s="3">
        <v>9557.5</v>
      </c>
      <c r="N652" s="3">
        <v>2.0</v>
      </c>
      <c r="O652" s="3">
        <v>357043.0</v>
      </c>
      <c r="P652" s="3" t="s">
        <v>1961</v>
      </c>
      <c r="Q652" s="3">
        <v>962383.0</v>
      </c>
      <c r="R652" s="3"/>
      <c r="S652" s="3">
        <v>6690.25</v>
      </c>
      <c r="T652" s="3" t="s">
        <v>31</v>
      </c>
      <c r="U652" s="3">
        <v>6690.25</v>
      </c>
      <c r="V652" s="5">
        <f>(DATE(2026,2,3)-'RICE_Insured Farms_with PPI Pol'!$G652)+IF('RICE_Insured Farms_with PPI Pol'!$H652&lt;&gt;'RICE_Insured Farms_with PPI Pol'!$G652,18,0)</f>
        <v>46</v>
      </c>
      <c r="W652" s="3" t="str">
        <f t="array" ref="W652">IFS(V652&gt;120, "Harvested", V652&gt;=113, "Yellow Ripening", V652&gt;=101, "Dough Stage", V652&gt;=93, "Milking Stage", V652&gt;=86, "Flowering", V652&gt;=56, "Panicle Initiation/Booting", V652&lt;56, "Vegetative/Tillering")</f>
        <v>Vegetative/Tillering</v>
      </c>
    </row>
    <row r="653" ht="15.75" customHeight="1">
      <c r="A653" s="3">
        <v>652.0</v>
      </c>
      <c r="B653" s="3" t="s">
        <v>23</v>
      </c>
      <c r="C653" s="3" t="s">
        <v>68</v>
      </c>
      <c r="D653" s="3" t="s">
        <v>289</v>
      </c>
      <c r="E653" s="3" t="s">
        <v>702</v>
      </c>
      <c r="F653" s="3">
        <v>1760010.0</v>
      </c>
      <c r="G653" s="4">
        <v>46011.0</v>
      </c>
      <c r="H653" s="4">
        <v>46113.0</v>
      </c>
      <c r="I653" s="3" t="s">
        <v>835</v>
      </c>
      <c r="J653" s="3" t="s">
        <v>1267</v>
      </c>
      <c r="K653" s="3" t="s">
        <v>1960</v>
      </c>
      <c r="L653" s="3">
        <v>0.5738</v>
      </c>
      <c r="M653" s="3">
        <v>14345.0</v>
      </c>
      <c r="N653" s="3">
        <v>3.0</v>
      </c>
      <c r="O653" s="3">
        <v>78710.0</v>
      </c>
      <c r="P653" s="3" t="s">
        <v>1962</v>
      </c>
      <c r="Q653" s="3">
        <v>1321620.0</v>
      </c>
      <c r="R653" s="3"/>
      <c r="S653" s="3">
        <v>11476.0</v>
      </c>
      <c r="T653" s="3" t="s">
        <v>37</v>
      </c>
      <c r="U653" s="3">
        <v>11476.0</v>
      </c>
      <c r="V653" s="5">
        <f>(DATE(2026,2,3)-'RICE_Insured Farms_with PPI Pol'!$G653)+IF('RICE_Insured Farms_with PPI Pol'!$H653&lt;&gt;'RICE_Insured Farms_with PPI Pol'!$G653,18,0)</f>
        <v>63</v>
      </c>
      <c r="W653" s="3" t="str">
        <f t="array" ref="W653">IFS(V653&gt;120, "Harvested", V653&gt;=113, "Yellow Ripening", V653&gt;=101, "Dough Stage", V653&gt;=93, "Milking Stage", V653&gt;=86, "Flowering", V653&gt;=56, "Panicle Initiation/Booting", V653&lt;56, "Vegetative/Tillering")</f>
        <v>Panicle Initiation/Booting</v>
      </c>
    </row>
    <row r="654" ht="15.75" customHeight="1">
      <c r="A654" s="3">
        <v>653.0</v>
      </c>
      <c r="B654" s="3" t="s">
        <v>23</v>
      </c>
      <c r="C654" s="3" t="s">
        <v>68</v>
      </c>
      <c r="D654" s="3" t="s">
        <v>289</v>
      </c>
      <c r="E654" s="3" t="s">
        <v>702</v>
      </c>
      <c r="F654" s="3">
        <v>1760010.0</v>
      </c>
      <c r="G654" s="4">
        <v>46011.0</v>
      </c>
      <c r="H654" s="4">
        <v>46113.0</v>
      </c>
      <c r="I654" s="3" t="s">
        <v>835</v>
      </c>
      <c r="J654" s="3" t="s">
        <v>1963</v>
      </c>
      <c r="K654" s="3" t="s">
        <v>1964</v>
      </c>
      <c r="L654" s="3">
        <v>0.5376</v>
      </c>
      <c r="M654" s="3">
        <v>13440.0</v>
      </c>
      <c r="N654" s="3">
        <v>3.0</v>
      </c>
      <c r="O654" s="3">
        <v>31361.0</v>
      </c>
      <c r="P654" s="3" t="s">
        <v>1965</v>
      </c>
      <c r="Q654" s="3">
        <v>962376.0</v>
      </c>
      <c r="R654" s="3"/>
      <c r="S654" s="3">
        <v>10752.0</v>
      </c>
      <c r="T654" s="3" t="s">
        <v>37</v>
      </c>
      <c r="U654" s="3">
        <v>10752.0</v>
      </c>
      <c r="V654" s="5">
        <f>(DATE(2026,2,3)-'RICE_Insured Farms_with PPI Pol'!$G654)+IF('RICE_Insured Farms_with PPI Pol'!$H654&lt;&gt;'RICE_Insured Farms_with PPI Pol'!$G654,18,0)</f>
        <v>63</v>
      </c>
      <c r="W654" s="3" t="str">
        <f t="array" ref="W654">IFS(V654&gt;120, "Harvested", V654&gt;=113, "Yellow Ripening", V654&gt;=101, "Dough Stage", V654&gt;=93, "Milking Stage", V654&gt;=86, "Flowering", V654&gt;=56, "Panicle Initiation/Booting", V654&lt;56, "Vegetative/Tillering")</f>
        <v>Panicle Initiation/Booting</v>
      </c>
    </row>
    <row r="655" ht="15.75" customHeight="1">
      <c r="A655" s="3">
        <v>654.0</v>
      </c>
      <c r="B655" s="3" t="s">
        <v>23</v>
      </c>
      <c r="C655" s="3" t="s">
        <v>68</v>
      </c>
      <c r="D655" s="3" t="s">
        <v>289</v>
      </c>
      <c r="E655" s="3" t="s">
        <v>1535</v>
      </c>
      <c r="F655" s="3">
        <v>1760007.0</v>
      </c>
      <c r="G655" s="4">
        <v>46018.0</v>
      </c>
      <c r="H655" s="4">
        <v>46120.0</v>
      </c>
      <c r="I655" s="3" t="s">
        <v>1966</v>
      </c>
      <c r="J655" s="3" t="s">
        <v>989</v>
      </c>
      <c r="K655" s="3" t="s">
        <v>1967</v>
      </c>
      <c r="L655" s="3">
        <v>0.38</v>
      </c>
      <c r="M655" s="3">
        <v>9500.0</v>
      </c>
      <c r="N655" s="3">
        <v>3.0</v>
      </c>
      <c r="O655" s="3">
        <v>107596.0</v>
      </c>
      <c r="P655" s="3" t="s">
        <v>1968</v>
      </c>
      <c r="Q655" s="3">
        <v>1140418.0</v>
      </c>
      <c r="R655" s="3"/>
      <c r="S655" s="3">
        <v>7600.0</v>
      </c>
      <c r="T655" s="3" t="s">
        <v>37</v>
      </c>
      <c r="U655" s="3">
        <v>7600.0</v>
      </c>
      <c r="V655" s="5">
        <f>(DATE(2026,2,3)-'RICE_Insured Farms_with PPI Pol'!$G655)+IF('RICE_Insured Farms_with PPI Pol'!$H655&lt;&gt;'RICE_Insured Farms_with PPI Pol'!$G655,18,0)</f>
        <v>56</v>
      </c>
      <c r="W655" s="3" t="str">
        <f t="array" ref="W655">IFS(V655&gt;120, "Harvested", V655&gt;=113, "Yellow Ripening", V655&gt;=101, "Dough Stage", V655&gt;=93, "Milking Stage", V655&gt;=86, "Flowering", V655&gt;=56, "Panicle Initiation/Booting", V655&lt;56, "Vegetative/Tillering")</f>
        <v>Panicle Initiation/Booting</v>
      </c>
    </row>
    <row r="656" ht="15.75" hidden="1" customHeight="1">
      <c r="A656" s="3">
        <v>655.0</v>
      </c>
      <c r="B656" s="3" t="s">
        <v>23</v>
      </c>
      <c r="C656" s="3" t="s">
        <v>68</v>
      </c>
      <c r="D656" s="3" t="s">
        <v>289</v>
      </c>
      <c r="E656" s="3" t="s">
        <v>290</v>
      </c>
      <c r="F656" s="3">
        <v>1760036.0</v>
      </c>
      <c r="G656" s="4">
        <v>46031.0</v>
      </c>
      <c r="H656" s="4">
        <v>46133.0</v>
      </c>
      <c r="I656" s="3" t="s">
        <v>317</v>
      </c>
      <c r="J656" s="3" t="s">
        <v>318</v>
      </c>
      <c r="K656" s="3" t="s">
        <v>319</v>
      </c>
      <c r="L656" s="3">
        <v>0.1385</v>
      </c>
      <c r="M656" s="3">
        <v>3462.5</v>
      </c>
      <c r="N656" s="3">
        <v>2.0</v>
      </c>
      <c r="O656" s="3">
        <v>119574.0</v>
      </c>
      <c r="P656" s="3" t="s">
        <v>320</v>
      </c>
      <c r="Q656" s="3">
        <v>1283642.0</v>
      </c>
      <c r="R656" s="3"/>
      <c r="S656" s="3">
        <v>2423.75</v>
      </c>
      <c r="T656" s="3" t="s">
        <v>31</v>
      </c>
      <c r="U656" s="3">
        <v>2423.75</v>
      </c>
      <c r="V656" s="5">
        <f>(DATE(2026,2,3)-'RICE_Insured Farms_with PPI Pol'!$G656)+IF('RICE_Insured Farms_with PPI Pol'!$H656&lt;&gt;'RICE_Insured Farms_with PPI Pol'!$G656,18,0)</f>
        <v>43</v>
      </c>
      <c r="W656" s="3" t="str">
        <f t="array" ref="W656">IFS(V656&gt;120, "Harvested", V656&gt;=113, "Yellow Ripening", V656&gt;=101, "Dough Stage", V656&gt;=93, "Milking Stage", V656&gt;=86, "Flowering", V656&gt;=56, "Panicle Initiation/Booting", V656&lt;56, "Vegetative/Tillering")</f>
        <v>Vegetative/Tillering</v>
      </c>
    </row>
    <row r="657" ht="15.75" hidden="1" customHeight="1">
      <c r="A657" s="3">
        <v>656.0</v>
      </c>
      <c r="B657" s="3" t="s">
        <v>23</v>
      </c>
      <c r="C657" s="3" t="s">
        <v>68</v>
      </c>
      <c r="D657" s="3" t="s">
        <v>289</v>
      </c>
      <c r="E657" s="3" t="s">
        <v>290</v>
      </c>
      <c r="F657" s="3">
        <v>1760036.0</v>
      </c>
      <c r="G657" s="4">
        <v>46029.0</v>
      </c>
      <c r="H657" s="4">
        <v>46131.0</v>
      </c>
      <c r="I657" s="3" t="s">
        <v>1969</v>
      </c>
      <c r="J657" s="3" t="s">
        <v>1970</v>
      </c>
      <c r="K657" s="3" t="s">
        <v>1971</v>
      </c>
      <c r="L657" s="3">
        <v>0.0915</v>
      </c>
      <c r="M657" s="3">
        <v>2287.5</v>
      </c>
      <c r="N657" s="3">
        <v>2.0</v>
      </c>
      <c r="O657" s="3">
        <v>419648.0</v>
      </c>
      <c r="P657" s="3"/>
      <c r="Q657" s="3">
        <v>1281248.0</v>
      </c>
      <c r="R657" s="3"/>
      <c r="S657" s="3">
        <v>1601.25</v>
      </c>
      <c r="T657" s="3" t="s">
        <v>31</v>
      </c>
      <c r="U657" s="3">
        <v>1601.25</v>
      </c>
      <c r="V657" s="5">
        <f>(DATE(2026,2,3)-'RICE_Insured Farms_with PPI Pol'!$G657)+IF('RICE_Insured Farms_with PPI Pol'!$H657&lt;&gt;'RICE_Insured Farms_with PPI Pol'!$G657,18,0)</f>
        <v>45</v>
      </c>
      <c r="W657" s="3" t="str">
        <f t="array" ref="W657">IFS(V657&gt;120, "Harvested", V657&gt;=113, "Yellow Ripening", V657&gt;=101, "Dough Stage", V657&gt;=93, "Milking Stage", V657&gt;=86, "Flowering", V657&gt;=56, "Panicle Initiation/Booting", V657&lt;56, "Vegetative/Tillering")</f>
        <v>Vegetative/Tillering</v>
      </c>
    </row>
    <row r="658" ht="15.75" hidden="1" customHeight="1">
      <c r="A658" s="3">
        <v>657.0</v>
      </c>
      <c r="B658" s="3" t="s">
        <v>23</v>
      </c>
      <c r="C658" s="3" t="s">
        <v>24</v>
      </c>
      <c r="D658" s="3" t="s">
        <v>25</v>
      </c>
      <c r="E658" s="3" t="s">
        <v>674</v>
      </c>
      <c r="F658" s="3">
        <v>1761037.0</v>
      </c>
      <c r="G658" s="4">
        <v>46044.0</v>
      </c>
      <c r="H658" s="4">
        <v>46136.0</v>
      </c>
      <c r="I658" s="3" t="s">
        <v>675</v>
      </c>
      <c r="J658" s="3" t="s">
        <v>676</v>
      </c>
      <c r="K658" s="3" t="s">
        <v>677</v>
      </c>
      <c r="L658" s="3">
        <v>1.044</v>
      </c>
      <c r="M658" s="3">
        <v>26100.0</v>
      </c>
      <c r="N658" s="3">
        <v>2.0</v>
      </c>
      <c r="O658" s="3">
        <v>294678.0</v>
      </c>
      <c r="P658" s="3" t="s">
        <v>678</v>
      </c>
      <c r="Q658" s="3">
        <v>1320975.0</v>
      </c>
      <c r="R658" s="3"/>
      <c r="S658" s="3">
        <v>18270.0</v>
      </c>
      <c r="T658" s="3" t="s">
        <v>31</v>
      </c>
      <c r="U658" s="3">
        <v>18270.0</v>
      </c>
      <c r="V658" s="5">
        <f>(DATE(2026,2,3)-'RICE_Insured Farms_with PPI Pol'!$G658)+IF('RICE_Insured Farms_with PPI Pol'!$H658&lt;&gt;'RICE_Insured Farms_with PPI Pol'!$G658,18,0)</f>
        <v>30</v>
      </c>
      <c r="W658" s="3" t="str">
        <f t="array" ref="W658">IFS(V658&gt;120, "Harvested", V658&gt;=113, "Yellow Ripening", V658&gt;=101, "Dough Stage", V658&gt;=93, "Milking Stage", V658&gt;=86, "Flowering", V658&gt;=56, "Panicle Initiation/Booting", V658&lt;56, "Vegetative/Tillering")</f>
        <v>Vegetative/Tillering</v>
      </c>
    </row>
    <row r="659" ht="15.75" hidden="1" customHeight="1">
      <c r="A659" s="3">
        <v>658.0</v>
      </c>
      <c r="B659" s="3" t="s">
        <v>23</v>
      </c>
      <c r="C659" s="3" t="s">
        <v>68</v>
      </c>
      <c r="D659" s="3" t="s">
        <v>289</v>
      </c>
      <c r="E659" s="3" t="s">
        <v>895</v>
      </c>
      <c r="F659" s="3">
        <v>1760019.0</v>
      </c>
      <c r="G659" s="4">
        <v>46028.0</v>
      </c>
      <c r="H659" s="4">
        <v>46130.0</v>
      </c>
      <c r="I659" s="3" t="s">
        <v>1972</v>
      </c>
      <c r="J659" s="3" t="s">
        <v>1973</v>
      </c>
      <c r="K659" s="3" t="s">
        <v>1974</v>
      </c>
      <c r="L659" s="3">
        <v>0.1605</v>
      </c>
      <c r="M659" s="3">
        <v>4012.5</v>
      </c>
      <c r="N659" s="3">
        <v>2.0</v>
      </c>
      <c r="O659" s="3">
        <v>152738.0</v>
      </c>
      <c r="P659" s="3" t="s">
        <v>1975</v>
      </c>
      <c r="Q659" s="3">
        <v>1039711.0</v>
      </c>
      <c r="R659" s="3"/>
      <c r="S659" s="3">
        <v>2808.75</v>
      </c>
      <c r="T659" s="3" t="s">
        <v>31</v>
      </c>
      <c r="U659" s="3">
        <v>2808.75</v>
      </c>
      <c r="V659" s="5">
        <f>(DATE(2026,2,3)-'RICE_Insured Farms_with PPI Pol'!$G659)+IF('RICE_Insured Farms_with PPI Pol'!$H659&lt;&gt;'RICE_Insured Farms_with PPI Pol'!$G659,18,0)</f>
        <v>46</v>
      </c>
      <c r="W659" s="3" t="str">
        <f t="array" ref="W659">IFS(V659&gt;120, "Harvested", V659&gt;=113, "Yellow Ripening", V659&gt;=101, "Dough Stage", V659&gt;=93, "Milking Stage", V659&gt;=86, "Flowering", V659&gt;=56, "Panicle Initiation/Booting", V659&lt;56, "Vegetative/Tillering")</f>
        <v>Vegetative/Tillering</v>
      </c>
    </row>
    <row r="660" ht="15.75" hidden="1" customHeight="1">
      <c r="A660" s="3">
        <v>659.0</v>
      </c>
      <c r="B660" s="3" t="s">
        <v>23</v>
      </c>
      <c r="C660" s="3" t="s">
        <v>121</v>
      </c>
      <c r="D660" s="3" t="s">
        <v>1492</v>
      </c>
      <c r="E660" s="3" t="s">
        <v>1493</v>
      </c>
      <c r="F660" s="3">
        <v>1740657.0</v>
      </c>
      <c r="G660" s="4">
        <v>46037.0</v>
      </c>
      <c r="H660" s="4">
        <v>46157.0</v>
      </c>
      <c r="I660" s="3" t="s">
        <v>1972</v>
      </c>
      <c r="J660" s="3" t="s">
        <v>1976</v>
      </c>
      <c r="K660" s="3" t="s">
        <v>1977</v>
      </c>
      <c r="L660" s="3">
        <v>1.487</v>
      </c>
      <c r="M660" s="3">
        <v>37175.0</v>
      </c>
      <c r="N660" s="3">
        <v>1.0</v>
      </c>
      <c r="O660" s="3">
        <v>203256.0</v>
      </c>
      <c r="P660" s="3" t="s">
        <v>1978</v>
      </c>
      <c r="Q660" s="3">
        <v>967108.0</v>
      </c>
      <c r="R660" s="3"/>
      <c r="S660" s="3">
        <v>22305.0</v>
      </c>
      <c r="T660" s="3" t="s">
        <v>62</v>
      </c>
      <c r="U660" s="3">
        <v>22305.0</v>
      </c>
      <c r="V660" s="5">
        <f>(DATE(2026,2,3)-'RICE_Insured Farms_with PPI Pol'!$G660)+IF('RICE_Insured Farms_with PPI Pol'!$H660&lt;&gt;'RICE_Insured Farms_with PPI Pol'!$G660,18,0)</f>
        <v>37</v>
      </c>
      <c r="W660" s="3" t="str">
        <f t="array" ref="W660">IFS(V660&gt;120, "Harvested", V660&gt;=113, "Yellow Ripening", V660&gt;=101, "Dough Stage", V660&gt;=93, "Milking Stage", V660&gt;=86, "Flowering", V660&gt;=56, "Panicle Initiation/Booting", V660&lt;56, "Vegetative/Tillering")</f>
        <v>Vegetative/Tillering</v>
      </c>
    </row>
    <row r="661" ht="15.75" customHeight="1">
      <c r="A661" s="3">
        <v>660.0</v>
      </c>
      <c r="B661" s="3" t="s">
        <v>23</v>
      </c>
      <c r="C661" s="3" t="s">
        <v>68</v>
      </c>
      <c r="D661" s="3" t="s">
        <v>289</v>
      </c>
      <c r="E661" s="3" t="s">
        <v>702</v>
      </c>
      <c r="F661" s="3">
        <v>1760018.0</v>
      </c>
      <c r="G661" s="4">
        <v>46018.0</v>
      </c>
      <c r="H661" s="4">
        <v>46120.0</v>
      </c>
      <c r="I661" s="3" t="s">
        <v>1979</v>
      </c>
      <c r="J661" s="3" t="s">
        <v>1980</v>
      </c>
      <c r="K661" s="3" t="s">
        <v>1981</v>
      </c>
      <c r="L661" s="3">
        <v>1.2729</v>
      </c>
      <c r="M661" s="3">
        <v>31822.5</v>
      </c>
      <c r="N661" s="3">
        <v>3.0</v>
      </c>
      <c r="O661" s="3">
        <v>58274.0</v>
      </c>
      <c r="P661" s="3" t="s">
        <v>1982</v>
      </c>
      <c r="Q661" s="3">
        <v>1033411.0</v>
      </c>
      <c r="R661" s="3"/>
      <c r="S661" s="3">
        <v>25458.0</v>
      </c>
      <c r="T661" s="3" t="s">
        <v>37</v>
      </c>
      <c r="U661" s="3">
        <v>25458.0</v>
      </c>
      <c r="V661" s="5">
        <f>(DATE(2026,2,3)-'RICE_Insured Farms_with PPI Pol'!$G661)+IF('RICE_Insured Farms_with PPI Pol'!$H661&lt;&gt;'RICE_Insured Farms_with PPI Pol'!$G661,18,0)</f>
        <v>56</v>
      </c>
      <c r="W661" s="3" t="str">
        <f t="array" ref="W661">IFS(V661&gt;120, "Harvested", V661&gt;=113, "Yellow Ripening", V661&gt;=101, "Dough Stage", V661&gt;=93, "Milking Stage", V661&gt;=86, "Flowering", V661&gt;=56, "Panicle Initiation/Booting", V661&lt;56, "Vegetative/Tillering")</f>
        <v>Panicle Initiation/Booting</v>
      </c>
    </row>
    <row r="662" ht="15.75" hidden="1" customHeight="1">
      <c r="A662" s="3">
        <v>661.0</v>
      </c>
      <c r="B662" s="3" t="s">
        <v>23</v>
      </c>
      <c r="C662" s="3" t="s">
        <v>1453</v>
      </c>
      <c r="D662" s="3" t="s">
        <v>1454</v>
      </c>
      <c r="E662" s="3" t="s">
        <v>219</v>
      </c>
      <c r="F662" s="3">
        <v>1742041.0</v>
      </c>
      <c r="G662" s="4">
        <v>46037.0</v>
      </c>
      <c r="H662" s="4">
        <v>46139.0</v>
      </c>
      <c r="I662" s="3" t="s">
        <v>1979</v>
      </c>
      <c r="J662" s="3" t="s">
        <v>1983</v>
      </c>
      <c r="K662" s="3" t="s">
        <v>1984</v>
      </c>
      <c r="L662" s="3">
        <v>0.5065</v>
      </c>
      <c r="M662" s="3">
        <v>12662.5</v>
      </c>
      <c r="N662" s="3">
        <v>2.0</v>
      </c>
      <c r="O662" s="3">
        <v>123346.0</v>
      </c>
      <c r="P662" s="3" t="s">
        <v>1985</v>
      </c>
      <c r="Q662" s="3">
        <v>1317794.0</v>
      </c>
      <c r="R662" s="3"/>
      <c r="S662" s="3">
        <v>8863.75</v>
      </c>
      <c r="T662" s="3" t="s">
        <v>31</v>
      </c>
      <c r="U662" s="3">
        <v>8863.75</v>
      </c>
      <c r="V662" s="5">
        <f>(DATE(2026,2,3)-'RICE_Insured Farms_with PPI Pol'!$G662)+IF('RICE_Insured Farms_with PPI Pol'!$H662&lt;&gt;'RICE_Insured Farms_with PPI Pol'!$G662,18,0)</f>
        <v>37</v>
      </c>
      <c r="W662" s="3" t="str">
        <f t="array" ref="W662">IFS(V662&gt;120, "Harvested", V662&gt;=113, "Yellow Ripening", V662&gt;=101, "Dough Stage", V662&gt;=93, "Milking Stage", V662&gt;=86, "Flowering", V662&gt;=56, "Panicle Initiation/Booting", V662&lt;56, "Vegetative/Tillering")</f>
        <v>Vegetative/Tillering</v>
      </c>
    </row>
    <row r="663" ht="15.75" customHeight="1">
      <c r="A663" s="3">
        <v>662.0</v>
      </c>
      <c r="B663" s="3" t="s">
        <v>23</v>
      </c>
      <c r="C663" s="3" t="s">
        <v>1453</v>
      </c>
      <c r="D663" s="3" t="s">
        <v>1454</v>
      </c>
      <c r="E663" s="3" t="s">
        <v>219</v>
      </c>
      <c r="F663" s="3">
        <v>1742044.0</v>
      </c>
      <c r="G663" s="4">
        <v>46018.0</v>
      </c>
      <c r="H663" s="4">
        <v>46120.0</v>
      </c>
      <c r="I663" s="3" t="s">
        <v>1979</v>
      </c>
      <c r="J663" s="3" t="s">
        <v>1986</v>
      </c>
      <c r="K663" s="3" t="s">
        <v>1987</v>
      </c>
      <c r="L663" s="3">
        <v>0.3719</v>
      </c>
      <c r="M663" s="3">
        <v>9297.5</v>
      </c>
      <c r="N663" s="3">
        <v>3.0</v>
      </c>
      <c r="O663" s="3">
        <v>78033.0</v>
      </c>
      <c r="P663" s="3" t="s">
        <v>1988</v>
      </c>
      <c r="Q663" s="3">
        <v>1317518.0</v>
      </c>
      <c r="R663" s="3"/>
      <c r="S663" s="3">
        <v>7438.0</v>
      </c>
      <c r="T663" s="3" t="s">
        <v>37</v>
      </c>
      <c r="U663" s="3">
        <v>7438.0</v>
      </c>
      <c r="V663" s="5">
        <f>(DATE(2026,2,3)-'RICE_Insured Farms_with PPI Pol'!$G663)+IF('RICE_Insured Farms_with PPI Pol'!$H663&lt;&gt;'RICE_Insured Farms_with PPI Pol'!$G663,18,0)</f>
        <v>56</v>
      </c>
      <c r="W663" s="3" t="str">
        <f t="array" ref="W663">IFS(V663&gt;120, "Harvested", V663&gt;=113, "Yellow Ripening", V663&gt;=101, "Dough Stage", V663&gt;=93, "Milking Stage", V663&gt;=86, "Flowering", V663&gt;=56, "Panicle Initiation/Booting", V663&lt;56, "Vegetative/Tillering")</f>
        <v>Panicle Initiation/Booting</v>
      </c>
    </row>
    <row r="664" ht="15.75" hidden="1" customHeight="1">
      <c r="A664" s="3">
        <v>663.0</v>
      </c>
      <c r="B664" s="3" t="s">
        <v>23</v>
      </c>
      <c r="C664" s="3" t="s">
        <v>1453</v>
      </c>
      <c r="D664" s="3" t="s">
        <v>1454</v>
      </c>
      <c r="E664" s="3" t="s">
        <v>219</v>
      </c>
      <c r="F664" s="3">
        <v>1742041.0</v>
      </c>
      <c r="G664" s="4">
        <v>46025.0</v>
      </c>
      <c r="H664" s="4">
        <v>46127.0</v>
      </c>
      <c r="I664" s="3" t="s">
        <v>1979</v>
      </c>
      <c r="J664" s="3" t="s">
        <v>1989</v>
      </c>
      <c r="K664" s="3" t="s">
        <v>1987</v>
      </c>
      <c r="L664" s="3">
        <v>0.4098</v>
      </c>
      <c r="M664" s="3">
        <v>10245.0</v>
      </c>
      <c r="N664" s="3">
        <v>2.0</v>
      </c>
      <c r="O664" s="3">
        <v>125431.0</v>
      </c>
      <c r="P664" s="3"/>
      <c r="Q664" s="3">
        <v>1317566.0</v>
      </c>
      <c r="R664" s="3"/>
      <c r="S664" s="3">
        <v>7171.5</v>
      </c>
      <c r="T664" s="3" t="s">
        <v>31</v>
      </c>
      <c r="U664" s="3">
        <v>7171.5</v>
      </c>
      <c r="V664" s="5">
        <f>(DATE(2026,2,3)-'RICE_Insured Farms_with PPI Pol'!$G664)+IF('RICE_Insured Farms_with PPI Pol'!$H664&lt;&gt;'RICE_Insured Farms_with PPI Pol'!$G664,18,0)</f>
        <v>49</v>
      </c>
      <c r="W664" s="3" t="str">
        <f t="array" ref="W664">IFS(V664&gt;120, "Harvested", V664&gt;=113, "Yellow Ripening", V664&gt;=101, "Dough Stage", V664&gt;=93, "Milking Stage", V664&gt;=86, "Flowering", V664&gt;=56, "Panicle Initiation/Booting", V664&lt;56, "Vegetative/Tillering")</f>
        <v>Vegetative/Tillering</v>
      </c>
    </row>
    <row r="665" ht="15.75" customHeight="1">
      <c r="A665" s="3">
        <v>664.0</v>
      </c>
      <c r="B665" s="3" t="s">
        <v>23</v>
      </c>
      <c r="C665" s="3" t="s">
        <v>68</v>
      </c>
      <c r="D665" s="3" t="s">
        <v>289</v>
      </c>
      <c r="E665" s="3" t="s">
        <v>1535</v>
      </c>
      <c r="F665" s="3">
        <v>1760007.0</v>
      </c>
      <c r="G665" s="4">
        <v>46019.0</v>
      </c>
      <c r="H665" s="4">
        <v>46121.0</v>
      </c>
      <c r="I665" s="3" t="s">
        <v>1990</v>
      </c>
      <c r="J665" s="3" t="s">
        <v>1991</v>
      </c>
      <c r="K665" s="3" t="s">
        <v>1291</v>
      </c>
      <c r="L665" s="3">
        <v>0.6006</v>
      </c>
      <c r="M665" s="3">
        <v>15015.0</v>
      </c>
      <c r="N665" s="3">
        <v>3.0</v>
      </c>
      <c r="O665" s="3">
        <v>31333.0</v>
      </c>
      <c r="P665" s="3" t="s">
        <v>1992</v>
      </c>
      <c r="Q665" s="3">
        <v>1188534.0</v>
      </c>
      <c r="R665" s="3"/>
      <c r="S665" s="3">
        <v>12012.0</v>
      </c>
      <c r="T665" s="3" t="s">
        <v>37</v>
      </c>
      <c r="U665" s="3">
        <v>12012.0</v>
      </c>
      <c r="V665" s="5">
        <f>(DATE(2026,2,3)-'RICE_Insured Farms_with PPI Pol'!$G665)+IF('RICE_Insured Farms_with PPI Pol'!$H665&lt;&gt;'RICE_Insured Farms_with PPI Pol'!$G665,18,0)</f>
        <v>55</v>
      </c>
      <c r="W665" s="3" t="str">
        <f t="array" ref="W665">IFS(V665&gt;120, "Harvested", V665&gt;=113, "Yellow Ripening", V665&gt;=101, "Dough Stage", V665&gt;=93, "Milking Stage", V665&gt;=86, "Flowering", V665&gt;=56, "Panicle Initiation/Booting", V665&lt;56, "Vegetative/Tillering")</f>
        <v>Vegetative/Tillering</v>
      </c>
    </row>
    <row r="666" ht="15.75" customHeight="1">
      <c r="A666" s="3">
        <v>665.0</v>
      </c>
      <c r="B666" s="3" t="s">
        <v>23</v>
      </c>
      <c r="C666" s="3" t="s">
        <v>68</v>
      </c>
      <c r="D666" s="3" t="s">
        <v>289</v>
      </c>
      <c r="E666" s="3" t="s">
        <v>1535</v>
      </c>
      <c r="F666" s="3">
        <v>1760035.0</v>
      </c>
      <c r="G666" s="4">
        <v>46024.0</v>
      </c>
      <c r="H666" s="4">
        <v>46126.0</v>
      </c>
      <c r="I666" s="3" t="s">
        <v>1990</v>
      </c>
      <c r="J666" s="3" t="s">
        <v>829</v>
      </c>
      <c r="K666" s="3" t="s">
        <v>1536</v>
      </c>
      <c r="L666" s="3">
        <v>0.525</v>
      </c>
      <c r="M666" s="3">
        <v>13125.0</v>
      </c>
      <c r="N666" s="3">
        <v>3.0</v>
      </c>
      <c r="O666" s="3">
        <v>31337.0</v>
      </c>
      <c r="P666" s="3" t="s">
        <v>1993</v>
      </c>
      <c r="Q666" s="3">
        <v>680672.0</v>
      </c>
      <c r="R666" s="3"/>
      <c r="S666" s="3">
        <v>10500.0</v>
      </c>
      <c r="T666" s="3" t="s">
        <v>37</v>
      </c>
      <c r="U666" s="3">
        <v>10500.0</v>
      </c>
      <c r="V666" s="5">
        <f>(DATE(2026,2,3)-'RICE_Insured Farms_with PPI Pol'!$G666)+IF('RICE_Insured Farms_with PPI Pol'!$H666&lt;&gt;'RICE_Insured Farms_with PPI Pol'!$G666,18,0)</f>
        <v>50</v>
      </c>
      <c r="W666" s="3" t="str">
        <f t="array" ref="W666">IFS(V666&gt;120, "Harvested", V666&gt;=113, "Yellow Ripening", V666&gt;=101, "Dough Stage", V666&gt;=93, "Milking Stage", V666&gt;=86, "Flowering", V666&gt;=56, "Panicle Initiation/Booting", V666&lt;56, "Vegetative/Tillering")</f>
        <v>Vegetative/Tillering</v>
      </c>
    </row>
    <row r="667" ht="15.75" customHeight="1">
      <c r="A667" s="3">
        <v>666.0</v>
      </c>
      <c r="B667" s="3" t="s">
        <v>23</v>
      </c>
      <c r="C667" s="3" t="s">
        <v>68</v>
      </c>
      <c r="D667" s="3" t="s">
        <v>289</v>
      </c>
      <c r="E667" s="3" t="s">
        <v>1535</v>
      </c>
      <c r="F667" s="3">
        <v>1760015.0</v>
      </c>
      <c r="G667" s="4">
        <v>46019.0</v>
      </c>
      <c r="H667" s="4">
        <v>46121.0</v>
      </c>
      <c r="I667" s="3" t="s">
        <v>1990</v>
      </c>
      <c r="J667" s="3" t="s">
        <v>1994</v>
      </c>
      <c r="K667" s="3" t="s">
        <v>1995</v>
      </c>
      <c r="L667" s="3">
        <v>0.8541</v>
      </c>
      <c r="M667" s="3">
        <v>21352.5</v>
      </c>
      <c r="N667" s="3">
        <v>3.0</v>
      </c>
      <c r="O667" s="3">
        <v>31352.0</v>
      </c>
      <c r="P667" s="3" t="s">
        <v>1996</v>
      </c>
      <c r="Q667" s="3">
        <v>1323137.0</v>
      </c>
      <c r="R667" s="3"/>
      <c r="S667" s="3">
        <v>17082.0</v>
      </c>
      <c r="T667" s="3" t="s">
        <v>37</v>
      </c>
      <c r="U667" s="3">
        <v>17082.0</v>
      </c>
      <c r="V667" s="5">
        <f>(DATE(2026,2,3)-'RICE_Insured Farms_with PPI Pol'!$G667)+IF('RICE_Insured Farms_with PPI Pol'!$H667&lt;&gt;'RICE_Insured Farms_with PPI Pol'!$G667,18,0)</f>
        <v>55</v>
      </c>
      <c r="W667" s="3" t="str">
        <f t="array" ref="W667">IFS(V667&gt;120, "Harvested", V667&gt;=113, "Yellow Ripening", V667&gt;=101, "Dough Stage", V667&gt;=93, "Milking Stage", V667&gt;=86, "Flowering", V667&gt;=56, "Panicle Initiation/Booting", V667&lt;56, "Vegetative/Tillering")</f>
        <v>Vegetative/Tillering</v>
      </c>
    </row>
    <row r="668" ht="15.75" hidden="1" customHeight="1">
      <c r="A668" s="3">
        <v>667.0</v>
      </c>
      <c r="B668" s="3" t="s">
        <v>23</v>
      </c>
      <c r="C668" s="3" t="s">
        <v>24</v>
      </c>
      <c r="D668" s="3" t="s">
        <v>25</v>
      </c>
      <c r="E668" s="3" t="s">
        <v>32</v>
      </c>
      <c r="F668" s="3">
        <v>1760482.0</v>
      </c>
      <c r="G668" s="4">
        <v>46011.0</v>
      </c>
      <c r="H668" s="4">
        <v>46131.0</v>
      </c>
      <c r="I668" s="3" t="s">
        <v>1997</v>
      </c>
      <c r="J668" s="3" t="s">
        <v>1998</v>
      </c>
      <c r="K668" s="3" t="s">
        <v>1999</v>
      </c>
      <c r="L668" s="3">
        <v>2.2956</v>
      </c>
      <c r="M668" s="3">
        <v>57390.0</v>
      </c>
      <c r="N668" s="3">
        <v>2.0</v>
      </c>
      <c r="O668" s="3">
        <v>69183.0</v>
      </c>
      <c r="P668" s="3"/>
      <c r="Q668" s="3">
        <v>938919.0</v>
      </c>
      <c r="R668" s="3"/>
      <c r="S668" s="3">
        <v>40173.0</v>
      </c>
      <c r="T668" s="3" t="s">
        <v>31</v>
      </c>
      <c r="U668" s="3">
        <v>40173.0</v>
      </c>
      <c r="V668" s="5">
        <f>(DATE(2026,2,3)-'RICE_Insured Farms_with PPI Pol'!$G668)+IF('RICE_Insured Farms_with PPI Pol'!$H668&lt;&gt;'RICE_Insured Farms_with PPI Pol'!$G668,18,0)</f>
        <v>63</v>
      </c>
      <c r="W668" s="3" t="str">
        <f t="array" ref="W668">IFS(V668&gt;120, "Harvested", V668&gt;=113, "Yellow Ripening", V668&gt;=101, "Dough Stage", V668&gt;=93, "Milking Stage", V668&gt;=86, "Flowering", V668&gt;=56, "Panicle Initiation/Booting", V668&lt;56, "Vegetative/Tillering")</f>
        <v>Panicle Initiation/Booting</v>
      </c>
    </row>
    <row r="669" ht="15.75" hidden="1" customHeight="1">
      <c r="A669" s="3">
        <v>668.0</v>
      </c>
      <c r="B669" s="3" t="s">
        <v>23</v>
      </c>
      <c r="C669" s="3" t="s">
        <v>68</v>
      </c>
      <c r="D669" s="3" t="s">
        <v>289</v>
      </c>
      <c r="E669" s="3" t="s">
        <v>352</v>
      </c>
      <c r="F669" s="3">
        <v>1760044.0</v>
      </c>
      <c r="G669" s="4">
        <v>46030.0</v>
      </c>
      <c r="H669" s="4">
        <v>46132.0</v>
      </c>
      <c r="I669" s="3" t="s">
        <v>2000</v>
      </c>
      <c r="J669" s="3" t="s">
        <v>1893</v>
      </c>
      <c r="K669" s="3" t="s">
        <v>2001</v>
      </c>
      <c r="L669" s="3">
        <v>0.9014</v>
      </c>
      <c r="M669" s="3">
        <v>22535.0</v>
      </c>
      <c r="N669" s="3">
        <v>2.0</v>
      </c>
      <c r="O669" s="3">
        <v>299744.0</v>
      </c>
      <c r="P669" s="3"/>
      <c r="Q669" s="3">
        <v>1283346.0</v>
      </c>
      <c r="R669" s="3"/>
      <c r="S669" s="3">
        <v>15774.5</v>
      </c>
      <c r="T669" s="3" t="s">
        <v>31</v>
      </c>
      <c r="U669" s="3">
        <v>15774.5</v>
      </c>
      <c r="V669" s="5">
        <f>(DATE(2026,2,3)-'RICE_Insured Farms_with PPI Pol'!$G669)+IF('RICE_Insured Farms_with PPI Pol'!$H669&lt;&gt;'RICE_Insured Farms_with PPI Pol'!$G669,18,0)</f>
        <v>44</v>
      </c>
      <c r="W669" s="3" t="str">
        <f t="array" ref="W669">IFS(V669&gt;120, "Harvested", V669&gt;=113, "Yellow Ripening", V669&gt;=101, "Dough Stage", V669&gt;=93, "Milking Stage", V669&gt;=86, "Flowering", V669&gt;=56, "Panicle Initiation/Booting", V669&lt;56, "Vegetative/Tillering")</f>
        <v>Vegetative/Tillering</v>
      </c>
    </row>
    <row r="670" ht="15.75" customHeight="1">
      <c r="A670" s="3">
        <v>669.0</v>
      </c>
      <c r="B670" s="3" t="s">
        <v>23</v>
      </c>
      <c r="C670" s="3" t="s">
        <v>121</v>
      </c>
      <c r="D670" s="3" t="s">
        <v>2002</v>
      </c>
      <c r="E670" s="3" t="s">
        <v>2003</v>
      </c>
      <c r="F670" s="3">
        <v>1760606.0</v>
      </c>
      <c r="G670" s="4">
        <v>46021.0</v>
      </c>
      <c r="H670" s="4">
        <v>46116.0</v>
      </c>
      <c r="I670" s="3" t="s">
        <v>2004</v>
      </c>
      <c r="J670" s="3" t="s">
        <v>2005</v>
      </c>
      <c r="K670" s="3" t="s">
        <v>2006</v>
      </c>
      <c r="L670" s="3">
        <v>2.3782</v>
      </c>
      <c r="M670" s="3">
        <v>59455.0</v>
      </c>
      <c r="N670" s="3">
        <v>3.0</v>
      </c>
      <c r="O670" s="3">
        <v>11159.0</v>
      </c>
      <c r="P670" s="3"/>
      <c r="Q670" s="3">
        <v>1156142.0</v>
      </c>
      <c r="R670" s="3"/>
      <c r="S670" s="3">
        <v>47564.0</v>
      </c>
      <c r="T670" s="3" t="s">
        <v>37</v>
      </c>
      <c r="U670" s="3">
        <v>47564.0</v>
      </c>
      <c r="V670" s="5">
        <f>(DATE(2026,2,3)-'RICE_Insured Farms_with PPI Pol'!$G670)+IF('RICE_Insured Farms_with PPI Pol'!$H670&lt;&gt;'RICE_Insured Farms_with PPI Pol'!$G670,18,0)</f>
        <v>53</v>
      </c>
      <c r="W670" s="3" t="str">
        <f t="array" ref="W670">IFS(V670&gt;120, "Harvested", V670&gt;=113, "Yellow Ripening", V670&gt;=101, "Dough Stage", V670&gt;=93, "Milking Stage", V670&gt;=86, "Flowering", V670&gt;=56, "Panicle Initiation/Booting", V670&lt;56, "Vegetative/Tillering")</f>
        <v>Vegetative/Tillering</v>
      </c>
    </row>
    <row r="671" ht="15.75" hidden="1" customHeight="1">
      <c r="A671" s="3">
        <v>670.0</v>
      </c>
      <c r="B671" s="3" t="s">
        <v>23</v>
      </c>
      <c r="C671" s="3" t="s">
        <v>68</v>
      </c>
      <c r="D671" s="3" t="s">
        <v>289</v>
      </c>
      <c r="E671" s="3" t="s">
        <v>290</v>
      </c>
      <c r="F671" s="3">
        <v>1760047.0</v>
      </c>
      <c r="G671" s="4">
        <v>46036.0</v>
      </c>
      <c r="H671" s="4">
        <v>46138.0</v>
      </c>
      <c r="I671" s="3" t="s">
        <v>1792</v>
      </c>
      <c r="J671" s="3" t="s">
        <v>2007</v>
      </c>
      <c r="K671" s="3" t="s">
        <v>2008</v>
      </c>
      <c r="L671" s="3">
        <v>0.3287</v>
      </c>
      <c r="M671" s="3">
        <v>8217.5</v>
      </c>
      <c r="N671" s="3">
        <v>2.0</v>
      </c>
      <c r="O671" s="3">
        <v>356039.0</v>
      </c>
      <c r="P671" s="3"/>
      <c r="Q671" s="3">
        <v>1285781.0</v>
      </c>
      <c r="R671" s="3"/>
      <c r="S671" s="3">
        <v>5752.25</v>
      </c>
      <c r="T671" s="3" t="s">
        <v>31</v>
      </c>
      <c r="U671" s="3">
        <v>5752.25</v>
      </c>
      <c r="V671" s="5">
        <f>(DATE(2026,2,3)-'RICE_Insured Farms_with PPI Pol'!$G671)+IF('RICE_Insured Farms_with PPI Pol'!$H671&lt;&gt;'RICE_Insured Farms_with PPI Pol'!$G671,18,0)</f>
        <v>38</v>
      </c>
      <c r="W671" s="3" t="str">
        <f t="array" ref="W671">IFS(V671&gt;120, "Harvested", V671&gt;=113, "Yellow Ripening", V671&gt;=101, "Dough Stage", V671&gt;=93, "Milking Stage", V671&gt;=86, "Flowering", V671&gt;=56, "Panicle Initiation/Booting", V671&lt;56, "Vegetative/Tillering")</f>
        <v>Vegetative/Tillering</v>
      </c>
    </row>
    <row r="672" ht="15.75" hidden="1" customHeight="1">
      <c r="A672" s="3">
        <v>671.0</v>
      </c>
      <c r="B672" s="3" t="s">
        <v>23</v>
      </c>
      <c r="C672" s="3" t="s">
        <v>68</v>
      </c>
      <c r="D672" s="3" t="s">
        <v>69</v>
      </c>
      <c r="E672" s="3" t="s">
        <v>131</v>
      </c>
      <c r="F672" s="3">
        <v>1739649.0</v>
      </c>
      <c r="G672" s="4">
        <v>46027.0</v>
      </c>
      <c r="H672" s="4">
        <v>46129.0</v>
      </c>
      <c r="I672" s="3" t="s">
        <v>2009</v>
      </c>
      <c r="J672" s="3" t="s">
        <v>1690</v>
      </c>
      <c r="K672" s="3" t="s">
        <v>2010</v>
      </c>
      <c r="L672" s="3">
        <v>0.5228</v>
      </c>
      <c r="M672" s="3">
        <v>13070.0</v>
      </c>
      <c r="N672" s="3">
        <v>2.0</v>
      </c>
      <c r="O672" s="3">
        <v>436129.0</v>
      </c>
      <c r="P672" s="3" t="s">
        <v>2011</v>
      </c>
      <c r="Q672" s="3">
        <v>1137060.0</v>
      </c>
      <c r="R672" s="3"/>
      <c r="S672" s="3">
        <v>9149.0</v>
      </c>
      <c r="T672" s="3" t="s">
        <v>31</v>
      </c>
      <c r="U672" s="3">
        <v>9149.0</v>
      </c>
      <c r="V672" s="5">
        <f>(DATE(2026,2,3)-'RICE_Insured Farms_with PPI Pol'!$G672)+IF('RICE_Insured Farms_with PPI Pol'!$H672&lt;&gt;'RICE_Insured Farms_with PPI Pol'!$G672,18,0)</f>
        <v>47</v>
      </c>
      <c r="W672" s="3" t="str">
        <f t="array" ref="W672">IFS(V672&gt;120, "Harvested", V672&gt;=113, "Yellow Ripening", V672&gt;=101, "Dough Stage", V672&gt;=93, "Milking Stage", V672&gt;=86, "Flowering", V672&gt;=56, "Panicle Initiation/Booting", V672&lt;56, "Vegetative/Tillering")</f>
        <v>Vegetative/Tillering</v>
      </c>
    </row>
    <row r="673" ht="15.75" customHeight="1">
      <c r="A673" s="3">
        <v>672.0</v>
      </c>
      <c r="B673" s="3" t="s">
        <v>23</v>
      </c>
      <c r="C673" s="3" t="s">
        <v>68</v>
      </c>
      <c r="D673" s="3" t="s">
        <v>69</v>
      </c>
      <c r="E673" s="3" t="s">
        <v>131</v>
      </c>
      <c r="F673" s="3">
        <v>1739643.0</v>
      </c>
      <c r="G673" s="4">
        <v>46017.0</v>
      </c>
      <c r="H673" s="4">
        <v>46119.0</v>
      </c>
      <c r="I673" s="3" t="s">
        <v>2012</v>
      </c>
      <c r="J673" s="3" t="s">
        <v>672</v>
      </c>
      <c r="K673" s="3" t="s">
        <v>2013</v>
      </c>
      <c r="L673" s="3">
        <v>0.5</v>
      </c>
      <c r="M673" s="3">
        <v>12500.0</v>
      </c>
      <c r="N673" s="3">
        <v>3.0</v>
      </c>
      <c r="O673" s="3">
        <v>338718.0</v>
      </c>
      <c r="P673" s="3" t="s">
        <v>2014</v>
      </c>
      <c r="Q673" s="3">
        <v>1137586.0</v>
      </c>
      <c r="R673" s="3"/>
      <c r="S673" s="3">
        <v>10000.0</v>
      </c>
      <c r="T673" s="3" t="s">
        <v>37</v>
      </c>
      <c r="U673" s="3">
        <v>10000.0</v>
      </c>
      <c r="V673" s="5">
        <f>(DATE(2026,2,3)-'RICE_Insured Farms_with PPI Pol'!$G673)+IF('RICE_Insured Farms_with PPI Pol'!$H673&lt;&gt;'RICE_Insured Farms_with PPI Pol'!$G673,18,0)</f>
        <v>57</v>
      </c>
      <c r="W673" s="3" t="str">
        <f t="array" ref="W673">IFS(V673&gt;120, "Harvested", V673&gt;=113, "Yellow Ripening", V673&gt;=101, "Dough Stage", V673&gt;=93, "Milking Stage", V673&gt;=86, "Flowering", V673&gt;=56, "Panicle Initiation/Booting", V673&lt;56, "Vegetative/Tillering")</f>
        <v>Panicle Initiation/Booting</v>
      </c>
    </row>
    <row r="674" ht="15.75" customHeight="1">
      <c r="A674" s="3">
        <v>673.0</v>
      </c>
      <c r="B674" s="3" t="s">
        <v>23</v>
      </c>
      <c r="C674" s="3" t="s">
        <v>68</v>
      </c>
      <c r="D674" s="3" t="s">
        <v>69</v>
      </c>
      <c r="E674" s="3" t="s">
        <v>131</v>
      </c>
      <c r="F674" s="3">
        <v>1739643.0</v>
      </c>
      <c r="G674" s="4">
        <v>46019.0</v>
      </c>
      <c r="H674" s="4">
        <v>46121.0</v>
      </c>
      <c r="I674" s="3" t="s">
        <v>2012</v>
      </c>
      <c r="J674" s="3" t="s">
        <v>2015</v>
      </c>
      <c r="K674" s="3" t="s">
        <v>2016</v>
      </c>
      <c r="L674" s="3">
        <v>0.723</v>
      </c>
      <c r="M674" s="3">
        <v>18075.0</v>
      </c>
      <c r="N674" s="3">
        <v>3.0</v>
      </c>
      <c r="O674" s="3">
        <v>478154.0</v>
      </c>
      <c r="P674" s="3" t="s">
        <v>2017</v>
      </c>
      <c r="Q674" s="3">
        <v>1137172.0</v>
      </c>
      <c r="R674" s="3"/>
      <c r="S674" s="3">
        <v>14460.0</v>
      </c>
      <c r="T674" s="3" t="s">
        <v>37</v>
      </c>
      <c r="U674" s="3">
        <v>14460.0</v>
      </c>
      <c r="V674" s="5">
        <f>(DATE(2026,2,3)-'RICE_Insured Farms_with PPI Pol'!$G674)+IF('RICE_Insured Farms_with PPI Pol'!$H674&lt;&gt;'RICE_Insured Farms_with PPI Pol'!$G674,18,0)</f>
        <v>55</v>
      </c>
      <c r="W674" s="3" t="str">
        <f t="array" ref="W674">IFS(V674&gt;120, "Harvested", V674&gt;=113, "Yellow Ripening", V674&gt;=101, "Dough Stage", V674&gt;=93, "Milking Stage", V674&gt;=86, "Flowering", V674&gt;=56, "Panicle Initiation/Booting", V674&lt;56, "Vegetative/Tillering")</f>
        <v>Vegetative/Tillering</v>
      </c>
    </row>
    <row r="675" ht="15.75" customHeight="1">
      <c r="A675" s="3">
        <v>674.0</v>
      </c>
      <c r="B675" s="3" t="s">
        <v>23</v>
      </c>
      <c r="C675" s="3" t="s">
        <v>68</v>
      </c>
      <c r="D675" s="3" t="s">
        <v>69</v>
      </c>
      <c r="E675" s="3" t="s">
        <v>131</v>
      </c>
      <c r="F675" s="3">
        <v>1739638.0</v>
      </c>
      <c r="G675" s="4">
        <v>46022.0</v>
      </c>
      <c r="H675" s="4">
        <v>46124.0</v>
      </c>
      <c r="I675" s="3" t="s">
        <v>2018</v>
      </c>
      <c r="J675" s="3" t="s">
        <v>749</v>
      </c>
      <c r="K675" s="3" t="s">
        <v>2019</v>
      </c>
      <c r="L675" s="3">
        <v>0.3179</v>
      </c>
      <c r="M675" s="3">
        <v>7947.5</v>
      </c>
      <c r="N675" s="3">
        <v>3.0</v>
      </c>
      <c r="O675" s="3">
        <v>162301.0</v>
      </c>
      <c r="P675" s="3" t="s">
        <v>2020</v>
      </c>
      <c r="Q675" s="3">
        <v>1137668.0</v>
      </c>
      <c r="R675" s="3"/>
      <c r="S675" s="3">
        <v>6358.0</v>
      </c>
      <c r="T675" s="3" t="s">
        <v>37</v>
      </c>
      <c r="U675" s="3">
        <v>6358.0</v>
      </c>
      <c r="V675" s="5">
        <f>(DATE(2026,2,3)-'RICE_Insured Farms_with PPI Pol'!$G675)+IF('RICE_Insured Farms_with PPI Pol'!$H675&lt;&gt;'RICE_Insured Farms_with PPI Pol'!$G675,18,0)</f>
        <v>52</v>
      </c>
      <c r="W675" s="3" t="str">
        <f t="array" ref="W675">IFS(V675&gt;120, "Harvested", V675&gt;=113, "Yellow Ripening", V675&gt;=101, "Dough Stage", V675&gt;=93, "Milking Stage", V675&gt;=86, "Flowering", V675&gt;=56, "Panicle Initiation/Booting", V675&lt;56, "Vegetative/Tillering")</f>
        <v>Vegetative/Tillering</v>
      </c>
    </row>
    <row r="676" ht="15.75" hidden="1" customHeight="1">
      <c r="A676" s="3">
        <v>952.0</v>
      </c>
      <c r="B676" s="3" t="s">
        <v>23</v>
      </c>
      <c r="C676" s="3" t="s">
        <v>24</v>
      </c>
      <c r="D676" s="3" t="s">
        <v>25</v>
      </c>
      <c r="E676" s="3" t="s">
        <v>1164</v>
      </c>
      <c r="F676" s="3">
        <v>1760492.0</v>
      </c>
      <c r="G676" s="4">
        <v>46012.0</v>
      </c>
      <c r="H676" s="4">
        <v>46107.0</v>
      </c>
      <c r="I676" s="3" t="s">
        <v>1956</v>
      </c>
      <c r="J676" s="3" t="s">
        <v>1957</v>
      </c>
      <c r="K676" s="3" t="s">
        <v>1601</v>
      </c>
      <c r="L676" s="3">
        <v>0.3513</v>
      </c>
      <c r="M676" s="3">
        <v>8782.5</v>
      </c>
      <c r="N676" s="3">
        <v>4.0</v>
      </c>
      <c r="O676" s="3">
        <v>435767.0</v>
      </c>
      <c r="P676" s="3" t="s">
        <v>1958</v>
      </c>
      <c r="Q676" s="3">
        <v>1328504.0</v>
      </c>
      <c r="R676" s="3"/>
      <c r="S676" s="3">
        <v>7026.0</v>
      </c>
      <c r="T676" s="3" t="s">
        <v>56</v>
      </c>
      <c r="U676" s="3">
        <v>7026.0</v>
      </c>
      <c r="V676" s="5">
        <f>(DATE(2026,2,3)-'RICE_Insured Farms_with PPI Pol'!$G676)+IF('RICE_Insured Farms_with PPI Pol'!$H676&lt;&gt;'RICE_Insured Farms_with PPI Pol'!$G676,18,0)</f>
        <v>62</v>
      </c>
      <c r="W676" s="3" t="str">
        <f t="array" ref="W676">IFS(V676&gt;120, "Harvested", V676&gt;=113, "Yellow Ripening", V676&gt;=101, "Dough Stage", V676&gt;=93, "Milking Stage", V676&gt;=86, "Flowering", V676&gt;=56, "Panicle Initiation/Booting", V676&lt;56, "Vegetative/Tillering")</f>
        <v>Panicle Initiation/Booting</v>
      </c>
    </row>
    <row r="677" ht="15.75" hidden="1" customHeight="1">
      <c r="A677" s="3">
        <v>676.0</v>
      </c>
      <c r="B677" s="3" t="s">
        <v>23</v>
      </c>
      <c r="C677" s="3" t="s">
        <v>68</v>
      </c>
      <c r="D677" s="3" t="s">
        <v>289</v>
      </c>
      <c r="E677" s="3" t="s">
        <v>895</v>
      </c>
      <c r="F677" s="3">
        <v>1760019.0</v>
      </c>
      <c r="G677" s="4">
        <v>46027.0</v>
      </c>
      <c r="H677" s="4">
        <v>46129.0</v>
      </c>
      <c r="I677" s="3" t="s">
        <v>2021</v>
      </c>
      <c r="J677" s="3" t="s">
        <v>2022</v>
      </c>
      <c r="K677" s="3" t="s">
        <v>2023</v>
      </c>
      <c r="L677" s="3">
        <v>1.0726</v>
      </c>
      <c r="M677" s="3">
        <v>26815.0</v>
      </c>
      <c r="N677" s="3">
        <v>2.0</v>
      </c>
      <c r="O677" s="3">
        <v>123712.0</v>
      </c>
      <c r="P677" s="3" t="s">
        <v>2024</v>
      </c>
      <c r="Q677" s="3">
        <v>1205625.0</v>
      </c>
      <c r="R677" s="3"/>
      <c r="S677" s="3">
        <v>18770.5</v>
      </c>
      <c r="T677" s="3" t="s">
        <v>31</v>
      </c>
      <c r="U677" s="3">
        <v>18770.5</v>
      </c>
      <c r="V677" s="5">
        <f>(DATE(2026,2,3)-'RICE_Insured Farms_with PPI Pol'!$G677)+IF('RICE_Insured Farms_with PPI Pol'!$H677&lt;&gt;'RICE_Insured Farms_with PPI Pol'!$G677,18,0)</f>
        <v>47</v>
      </c>
      <c r="W677" s="3" t="str">
        <f t="array" ref="W677">IFS(V677&gt;120, "Harvested", V677&gt;=113, "Yellow Ripening", V677&gt;=101, "Dough Stage", V677&gt;=93, "Milking Stage", V677&gt;=86, "Flowering", V677&gt;=56, "Panicle Initiation/Booting", V677&lt;56, "Vegetative/Tillering")</f>
        <v>Vegetative/Tillering</v>
      </c>
    </row>
    <row r="678" ht="15.75" hidden="1" customHeight="1">
      <c r="A678" s="3">
        <v>962.0</v>
      </c>
      <c r="B678" s="3" t="s">
        <v>23</v>
      </c>
      <c r="C678" s="3" t="s">
        <v>24</v>
      </c>
      <c r="D678" s="3" t="s">
        <v>25</v>
      </c>
      <c r="E678" s="3" t="s">
        <v>1164</v>
      </c>
      <c r="F678" s="3">
        <v>1760492.0</v>
      </c>
      <c r="G678" s="4">
        <v>46011.0</v>
      </c>
      <c r="H678" s="4">
        <v>46106.0</v>
      </c>
      <c r="I678" s="3" t="s">
        <v>2025</v>
      </c>
      <c r="J678" s="3" t="s">
        <v>2026</v>
      </c>
      <c r="K678" s="3" t="s">
        <v>169</v>
      </c>
      <c r="L678" s="3">
        <v>0.2365</v>
      </c>
      <c r="M678" s="3">
        <v>5912.5</v>
      </c>
      <c r="N678" s="3">
        <v>4.0</v>
      </c>
      <c r="O678" s="3">
        <v>496586.0</v>
      </c>
      <c r="P678" s="3" t="s">
        <v>2027</v>
      </c>
      <c r="Q678" s="3">
        <v>1231582.0</v>
      </c>
      <c r="R678" s="3"/>
      <c r="S678" s="3">
        <v>4730.0</v>
      </c>
      <c r="T678" s="3" t="s">
        <v>56</v>
      </c>
      <c r="U678" s="3">
        <v>4730.0</v>
      </c>
      <c r="V678" s="5">
        <f>(DATE(2026,2,3)-'RICE_Insured Farms_with PPI Pol'!$G678)+IF('RICE_Insured Farms_with PPI Pol'!$H678&lt;&gt;'RICE_Insured Farms_with PPI Pol'!$G678,18,0)</f>
        <v>63</v>
      </c>
      <c r="W678" s="3" t="str">
        <f t="array" ref="W678">IFS(V678&gt;120, "Harvested", V678&gt;=113, "Yellow Ripening", V678&gt;=101, "Dough Stage", V678&gt;=93, "Milking Stage", V678&gt;=86, "Flowering", V678&gt;=56, "Panicle Initiation/Booting", V678&lt;56, "Vegetative/Tillering")</f>
        <v>Panicle Initiation/Booting</v>
      </c>
    </row>
    <row r="679" ht="15.75" hidden="1" customHeight="1">
      <c r="A679" s="3">
        <v>678.0</v>
      </c>
      <c r="B679" s="3" t="s">
        <v>23</v>
      </c>
      <c r="C679" s="3" t="s">
        <v>68</v>
      </c>
      <c r="D679" s="3" t="s">
        <v>289</v>
      </c>
      <c r="E679" s="3" t="s">
        <v>363</v>
      </c>
      <c r="F679" s="3">
        <v>1760059.0</v>
      </c>
      <c r="G679" s="4">
        <v>46049.0</v>
      </c>
      <c r="H679" s="4">
        <v>46151.0</v>
      </c>
      <c r="I679" s="3" t="s">
        <v>2028</v>
      </c>
      <c r="J679" s="3" t="s">
        <v>2029</v>
      </c>
      <c r="K679" s="3" t="s">
        <v>2030</v>
      </c>
      <c r="L679" s="3">
        <v>1.0905</v>
      </c>
      <c r="M679" s="3">
        <v>27262.5</v>
      </c>
      <c r="N679" s="3">
        <v>1.0</v>
      </c>
      <c r="O679" s="3">
        <v>128412.0</v>
      </c>
      <c r="P679" s="3" t="s">
        <v>2031</v>
      </c>
      <c r="Q679" s="3">
        <v>1280529.0</v>
      </c>
      <c r="R679" s="3"/>
      <c r="S679" s="3">
        <v>16357.5</v>
      </c>
      <c r="T679" s="3" t="s">
        <v>62</v>
      </c>
      <c r="U679" s="3">
        <v>16357.5</v>
      </c>
      <c r="V679" s="5">
        <f>(DATE(2026,2,3)-'RICE_Insured Farms_with PPI Pol'!$G679)+IF('RICE_Insured Farms_with PPI Pol'!$H679&lt;&gt;'RICE_Insured Farms_with PPI Pol'!$G679,18,0)</f>
        <v>25</v>
      </c>
      <c r="W679" s="3" t="str">
        <f t="array" ref="W679">IFS(V679&gt;120, "Harvested", V679&gt;=113, "Yellow Ripening", V679&gt;=101, "Dough Stage", V679&gt;=93, "Milking Stage", V679&gt;=86, "Flowering", V679&gt;=56, "Panicle Initiation/Booting", V679&lt;56, "Vegetative/Tillering")</f>
        <v>Vegetative/Tillering</v>
      </c>
    </row>
    <row r="680" ht="15.75" hidden="1" customHeight="1">
      <c r="A680" s="3">
        <v>983.0</v>
      </c>
      <c r="B680" s="3" t="s">
        <v>23</v>
      </c>
      <c r="C680" s="3" t="s">
        <v>24</v>
      </c>
      <c r="D680" s="3" t="s">
        <v>25</v>
      </c>
      <c r="E680" s="3" t="s">
        <v>1783</v>
      </c>
      <c r="F680" s="3">
        <v>1760481.0</v>
      </c>
      <c r="G680" s="4">
        <v>46001.0</v>
      </c>
      <c r="H680" s="4">
        <v>46096.0</v>
      </c>
      <c r="I680" s="3" t="s">
        <v>2032</v>
      </c>
      <c r="J680" s="3" t="s">
        <v>2033</v>
      </c>
      <c r="K680" s="3" t="s">
        <v>2034</v>
      </c>
      <c r="L680" s="3">
        <v>0.8509</v>
      </c>
      <c r="M680" s="3">
        <v>21272.5</v>
      </c>
      <c r="N680" s="3">
        <v>5.0</v>
      </c>
      <c r="O680" s="3">
        <v>177090.0</v>
      </c>
      <c r="P680" s="3" t="s">
        <v>2035</v>
      </c>
      <c r="Q680" s="3">
        <v>1326017.0</v>
      </c>
      <c r="R680" s="3"/>
      <c r="S680" s="3">
        <v>19145.25</v>
      </c>
      <c r="T680" s="3" t="s">
        <v>1002</v>
      </c>
      <c r="U680" s="3">
        <v>19145.25</v>
      </c>
      <c r="V680" s="5">
        <f>(DATE(2026,2,3)-'RICE_Insured Farms_with PPI Pol'!$G680)+IF('RICE_Insured Farms_with PPI Pol'!$H680&lt;&gt;'RICE_Insured Farms_with PPI Pol'!$G680,18,0)</f>
        <v>73</v>
      </c>
      <c r="W680" s="3" t="str">
        <f t="array" ref="W680">IFS(V680&gt;120, "Harvested", V680&gt;=113, "Yellow Ripening", V680&gt;=101, "Dough Stage", V680&gt;=93, "Milking Stage", V680&gt;=86, "Flowering", V680&gt;=56, "Panicle Initiation/Booting", V680&lt;56, "Vegetative/Tillering")</f>
        <v>Panicle Initiation/Booting</v>
      </c>
    </row>
    <row r="681" ht="15.75" customHeight="1">
      <c r="A681" s="3">
        <v>680.0</v>
      </c>
      <c r="B681" s="3" t="s">
        <v>23</v>
      </c>
      <c r="C681" s="3" t="s">
        <v>24</v>
      </c>
      <c r="D681" s="3" t="s">
        <v>25</v>
      </c>
      <c r="E681" s="3" t="s">
        <v>192</v>
      </c>
      <c r="F681" s="3">
        <v>1760479.0</v>
      </c>
      <c r="G681" s="4">
        <v>46013.0</v>
      </c>
      <c r="H681" s="4">
        <v>46114.0</v>
      </c>
      <c r="I681" s="3" t="s">
        <v>195</v>
      </c>
      <c r="J681" s="3" t="s">
        <v>2036</v>
      </c>
      <c r="K681" s="3" t="s">
        <v>2037</v>
      </c>
      <c r="L681" s="3">
        <v>0.9038</v>
      </c>
      <c r="M681" s="3">
        <v>22595.0</v>
      </c>
      <c r="N681" s="3">
        <v>3.0</v>
      </c>
      <c r="O681" s="3">
        <v>416099.0</v>
      </c>
      <c r="P681" s="3"/>
      <c r="Q681" s="3">
        <v>1132766.0</v>
      </c>
      <c r="R681" s="3"/>
      <c r="S681" s="3">
        <v>18076.0</v>
      </c>
      <c r="T681" s="3" t="s">
        <v>37</v>
      </c>
      <c r="U681" s="3">
        <v>18076.0</v>
      </c>
      <c r="V681" s="5">
        <f>(DATE(2026,2,3)-'RICE_Insured Farms_with PPI Pol'!$G681)+IF('RICE_Insured Farms_with PPI Pol'!$H681&lt;&gt;'RICE_Insured Farms_with PPI Pol'!$G681,18,0)</f>
        <v>61</v>
      </c>
      <c r="W681" s="3" t="str">
        <f t="array" ref="W681">IFS(V681&gt;120, "Harvested", V681&gt;=113, "Yellow Ripening", V681&gt;=101, "Dough Stage", V681&gt;=93, "Milking Stage", V681&gt;=86, "Flowering", V681&gt;=56, "Panicle Initiation/Booting", V681&lt;56, "Vegetative/Tillering")</f>
        <v>Panicle Initiation/Booting</v>
      </c>
    </row>
    <row r="682" ht="15.75" hidden="1" customHeight="1">
      <c r="A682" s="3">
        <v>681.0</v>
      </c>
      <c r="B682" s="3" t="s">
        <v>23</v>
      </c>
      <c r="C682" s="3" t="s">
        <v>24</v>
      </c>
      <c r="D682" s="3" t="s">
        <v>25</v>
      </c>
      <c r="E682" s="3" t="s">
        <v>637</v>
      </c>
      <c r="F682" s="3">
        <v>1760465.0</v>
      </c>
      <c r="G682" s="4">
        <v>46016.0</v>
      </c>
      <c r="H682" s="4">
        <v>46136.0</v>
      </c>
      <c r="I682" s="3" t="s">
        <v>2038</v>
      </c>
      <c r="J682" s="3" t="s">
        <v>2039</v>
      </c>
      <c r="K682" s="3" t="s">
        <v>1873</v>
      </c>
      <c r="L682" s="3">
        <v>0.3777</v>
      </c>
      <c r="M682" s="3">
        <v>9442.5</v>
      </c>
      <c r="N682" s="3">
        <v>2.0</v>
      </c>
      <c r="O682" s="3">
        <v>1311.0</v>
      </c>
      <c r="P682" s="3" t="s">
        <v>2040</v>
      </c>
      <c r="Q682" s="3">
        <v>888062.0</v>
      </c>
      <c r="R682" s="3"/>
      <c r="S682" s="3">
        <v>6609.75</v>
      </c>
      <c r="T682" s="3" t="s">
        <v>31</v>
      </c>
      <c r="U682" s="3">
        <v>6609.75</v>
      </c>
      <c r="V682" s="5">
        <f>(DATE(2026,2,3)-'RICE_Insured Farms_with PPI Pol'!$G682)+IF('RICE_Insured Farms_with PPI Pol'!$H682&lt;&gt;'RICE_Insured Farms_with PPI Pol'!$G682,18,0)</f>
        <v>58</v>
      </c>
      <c r="W682" s="3" t="str">
        <f t="array" ref="W682">IFS(V682&gt;120, "Harvested", V682&gt;=113, "Yellow Ripening", V682&gt;=101, "Dough Stage", V682&gt;=93, "Milking Stage", V682&gt;=86, "Flowering", V682&gt;=56, "Panicle Initiation/Booting", V682&lt;56, "Vegetative/Tillering")</f>
        <v>Panicle Initiation/Booting</v>
      </c>
    </row>
    <row r="683" ht="15.75" hidden="1" customHeight="1">
      <c r="A683" s="3">
        <v>682.0</v>
      </c>
      <c r="B683" s="3" t="s">
        <v>23</v>
      </c>
      <c r="C683" s="3" t="s">
        <v>24</v>
      </c>
      <c r="D683" s="3" t="s">
        <v>25</v>
      </c>
      <c r="E683" s="3" t="s">
        <v>1374</v>
      </c>
      <c r="F683" s="3">
        <v>1761015.0</v>
      </c>
      <c r="G683" s="4">
        <v>46040.0</v>
      </c>
      <c r="H683" s="4">
        <v>46145.0</v>
      </c>
      <c r="I683" s="3" t="s">
        <v>2041</v>
      </c>
      <c r="J683" s="3" t="s">
        <v>1344</v>
      </c>
      <c r="K683" s="3" t="s">
        <v>2042</v>
      </c>
      <c r="L683" s="3">
        <v>0.3129</v>
      </c>
      <c r="M683" s="3">
        <v>7822.5</v>
      </c>
      <c r="N683" s="3">
        <v>2.0</v>
      </c>
      <c r="O683" s="3">
        <v>449671.0</v>
      </c>
      <c r="P683" s="3" t="s">
        <v>2043</v>
      </c>
      <c r="Q683" s="3">
        <v>1220846.0</v>
      </c>
      <c r="R683" s="3"/>
      <c r="S683" s="3">
        <v>5475.75</v>
      </c>
      <c r="T683" s="3" t="s">
        <v>31</v>
      </c>
      <c r="U683" s="3">
        <v>5475.75</v>
      </c>
      <c r="V683" s="5">
        <f>(DATE(2026,2,3)-'RICE_Insured Farms_with PPI Pol'!$G683)+IF('RICE_Insured Farms_with PPI Pol'!$H683&lt;&gt;'RICE_Insured Farms_with PPI Pol'!$G683,18,0)</f>
        <v>34</v>
      </c>
      <c r="W683" s="3" t="str">
        <f t="array" ref="W683">IFS(V683&gt;120, "Harvested", V683&gt;=113, "Yellow Ripening", V683&gt;=101, "Dough Stage", V683&gt;=93, "Milking Stage", V683&gt;=86, "Flowering", V683&gt;=56, "Panicle Initiation/Booting", V683&lt;56, "Vegetative/Tillering")</f>
        <v>Vegetative/Tillering</v>
      </c>
    </row>
    <row r="684" ht="15.75" hidden="1" customHeight="1">
      <c r="A684" s="3">
        <v>989.0</v>
      </c>
      <c r="B684" s="3" t="s">
        <v>23</v>
      </c>
      <c r="C684" s="3" t="s">
        <v>24</v>
      </c>
      <c r="D684" s="3" t="s">
        <v>25</v>
      </c>
      <c r="E684" s="3" t="s">
        <v>1164</v>
      </c>
      <c r="F684" s="3">
        <v>1760491.0</v>
      </c>
      <c r="G684" s="4">
        <v>46014.0</v>
      </c>
      <c r="H684" s="4">
        <v>46111.0</v>
      </c>
      <c r="I684" s="3" t="s">
        <v>2044</v>
      </c>
      <c r="J684" s="3" t="s">
        <v>2045</v>
      </c>
      <c r="K684" s="3" t="s">
        <v>1601</v>
      </c>
      <c r="L684" s="3">
        <v>0.1384</v>
      </c>
      <c r="M684" s="3">
        <v>3460.0</v>
      </c>
      <c r="N684" s="3">
        <v>4.0</v>
      </c>
      <c r="O684" s="3">
        <v>313942.0</v>
      </c>
      <c r="P684" s="3" t="s">
        <v>2046</v>
      </c>
      <c r="Q684" s="3">
        <v>1328111.0</v>
      </c>
      <c r="R684" s="3"/>
      <c r="S684" s="3">
        <v>2768.0</v>
      </c>
      <c r="T684" s="3" t="s">
        <v>56</v>
      </c>
      <c r="U684" s="3">
        <v>2768.0</v>
      </c>
      <c r="V684" s="5">
        <f>(DATE(2026,2,3)-'RICE_Insured Farms_with PPI Pol'!$G684)+IF('RICE_Insured Farms_with PPI Pol'!$H684&lt;&gt;'RICE_Insured Farms_with PPI Pol'!$G684,18,0)</f>
        <v>60</v>
      </c>
      <c r="W684" s="3" t="str">
        <f t="array" ref="W684">IFS(V684&gt;120, "Harvested", V684&gt;=113, "Yellow Ripening", V684&gt;=101, "Dough Stage", V684&gt;=93, "Milking Stage", V684&gt;=86, "Flowering", V684&gt;=56, "Panicle Initiation/Booting", V684&lt;56, "Vegetative/Tillering")</f>
        <v>Panicle Initiation/Booting</v>
      </c>
    </row>
    <row r="685" ht="15.75" customHeight="1">
      <c r="A685" s="3">
        <v>684.0</v>
      </c>
      <c r="B685" s="3" t="s">
        <v>23</v>
      </c>
      <c r="C685" s="3" t="s">
        <v>68</v>
      </c>
      <c r="D685" s="3" t="s">
        <v>679</v>
      </c>
      <c r="E685" s="3" t="s">
        <v>299</v>
      </c>
      <c r="F685" s="3">
        <v>1175376.0</v>
      </c>
      <c r="G685" s="4">
        <v>46018.0</v>
      </c>
      <c r="H685" s="4">
        <v>46120.0</v>
      </c>
      <c r="I685" s="3" t="s">
        <v>325</v>
      </c>
      <c r="J685" s="3" t="s">
        <v>2047</v>
      </c>
      <c r="K685" s="3" t="s">
        <v>2048</v>
      </c>
      <c r="L685" s="3">
        <v>0.43</v>
      </c>
      <c r="M685" s="3">
        <v>10750.0</v>
      </c>
      <c r="N685" s="3">
        <v>3.0</v>
      </c>
      <c r="O685" s="3">
        <v>72314.0</v>
      </c>
      <c r="P685" s="3" t="s">
        <v>2049</v>
      </c>
      <c r="Q685" s="3">
        <v>1138751.0</v>
      </c>
      <c r="R685" s="3"/>
      <c r="S685" s="3">
        <v>8600.0</v>
      </c>
      <c r="T685" s="3" t="s">
        <v>37</v>
      </c>
      <c r="U685" s="3">
        <v>8600.0</v>
      </c>
      <c r="V685" s="5">
        <f>(DATE(2026,2,3)-'RICE_Insured Farms_with PPI Pol'!$G685)+IF('RICE_Insured Farms_with PPI Pol'!$H685&lt;&gt;'RICE_Insured Farms_with PPI Pol'!$G685,18,0)</f>
        <v>56</v>
      </c>
      <c r="W685" s="3" t="str">
        <f t="array" ref="W685">IFS(V685&gt;120, "Harvested", V685&gt;=113, "Yellow Ripening", V685&gt;=101, "Dough Stage", V685&gt;=93, "Milking Stage", V685&gt;=86, "Flowering", V685&gt;=56, "Panicle Initiation/Booting", V685&lt;56, "Vegetative/Tillering")</f>
        <v>Panicle Initiation/Booting</v>
      </c>
    </row>
    <row r="686" ht="15.75" customHeight="1">
      <c r="A686" s="3">
        <v>685.0</v>
      </c>
      <c r="B686" s="3" t="s">
        <v>23</v>
      </c>
      <c r="C686" s="3" t="s">
        <v>68</v>
      </c>
      <c r="D686" s="3" t="s">
        <v>69</v>
      </c>
      <c r="E686" s="3" t="s">
        <v>131</v>
      </c>
      <c r="F686" s="3">
        <v>1739645.0</v>
      </c>
      <c r="G686" s="4">
        <v>46019.0</v>
      </c>
      <c r="H686" s="4">
        <v>46121.0</v>
      </c>
      <c r="I686" s="3" t="s">
        <v>325</v>
      </c>
      <c r="J686" s="3" t="s">
        <v>2050</v>
      </c>
      <c r="K686" s="3" t="s">
        <v>73</v>
      </c>
      <c r="L686" s="3">
        <v>1.0923</v>
      </c>
      <c r="M686" s="3">
        <v>27307.5</v>
      </c>
      <c r="N686" s="3">
        <v>3.0</v>
      </c>
      <c r="O686" s="3">
        <v>338093.0</v>
      </c>
      <c r="P686" s="3" t="s">
        <v>2051</v>
      </c>
      <c r="Q686" s="3">
        <v>1137089.0</v>
      </c>
      <c r="R686" s="3"/>
      <c r="S686" s="3">
        <v>21846.0</v>
      </c>
      <c r="T686" s="3" t="s">
        <v>37</v>
      </c>
      <c r="U686" s="3">
        <v>21846.0</v>
      </c>
      <c r="V686" s="5">
        <f>(DATE(2026,2,3)-'RICE_Insured Farms_with PPI Pol'!$G686)+IF('RICE_Insured Farms_with PPI Pol'!$H686&lt;&gt;'RICE_Insured Farms_with PPI Pol'!$G686,18,0)</f>
        <v>55</v>
      </c>
      <c r="W686" s="3" t="str">
        <f t="array" ref="W686">IFS(V686&gt;120, "Harvested", V686&gt;=113, "Yellow Ripening", V686&gt;=101, "Dough Stage", V686&gt;=93, "Milking Stage", V686&gt;=86, "Flowering", V686&gt;=56, "Panicle Initiation/Booting", V686&lt;56, "Vegetative/Tillering")</f>
        <v>Vegetative/Tillering</v>
      </c>
    </row>
    <row r="687" ht="15.75" hidden="1" customHeight="1">
      <c r="A687" s="3">
        <v>686.0</v>
      </c>
      <c r="B687" s="3" t="s">
        <v>23</v>
      </c>
      <c r="C687" s="3" t="s">
        <v>68</v>
      </c>
      <c r="D687" s="3" t="s">
        <v>289</v>
      </c>
      <c r="E687" s="3" t="s">
        <v>290</v>
      </c>
      <c r="F687" s="3">
        <v>1760036.0</v>
      </c>
      <c r="G687" s="4">
        <v>46025.0</v>
      </c>
      <c r="H687" s="4">
        <v>46127.0</v>
      </c>
      <c r="I687" s="3" t="s">
        <v>2052</v>
      </c>
      <c r="J687" s="3" t="s">
        <v>971</v>
      </c>
      <c r="K687" s="3" t="s">
        <v>2053</v>
      </c>
      <c r="L687" s="3">
        <v>0.1473</v>
      </c>
      <c r="M687" s="3">
        <v>3682.5</v>
      </c>
      <c r="N687" s="3">
        <v>2.0</v>
      </c>
      <c r="O687" s="3">
        <v>195543.0</v>
      </c>
      <c r="P687" s="3" t="s">
        <v>2054</v>
      </c>
      <c r="Q687" s="3">
        <v>1281251.0</v>
      </c>
      <c r="R687" s="3"/>
      <c r="S687" s="3">
        <v>2577.75</v>
      </c>
      <c r="T687" s="3" t="s">
        <v>31</v>
      </c>
      <c r="U687" s="3">
        <v>2577.75</v>
      </c>
      <c r="V687" s="5">
        <f>(DATE(2026,2,3)-'RICE_Insured Farms_with PPI Pol'!$G687)+IF('RICE_Insured Farms_with PPI Pol'!$H687&lt;&gt;'RICE_Insured Farms_with PPI Pol'!$G687,18,0)</f>
        <v>49</v>
      </c>
      <c r="W687" s="3" t="str">
        <f t="array" ref="W687">IFS(V687&gt;120, "Harvested", V687&gt;=113, "Yellow Ripening", V687&gt;=101, "Dough Stage", V687&gt;=93, "Milking Stage", V687&gt;=86, "Flowering", V687&gt;=56, "Panicle Initiation/Booting", V687&lt;56, "Vegetative/Tillering")</f>
        <v>Vegetative/Tillering</v>
      </c>
    </row>
    <row r="688" ht="15.75" customHeight="1">
      <c r="A688" s="3">
        <v>687.0</v>
      </c>
      <c r="B688" s="3" t="s">
        <v>23</v>
      </c>
      <c r="C688" s="3" t="s">
        <v>68</v>
      </c>
      <c r="D688" s="3" t="s">
        <v>69</v>
      </c>
      <c r="E688" s="3" t="s">
        <v>131</v>
      </c>
      <c r="F688" s="3">
        <v>1739649.0</v>
      </c>
      <c r="G688" s="4">
        <v>46020.0</v>
      </c>
      <c r="H688" s="4">
        <v>46122.0</v>
      </c>
      <c r="I688" s="3" t="s">
        <v>2055</v>
      </c>
      <c r="J688" s="3" t="s">
        <v>1651</v>
      </c>
      <c r="K688" s="3" t="s">
        <v>2056</v>
      </c>
      <c r="L688" s="3">
        <v>0.4248</v>
      </c>
      <c r="M688" s="3">
        <v>10620.0</v>
      </c>
      <c r="N688" s="3">
        <v>3.0</v>
      </c>
      <c r="O688" s="3">
        <v>389146.0</v>
      </c>
      <c r="P688" s="3"/>
      <c r="Q688" s="3">
        <v>1318509.0</v>
      </c>
      <c r="R688" s="3"/>
      <c r="S688" s="3">
        <v>8496.0</v>
      </c>
      <c r="T688" s="3" t="s">
        <v>37</v>
      </c>
      <c r="U688" s="3">
        <v>8496.0</v>
      </c>
      <c r="V688" s="5">
        <f>(DATE(2026,2,3)-'RICE_Insured Farms_with PPI Pol'!$G688)+IF('RICE_Insured Farms_with PPI Pol'!$H688&lt;&gt;'RICE_Insured Farms_with PPI Pol'!$G688,18,0)</f>
        <v>54</v>
      </c>
      <c r="W688" s="3" t="str">
        <f t="array" ref="W688">IFS(V688&gt;120, "Harvested", V688&gt;=113, "Yellow Ripening", V688&gt;=101, "Dough Stage", V688&gt;=93, "Milking Stage", V688&gt;=86, "Flowering", V688&gt;=56, "Panicle Initiation/Booting", V688&lt;56, "Vegetative/Tillering")</f>
        <v>Vegetative/Tillering</v>
      </c>
    </row>
    <row r="689" ht="15.75" customHeight="1">
      <c r="A689" s="3">
        <v>688.0</v>
      </c>
      <c r="B689" s="3" t="s">
        <v>23</v>
      </c>
      <c r="C689" s="3" t="s">
        <v>68</v>
      </c>
      <c r="D689" s="3" t="s">
        <v>69</v>
      </c>
      <c r="E689" s="3" t="s">
        <v>131</v>
      </c>
      <c r="F689" s="3">
        <v>1739649.0</v>
      </c>
      <c r="G689" s="4">
        <v>46020.0</v>
      </c>
      <c r="H689" s="4">
        <v>46122.0</v>
      </c>
      <c r="I689" s="3" t="s">
        <v>2055</v>
      </c>
      <c r="J689" s="3" t="s">
        <v>1651</v>
      </c>
      <c r="K689" s="3" t="s">
        <v>2056</v>
      </c>
      <c r="L689" s="3">
        <v>0.4362</v>
      </c>
      <c r="M689" s="3">
        <v>10905.0</v>
      </c>
      <c r="N689" s="3">
        <v>3.0</v>
      </c>
      <c r="O689" s="3">
        <v>389146.0</v>
      </c>
      <c r="P689" s="3"/>
      <c r="Q689" s="3">
        <v>1318510.0</v>
      </c>
      <c r="R689" s="3"/>
      <c r="S689" s="3">
        <v>8724.0</v>
      </c>
      <c r="T689" s="3" t="s">
        <v>37</v>
      </c>
      <c r="U689" s="3">
        <v>8724.0</v>
      </c>
      <c r="V689" s="5">
        <f>(DATE(2026,2,3)-'RICE_Insured Farms_with PPI Pol'!$G689)+IF('RICE_Insured Farms_with PPI Pol'!$H689&lt;&gt;'RICE_Insured Farms_with PPI Pol'!$G689,18,0)</f>
        <v>54</v>
      </c>
      <c r="W689" s="3" t="str">
        <f t="array" ref="W689">IFS(V689&gt;120, "Harvested", V689&gt;=113, "Yellow Ripening", V689&gt;=101, "Dough Stage", V689&gt;=93, "Milking Stage", V689&gt;=86, "Flowering", V689&gt;=56, "Panicle Initiation/Booting", V689&lt;56, "Vegetative/Tillering")</f>
        <v>Vegetative/Tillering</v>
      </c>
    </row>
    <row r="690" ht="15.75" hidden="1" customHeight="1">
      <c r="A690" s="3">
        <v>689.0</v>
      </c>
      <c r="B690" s="3" t="s">
        <v>23</v>
      </c>
      <c r="C690" s="3" t="s">
        <v>68</v>
      </c>
      <c r="D690" s="3" t="s">
        <v>289</v>
      </c>
      <c r="E690" s="3" t="s">
        <v>431</v>
      </c>
      <c r="F690" s="3">
        <v>1760038.0</v>
      </c>
      <c r="G690" s="4">
        <v>46034.0</v>
      </c>
      <c r="H690" s="4">
        <v>46136.0</v>
      </c>
      <c r="I690" s="3" t="s">
        <v>2057</v>
      </c>
      <c r="J690" s="3" t="s">
        <v>2058</v>
      </c>
      <c r="K690" s="3" t="s">
        <v>2059</v>
      </c>
      <c r="L690" s="3">
        <v>1.1197</v>
      </c>
      <c r="M690" s="3">
        <v>27992.5</v>
      </c>
      <c r="N690" s="3">
        <v>2.0</v>
      </c>
      <c r="O690" s="3">
        <v>487109.0</v>
      </c>
      <c r="P690" s="3"/>
      <c r="Q690" s="3">
        <v>1277967.0</v>
      </c>
      <c r="R690" s="3"/>
      <c r="S690" s="3">
        <v>19594.75</v>
      </c>
      <c r="T690" s="3" t="s">
        <v>31</v>
      </c>
      <c r="U690" s="3">
        <v>19594.75</v>
      </c>
      <c r="V690" s="5">
        <f>(DATE(2026,2,3)-'RICE_Insured Farms_with PPI Pol'!$G690)+IF('RICE_Insured Farms_with PPI Pol'!$H690&lt;&gt;'RICE_Insured Farms_with PPI Pol'!$G690,18,0)</f>
        <v>40</v>
      </c>
      <c r="W690" s="3" t="str">
        <f t="array" ref="W690">IFS(V690&gt;120, "Harvested", V690&gt;=113, "Yellow Ripening", V690&gt;=101, "Dough Stage", V690&gt;=93, "Milking Stage", V690&gt;=86, "Flowering", V690&gt;=56, "Panicle Initiation/Booting", V690&lt;56, "Vegetative/Tillering")</f>
        <v>Vegetative/Tillering</v>
      </c>
    </row>
    <row r="691" ht="15.75" customHeight="1">
      <c r="A691" s="3">
        <v>690.0</v>
      </c>
      <c r="B691" s="3" t="s">
        <v>23</v>
      </c>
      <c r="C691" s="3" t="s">
        <v>68</v>
      </c>
      <c r="D691" s="3" t="s">
        <v>289</v>
      </c>
      <c r="E691" s="3" t="s">
        <v>743</v>
      </c>
      <c r="F691" s="3">
        <v>1760033.0</v>
      </c>
      <c r="G691" s="4">
        <v>46021.0</v>
      </c>
      <c r="H691" s="4">
        <v>46123.0</v>
      </c>
      <c r="I691" s="3" t="s">
        <v>2060</v>
      </c>
      <c r="J691" s="3" t="s">
        <v>2061</v>
      </c>
      <c r="K691" s="3" t="s">
        <v>223</v>
      </c>
      <c r="L691" s="3">
        <v>0.3983</v>
      </c>
      <c r="M691" s="3">
        <v>9957.5</v>
      </c>
      <c r="N691" s="3">
        <v>3.0</v>
      </c>
      <c r="O691" s="3">
        <v>162446.0</v>
      </c>
      <c r="P691" s="3" t="s">
        <v>2062</v>
      </c>
      <c r="Q691" s="3">
        <v>972885.0</v>
      </c>
      <c r="R691" s="3"/>
      <c r="S691" s="3">
        <v>7966.0</v>
      </c>
      <c r="T691" s="3" t="s">
        <v>37</v>
      </c>
      <c r="U691" s="3">
        <v>7966.0</v>
      </c>
      <c r="V691" s="5">
        <f>(DATE(2026,2,3)-'RICE_Insured Farms_with PPI Pol'!$G691)+IF('RICE_Insured Farms_with PPI Pol'!$H691&lt;&gt;'RICE_Insured Farms_with PPI Pol'!$G691,18,0)</f>
        <v>53</v>
      </c>
      <c r="W691" s="3" t="str">
        <f t="array" ref="W691">IFS(V691&gt;120, "Harvested", V691&gt;=113, "Yellow Ripening", V691&gt;=101, "Dough Stage", V691&gt;=93, "Milking Stage", V691&gt;=86, "Flowering", V691&gt;=56, "Panicle Initiation/Booting", V691&lt;56, "Vegetative/Tillering")</f>
        <v>Vegetative/Tillering</v>
      </c>
    </row>
    <row r="692" ht="15.75" customHeight="1">
      <c r="A692" s="3">
        <v>691.0</v>
      </c>
      <c r="B692" s="3" t="s">
        <v>23</v>
      </c>
      <c r="C692" s="3" t="s">
        <v>68</v>
      </c>
      <c r="D692" s="3" t="s">
        <v>289</v>
      </c>
      <c r="E692" s="3" t="s">
        <v>743</v>
      </c>
      <c r="F692" s="3">
        <v>1760026.0</v>
      </c>
      <c r="G692" s="4">
        <v>46013.0</v>
      </c>
      <c r="H692" s="4">
        <v>46115.0</v>
      </c>
      <c r="I692" s="3" t="s">
        <v>2060</v>
      </c>
      <c r="J692" s="3" t="s">
        <v>2063</v>
      </c>
      <c r="K692" s="3" t="s">
        <v>846</v>
      </c>
      <c r="L692" s="3">
        <v>0.5688</v>
      </c>
      <c r="M692" s="3">
        <v>14220.0</v>
      </c>
      <c r="N692" s="3">
        <v>3.0</v>
      </c>
      <c r="O692" s="3">
        <v>129204.0</v>
      </c>
      <c r="P692" s="3" t="s">
        <v>2064</v>
      </c>
      <c r="Q692" s="3">
        <v>1136390.0</v>
      </c>
      <c r="R692" s="3"/>
      <c r="S692" s="3">
        <v>11376.0</v>
      </c>
      <c r="T692" s="3" t="s">
        <v>37</v>
      </c>
      <c r="U692" s="3">
        <v>11376.0</v>
      </c>
      <c r="V692" s="5">
        <f>(DATE(2026,2,3)-'RICE_Insured Farms_with PPI Pol'!$G692)+IF('RICE_Insured Farms_with PPI Pol'!$H692&lt;&gt;'RICE_Insured Farms_with PPI Pol'!$G692,18,0)</f>
        <v>61</v>
      </c>
      <c r="W692" s="3" t="str">
        <f t="array" ref="W692">IFS(V692&gt;120, "Harvested", V692&gt;=113, "Yellow Ripening", V692&gt;=101, "Dough Stage", V692&gt;=93, "Milking Stage", V692&gt;=86, "Flowering", V692&gt;=56, "Panicle Initiation/Booting", V692&lt;56, "Vegetative/Tillering")</f>
        <v>Panicle Initiation/Booting</v>
      </c>
    </row>
    <row r="693" ht="15.75" hidden="1" customHeight="1">
      <c r="A693" s="3">
        <v>1051.0</v>
      </c>
      <c r="B693" s="3" t="s">
        <v>23</v>
      </c>
      <c r="C693" s="3" t="s">
        <v>24</v>
      </c>
      <c r="D693" s="3" t="s">
        <v>25</v>
      </c>
      <c r="E693" s="3" t="s">
        <v>1164</v>
      </c>
      <c r="F693" s="3">
        <v>1760491.0</v>
      </c>
      <c r="G693" s="4">
        <v>46014.0</v>
      </c>
      <c r="H693" s="4">
        <v>46111.0</v>
      </c>
      <c r="I693" s="3" t="s">
        <v>2065</v>
      </c>
      <c r="J693" s="3" t="s">
        <v>1482</v>
      </c>
      <c r="K693" s="3" t="s">
        <v>2066</v>
      </c>
      <c r="L693" s="3">
        <v>0.3555</v>
      </c>
      <c r="M693" s="3">
        <v>8887.5</v>
      </c>
      <c r="N693" s="3">
        <v>4.0</v>
      </c>
      <c r="O693" s="3">
        <v>297195.0</v>
      </c>
      <c r="P693" s="3" t="s">
        <v>2067</v>
      </c>
      <c r="Q693" s="3">
        <v>1276785.0</v>
      </c>
      <c r="R693" s="3"/>
      <c r="S693" s="3">
        <v>7110.0</v>
      </c>
      <c r="T693" s="3" t="s">
        <v>56</v>
      </c>
      <c r="U693" s="3">
        <v>7110.0</v>
      </c>
      <c r="V693" s="5">
        <f>(DATE(2026,2,3)-'RICE_Insured Farms_with PPI Pol'!$G693)+IF('RICE_Insured Farms_with PPI Pol'!$H693&lt;&gt;'RICE_Insured Farms_with PPI Pol'!$G693,18,0)</f>
        <v>60</v>
      </c>
      <c r="W693" s="3" t="str">
        <f t="array" ref="W693">IFS(V693&gt;120, "Harvested", V693&gt;=113, "Yellow Ripening", V693&gt;=101, "Dough Stage", V693&gt;=93, "Milking Stage", V693&gt;=86, "Flowering", V693&gt;=56, "Panicle Initiation/Booting", V693&lt;56, "Vegetative/Tillering")</f>
        <v>Panicle Initiation/Booting</v>
      </c>
    </row>
    <row r="694" ht="15.75" hidden="1" customHeight="1">
      <c r="A694" s="3">
        <v>1052.0</v>
      </c>
      <c r="B694" s="3" t="s">
        <v>23</v>
      </c>
      <c r="C694" s="3" t="s">
        <v>24</v>
      </c>
      <c r="D694" s="3" t="s">
        <v>25</v>
      </c>
      <c r="E694" s="3" t="s">
        <v>1164</v>
      </c>
      <c r="F694" s="3">
        <v>1760491.0</v>
      </c>
      <c r="G694" s="4">
        <v>46014.0</v>
      </c>
      <c r="H694" s="4">
        <v>46111.0</v>
      </c>
      <c r="I694" s="3" t="s">
        <v>2065</v>
      </c>
      <c r="J694" s="3" t="s">
        <v>1482</v>
      </c>
      <c r="K694" s="3" t="s">
        <v>2066</v>
      </c>
      <c r="L694" s="3">
        <v>0.3527</v>
      </c>
      <c r="M694" s="3">
        <v>8817.5</v>
      </c>
      <c r="N694" s="3">
        <v>4.0</v>
      </c>
      <c r="O694" s="3">
        <v>297195.0</v>
      </c>
      <c r="P694" s="3" t="s">
        <v>2067</v>
      </c>
      <c r="Q694" s="3">
        <v>1328510.0</v>
      </c>
      <c r="R694" s="3"/>
      <c r="S694" s="3">
        <v>7054.0</v>
      </c>
      <c r="T694" s="3" t="s">
        <v>56</v>
      </c>
      <c r="U694" s="3">
        <v>7054.0</v>
      </c>
      <c r="V694" s="5">
        <f>(DATE(2026,2,3)-'RICE_Insured Farms_with PPI Pol'!$G694)+IF('RICE_Insured Farms_with PPI Pol'!$H694&lt;&gt;'RICE_Insured Farms_with PPI Pol'!$G694,18,0)</f>
        <v>60</v>
      </c>
      <c r="W694" s="3" t="str">
        <f t="array" ref="W694">IFS(V694&gt;120, "Harvested", V694&gt;=113, "Yellow Ripening", V694&gt;=101, "Dough Stage", V694&gt;=93, "Milking Stage", V694&gt;=86, "Flowering", V694&gt;=56, "Panicle Initiation/Booting", V694&lt;56, "Vegetative/Tillering")</f>
        <v>Panicle Initiation/Booting</v>
      </c>
    </row>
    <row r="695" ht="15.75" hidden="1" customHeight="1">
      <c r="A695" s="3">
        <v>694.0</v>
      </c>
      <c r="B695" s="3" t="s">
        <v>23</v>
      </c>
      <c r="C695" s="3" t="s">
        <v>68</v>
      </c>
      <c r="D695" s="3" t="s">
        <v>289</v>
      </c>
      <c r="E695" s="3" t="s">
        <v>507</v>
      </c>
      <c r="F695" s="3">
        <v>1760030.0</v>
      </c>
      <c r="G695" s="4">
        <v>46036.0</v>
      </c>
      <c r="H695" s="4">
        <v>46138.0</v>
      </c>
      <c r="I695" s="3" t="s">
        <v>862</v>
      </c>
      <c r="J695" s="3" t="s">
        <v>2068</v>
      </c>
      <c r="K695" s="3" t="s">
        <v>2069</v>
      </c>
      <c r="L695" s="3">
        <v>1.2043</v>
      </c>
      <c r="M695" s="3">
        <v>30107.5</v>
      </c>
      <c r="N695" s="3">
        <v>2.0</v>
      </c>
      <c r="O695" s="3">
        <v>192803.0</v>
      </c>
      <c r="P695" s="3"/>
      <c r="Q695" s="3">
        <v>1287217.0</v>
      </c>
      <c r="R695" s="3"/>
      <c r="S695" s="3">
        <v>21075.25</v>
      </c>
      <c r="T695" s="3" t="s">
        <v>31</v>
      </c>
      <c r="U695" s="3">
        <v>21075.25</v>
      </c>
      <c r="V695" s="5">
        <f>(DATE(2026,2,3)-'RICE_Insured Farms_with PPI Pol'!$G695)+IF('RICE_Insured Farms_with PPI Pol'!$H695&lt;&gt;'RICE_Insured Farms_with PPI Pol'!$G695,18,0)</f>
        <v>38</v>
      </c>
      <c r="W695" s="3" t="str">
        <f t="array" ref="W695">IFS(V695&gt;120, "Harvested", V695&gt;=113, "Yellow Ripening", V695&gt;=101, "Dough Stage", V695&gt;=93, "Milking Stage", V695&gt;=86, "Flowering", V695&gt;=56, "Panicle Initiation/Booting", V695&lt;56, "Vegetative/Tillering")</f>
        <v>Vegetative/Tillering</v>
      </c>
    </row>
    <row r="696" ht="15.75" hidden="1" customHeight="1">
      <c r="A696" s="3">
        <v>695.0</v>
      </c>
      <c r="B696" s="3" t="s">
        <v>23</v>
      </c>
      <c r="C696" s="3" t="s">
        <v>68</v>
      </c>
      <c r="D696" s="3" t="s">
        <v>289</v>
      </c>
      <c r="E696" s="3" t="s">
        <v>290</v>
      </c>
      <c r="F696" s="3">
        <v>1760036.0</v>
      </c>
      <c r="G696" s="4">
        <v>46037.0</v>
      </c>
      <c r="H696" s="4">
        <v>46139.0</v>
      </c>
      <c r="I696" s="3" t="s">
        <v>1760</v>
      </c>
      <c r="J696" s="3" t="s">
        <v>2070</v>
      </c>
      <c r="K696" s="3" t="s">
        <v>526</v>
      </c>
      <c r="L696" s="3">
        <v>0.3324</v>
      </c>
      <c r="M696" s="3">
        <v>8310.0</v>
      </c>
      <c r="N696" s="3">
        <v>2.0</v>
      </c>
      <c r="O696" s="3">
        <v>208465.0</v>
      </c>
      <c r="P696" s="3" t="s">
        <v>2071</v>
      </c>
      <c r="Q696" s="3">
        <v>352738.0</v>
      </c>
      <c r="R696" s="3"/>
      <c r="S696" s="3">
        <v>5817.0</v>
      </c>
      <c r="T696" s="3" t="s">
        <v>31</v>
      </c>
      <c r="U696" s="3">
        <v>5817.0</v>
      </c>
      <c r="V696" s="5">
        <f>(DATE(2026,2,3)-'RICE_Insured Farms_with PPI Pol'!$G696)+IF('RICE_Insured Farms_with PPI Pol'!$H696&lt;&gt;'RICE_Insured Farms_with PPI Pol'!$G696,18,0)</f>
        <v>37</v>
      </c>
      <c r="W696" s="3" t="str">
        <f t="array" ref="W696">IFS(V696&gt;120, "Harvested", V696&gt;=113, "Yellow Ripening", V696&gt;=101, "Dough Stage", V696&gt;=93, "Milking Stage", V696&gt;=86, "Flowering", V696&gt;=56, "Panicle Initiation/Booting", V696&lt;56, "Vegetative/Tillering")</f>
        <v>Vegetative/Tillering</v>
      </c>
    </row>
    <row r="697" ht="15.75" hidden="1" customHeight="1">
      <c r="A697" s="3">
        <v>696.0</v>
      </c>
      <c r="B697" s="3" t="s">
        <v>23</v>
      </c>
      <c r="C697" s="3" t="s">
        <v>24</v>
      </c>
      <c r="D697" s="3" t="s">
        <v>25</v>
      </c>
      <c r="E697" s="3" t="s">
        <v>32</v>
      </c>
      <c r="F697" s="3">
        <v>1760478.0</v>
      </c>
      <c r="G697" s="4">
        <v>46012.0</v>
      </c>
      <c r="H697" s="4">
        <v>46132.0</v>
      </c>
      <c r="I697" s="3" t="s">
        <v>2072</v>
      </c>
      <c r="J697" s="3" t="s">
        <v>2073</v>
      </c>
      <c r="K697" s="3" t="s">
        <v>2074</v>
      </c>
      <c r="L697" s="3">
        <v>2.0</v>
      </c>
      <c r="M697" s="3">
        <v>50000.0</v>
      </c>
      <c r="N697" s="3">
        <v>2.0</v>
      </c>
      <c r="O697" s="3">
        <v>16094.0</v>
      </c>
      <c r="P697" s="3" t="s">
        <v>2075</v>
      </c>
      <c r="Q697" s="3">
        <v>1273003.0</v>
      </c>
      <c r="R697" s="3"/>
      <c r="S697" s="3">
        <v>35000.0</v>
      </c>
      <c r="T697" s="3" t="s">
        <v>31</v>
      </c>
      <c r="U697" s="3">
        <v>35000.0</v>
      </c>
      <c r="V697" s="5">
        <f>(DATE(2026,2,3)-'RICE_Insured Farms_with PPI Pol'!$G697)+IF('RICE_Insured Farms_with PPI Pol'!$H697&lt;&gt;'RICE_Insured Farms_with PPI Pol'!$G697,18,0)</f>
        <v>62</v>
      </c>
      <c r="W697" s="3" t="str">
        <f t="array" ref="W697">IFS(V697&gt;120, "Harvested", V697&gt;=113, "Yellow Ripening", V697&gt;=101, "Dough Stage", V697&gt;=93, "Milking Stage", V697&gt;=86, "Flowering", V697&gt;=56, "Panicle Initiation/Booting", V697&lt;56, "Vegetative/Tillering")</f>
        <v>Panicle Initiation/Booting</v>
      </c>
    </row>
    <row r="698" ht="15.75" hidden="1" customHeight="1">
      <c r="A698" s="3">
        <v>697.0</v>
      </c>
      <c r="B698" s="3" t="s">
        <v>23</v>
      </c>
      <c r="C698" s="3" t="s">
        <v>1453</v>
      </c>
      <c r="D698" s="3" t="s">
        <v>1454</v>
      </c>
      <c r="E698" s="3" t="s">
        <v>1455</v>
      </c>
      <c r="F698" s="3">
        <v>1742023.0</v>
      </c>
      <c r="G698" s="4">
        <v>46027.0</v>
      </c>
      <c r="H698" s="4">
        <v>46129.0</v>
      </c>
      <c r="I698" s="3" t="s">
        <v>2076</v>
      </c>
      <c r="J698" s="3" t="s">
        <v>2077</v>
      </c>
      <c r="K698" s="3" t="s">
        <v>1950</v>
      </c>
      <c r="L698" s="3">
        <v>0.25</v>
      </c>
      <c r="M698" s="3">
        <v>6250.0</v>
      </c>
      <c r="N698" s="3">
        <v>2.0</v>
      </c>
      <c r="O698" s="3">
        <v>83991.0</v>
      </c>
      <c r="P698" s="3" t="s">
        <v>2078</v>
      </c>
      <c r="Q698" s="3">
        <v>1318587.0</v>
      </c>
      <c r="R698" s="3"/>
      <c r="S698" s="3">
        <v>4375.0</v>
      </c>
      <c r="T698" s="3" t="s">
        <v>31</v>
      </c>
      <c r="U698" s="3">
        <v>4375.0</v>
      </c>
      <c r="V698" s="5">
        <f>(DATE(2026,2,3)-'RICE_Insured Farms_with PPI Pol'!$G698)+IF('RICE_Insured Farms_with PPI Pol'!$H698&lt;&gt;'RICE_Insured Farms_with PPI Pol'!$G698,18,0)</f>
        <v>47</v>
      </c>
      <c r="W698" s="3" t="str">
        <f t="array" ref="W698">IFS(V698&gt;120, "Harvested", V698&gt;=113, "Yellow Ripening", V698&gt;=101, "Dough Stage", V698&gt;=93, "Milking Stage", V698&gt;=86, "Flowering", V698&gt;=56, "Panicle Initiation/Booting", V698&lt;56, "Vegetative/Tillering")</f>
        <v>Vegetative/Tillering</v>
      </c>
    </row>
    <row r="699" ht="15.75" hidden="1" customHeight="1">
      <c r="A699" s="3">
        <v>698.0</v>
      </c>
      <c r="B699" s="3" t="s">
        <v>23</v>
      </c>
      <c r="C699" s="3" t="s">
        <v>68</v>
      </c>
      <c r="D699" s="3" t="s">
        <v>289</v>
      </c>
      <c r="E699" s="3" t="s">
        <v>290</v>
      </c>
      <c r="F699" s="3">
        <v>1760035.0</v>
      </c>
      <c r="G699" s="4">
        <v>46036.0</v>
      </c>
      <c r="H699" s="4">
        <v>46138.0</v>
      </c>
      <c r="I699" s="3" t="s">
        <v>1507</v>
      </c>
      <c r="J699" s="3" t="s">
        <v>712</v>
      </c>
      <c r="K699" s="3" t="s">
        <v>293</v>
      </c>
      <c r="L699" s="3">
        <v>0.1058</v>
      </c>
      <c r="M699" s="3">
        <v>2645.0</v>
      </c>
      <c r="N699" s="3">
        <v>2.0</v>
      </c>
      <c r="O699" s="3">
        <v>195145.0</v>
      </c>
      <c r="P699" s="3" t="s">
        <v>2079</v>
      </c>
      <c r="Q699" s="3">
        <v>1145190.0</v>
      </c>
      <c r="R699" s="3"/>
      <c r="S699" s="3">
        <v>1851.5</v>
      </c>
      <c r="T699" s="3" t="s">
        <v>31</v>
      </c>
      <c r="U699" s="3">
        <v>1851.5</v>
      </c>
      <c r="V699" s="5">
        <f>(DATE(2026,2,3)-'RICE_Insured Farms_with PPI Pol'!$G699)+IF('RICE_Insured Farms_with PPI Pol'!$H699&lt;&gt;'RICE_Insured Farms_with PPI Pol'!$G699,18,0)</f>
        <v>38</v>
      </c>
      <c r="W699" s="3" t="str">
        <f t="array" ref="W699">IFS(V699&gt;120, "Harvested", V699&gt;=113, "Yellow Ripening", V699&gt;=101, "Dough Stage", V699&gt;=93, "Milking Stage", V699&gt;=86, "Flowering", V699&gt;=56, "Panicle Initiation/Booting", V699&lt;56, "Vegetative/Tillering")</f>
        <v>Vegetative/Tillering</v>
      </c>
    </row>
    <row r="700" ht="15.75" hidden="1" customHeight="1">
      <c r="A700" s="3">
        <v>699.0</v>
      </c>
      <c r="B700" s="3" t="s">
        <v>23</v>
      </c>
      <c r="C700" s="3" t="s">
        <v>68</v>
      </c>
      <c r="D700" s="3" t="s">
        <v>289</v>
      </c>
      <c r="E700" s="3" t="s">
        <v>290</v>
      </c>
      <c r="F700" s="3">
        <v>1760035.0</v>
      </c>
      <c r="G700" s="4">
        <v>46036.0</v>
      </c>
      <c r="H700" s="4">
        <v>46138.0</v>
      </c>
      <c r="I700" s="3" t="s">
        <v>1507</v>
      </c>
      <c r="J700" s="3" t="s">
        <v>712</v>
      </c>
      <c r="K700" s="3" t="s">
        <v>293</v>
      </c>
      <c r="L700" s="3">
        <v>0.4407</v>
      </c>
      <c r="M700" s="3">
        <v>11017.5</v>
      </c>
      <c r="N700" s="3">
        <v>2.0</v>
      </c>
      <c r="O700" s="3">
        <v>195145.0</v>
      </c>
      <c r="P700" s="3" t="s">
        <v>2079</v>
      </c>
      <c r="Q700" s="3">
        <v>963445.0</v>
      </c>
      <c r="R700" s="3"/>
      <c r="S700" s="3">
        <v>7712.25</v>
      </c>
      <c r="T700" s="3" t="s">
        <v>31</v>
      </c>
      <c r="U700" s="3">
        <v>7712.25</v>
      </c>
      <c r="V700" s="5">
        <f>(DATE(2026,2,3)-'RICE_Insured Farms_with PPI Pol'!$G700)+IF('RICE_Insured Farms_with PPI Pol'!$H700&lt;&gt;'RICE_Insured Farms_with PPI Pol'!$G700,18,0)</f>
        <v>38</v>
      </c>
      <c r="W700" s="3" t="str">
        <f t="array" ref="W700">IFS(V700&gt;120, "Harvested", V700&gt;=113, "Yellow Ripening", V700&gt;=101, "Dough Stage", V700&gt;=93, "Milking Stage", V700&gt;=86, "Flowering", V700&gt;=56, "Panicle Initiation/Booting", V700&lt;56, "Vegetative/Tillering")</f>
        <v>Vegetative/Tillering</v>
      </c>
    </row>
    <row r="701" ht="15.75" hidden="1" customHeight="1">
      <c r="A701" s="3">
        <v>700.0</v>
      </c>
      <c r="B701" s="3" t="s">
        <v>23</v>
      </c>
      <c r="C701" s="3" t="s">
        <v>24</v>
      </c>
      <c r="D701" s="3" t="s">
        <v>25</v>
      </c>
      <c r="E701" s="3" t="s">
        <v>1164</v>
      </c>
      <c r="F701" s="3">
        <v>1760492.0</v>
      </c>
      <c r="G701" s="4">
        <v>46011.0</v>
      </c>
      <c r="H701" s="4">
        <v>46131.0</v>
      </c>
      <c r="I701" s="3" t="s">
        <v>2080</v>
      </c>
      <c r="J701" s="3" t="s">
        <v>2081</v>
      </c>
      <c r="K701" s="3" t="s">
        <v>2082</v>
      </c>
      <c r="L701" s="3">
        <v>1.3472</v>
      </c>
      <c r="M701" s="3">
        <v>33680.0</v>
      </c>
      <c r="N701" s="3">
        <v>2.0</v>
      </c>
      <c r="O701" s="3">
        <v>296776.0</v>
      </c>
      <c r="P701" s="3" t="s">
        <v>2083</v>
      </c>
      <c r="Q701" s="3">
        <v>1277170.0</v>
      </c>
      <c r="R701" s="3"/>
      <c r="S701" s="3">
        <v>23576.0</v>
      </c>
      <c r="T701" s="3" t="s">
        <v>31</v>
      </c>
      <c r="U701" s="3">
        <v>23576.0</v>
      </c>
      <c r="V701" s="5">
        <f>(DATE(2026,2,3)-'RICE_Insured Farms_with PPI Pol'!$G701)+IF('RICE_Insured Farms_with PPI Pol'!$H701&lt;&gt;'RICE_Insured Farms_with PPI Pol'!$G701,18,0)</f>
        <v>63</v>
      </c>
      <c r="W701" s="3" t="str">
        <f t="array" ref="W701">IFS(V701&gt;120, "Harvested", V701&gt;=113, "Yellow Ripening", V701&gt;=101, "Dough Stage", V701&gt;=93, "Milking Stage", V701&gt;=86, "Flowering", V701&gt;=56, "Panicle Initiation/Booting", V701&lt;56, "Vegetative/Tillering")</f>
        <v>Panicle Initiation/Booting</v>
      </c>
    </row>
    <row r="702" ht="15.75" hidden="1" customHeight="1">
      <c r="A702" s="3">
        <v>1053.0</v>
      </c>
      <c r="B702" s="3" t="s">
        <v>23</v>
      </c>
      <c r="C702" s="3" t="s">
        <v>24</v>
      </c>
      <c r="D702" s="3" t="s">
        <v>25</v>
      </c>
      <c r="E702" s="3" t="s">
        <v>1164</v>
      </c>
      <c r="F702" s="3">
        <v>1761008.0</v>
      </c>
      <c r="G702" s="4">
        <v>46020.0</v>
      </c>
      <c r="H702" s="4">
        <v>46111.0</v>
      </c>
      <c r="I702" s="3" t="s">
        <v>2065</v>
      </c>
      <c r="J702" s="3" t="s">
        <v>530</v>
      </c>
      <c r="K702" s="3" t="s">
        <v>2084</v>
      </c>
      <c r="L702" s="3">
        <v>1.0334</v>
      </c>
      <c r="M702" s="3">
        <v>25835.0</v>
      </c>
      <c r="N702" s="3">
        <v>4.0</v>
      </c>
      <c r="O702" s="3">
        <v>358816.0</v>
      </c>
      <c r="P702" s="3" t="s">
        <v>2085</v>
      </c>
      <c r="Q702" s="3">
        <v>1225811.0</v>
      </c>
      <c r="R702" s="3"/>
      <c r="S702" s="3">
        <v>20668.0</v>
      </c>
      <c r="T702" s="3" t="s">
        <v>56</v>
      </c>
      <c r="U702" s="3">
        <v>20668.0</v>
      </c>
      <c r="V702" s="5">
        <f>(DATE(2026,2,3)-'RICE_Insured Farms_with PPI Pol'!$G702)+IF('RICE_Insured Farms_with PPI Pol'!$H702&lt;&gt;'RICE_Insured Farms_with PPI Pol'!$G702,18,0)</f>
        <v>54</v>
      </c>
      <c r="W702" s="3" t="str">
        <f t="array" ref="W702">IFS(V702&gt;120, "Harvested", V702&gt;=113, "Yellow Ripening", V702&gt;=101, "Dough Stage", V702&gt;=93, "Milking Stage", V702&gt;=86, "Flowering", V702&gt;=56, "Panicle Initiation/Booting", V702&lt;56, "Vegetative/Tillering")</f>
        <v>Vegetative/Tillering</v>
      </c>
    </row>
    <row r="703" ht="15.75" customHeight="1">
      <c r="A703" s="3">
        <v>702.0</v>
      </c>
      <c r="B703" s="3" t="s">
        <v>23</v>
      </c>
      <c r="C703" s="3" t="s">
        <v>68</v>
      </c>
      <c r="D703" s="3" t="s">
        <v>289</v>
      </c>
      <c r="E703" s="3" t="s">
        <v>1620</v>
      </c>
      <c r="F703" s="3">
        <v>1760016.0</v>
      </c>
      <c r="G703" s="4">
        <v>46020.0</v>
      </c>
      <c r="H703" s="4">
        <v>46122.0</v>
      </c>
      <c r="I703" s="3" t="s">
        <v>2086</v>
      </c>
      <c r="J703" s="3" t="s">
        <v>2087</v>
      </c>
      <c r="K703" s="3" t="s">
        <v>626</v>
      </c>
      <c r="L703" s="3">
        <v>0.0981</v>
      </c>
      <c r="M703" s="3">
        <v>2452.5</v>
      </c>
      <c r="N703" s="3">
        <v>3.0</v>
      </c>
      <c r="O703" s="3">
        <v>147061.0</v>
      </c>
      <c r="P703" s="3" t="s">
        <v>2088</v>
      </c>
      <c r="Q703" s="3">
        <v>1134533.0</v>
      </c>
      <c r="R703" s="3"/>
      <c r="S703" s="3">
        <v>1962.0</v>
      </c>
      <c r="T703" s="3" t="s">
        <v>37</v>
      </c>
      <c r="U703" s="3">
        <v>1962.0</v>
      </c>
      <c r="V703" s="5">
        <f>(DATE(2026,2,3)-'RICE_Insured Farms_with PPI Pol'!$G703)+IF('RICE_Insured Farms_with PPI Pol'!$H703&lt;&gt;'RICE_Insured Farms_with PPI Pol'!$G703,18,0)</f>
        <v>54</v>
      </c>
      <c r="W703" s="3" t="str">
        <f t="array" ref="W703">IFS(V703&gt;120, "Harvested", V703&gt;=113, "Yellow Ripening", V703&gt;=101, "Dough Stage", V703&gt;=93, "Milking Stage", V703&gt;=86, "Flowering", V703&gt;=56, "Panicle Initiation/Booting", V703&lt;56, "Vegetative/Tillering")</f>
        <v>Vegetative/Tillering</v>
      </c>
    </row>
    <row r="704" ht="15.75" hidden="1" customHeight="1">
      <c r="A704" s="3">
        <v>703.0</v>
      </c>
      <c r="B704" s="3" t="s">
        <v>23</v>
      </c>
      <c r="C704" s="3" t="s">
        <v>121</v>
      </c>
      <c r="D704" s="3" t="s">
        <v>2002</v>
      </c>
      <c r="E704" s="3" t="s">
        <v>2003</v>
      </c>
      <c r="F704" s="3">
        <v>1760616.0</v>
      </c>
      <c r="G704" s="4">
        <v>46037.0</v>
      </c>
      <c r="H704" s="4">
        <v>46157.0</v>
      </c>
      <c r="I704" s="3" t="s">
        <v>2089</v>
      </c>
      <c r="J704" s="3" t="s">
        <v>2090</v>
      </c>
      <c r="K704" s="3" t="s">
        <v>2091</v>
      </c>
      <c r="L704" s="3">
        <v>2.0</v>
      </c>
      <c r="M704" s="3">
        <v>50000.0</v>
      </c>
      <c r="N704" s="3">
        <v>1.0</v>
      </c>
      <c r="O704" s="3">
        <v>293504.0</v>
      </c>
      <c r="P704" s="3" t="s">
        <v>2092</v>
      </c>
      <c r="Q704" s="3">
        <v>1224313.0</v>
      </c>
      <c r="R704" s="3"/>
      <c r="S704" s="3">
        <v>30000.0</v>
      </c>
      <c r="T704" s="3" t="s">
        <v>62</v>
      </c>
      <c r="U704" s="3">
        <v>30000.0</v>
      </c>
      <c r="V704" s="5">
        <f>(DATE(2026,2,3)-'RICE_Insured Farms_with PPI Pol'!$G704)+IF('RICE_Insured Farms_with PPI Pol'!$H704&lt;&gt;'RICE_Insured Farms_with PPI Pol'!$G704,18,0)</f>
        <v>37</v>
      </c>
      <c r="W704" s="3" t="str">
        <f t="array" ref="W704">IFS(V704&gt;120, "Harvested", V704&gt;=113, "Yellow Ripening", V704&gt;=101, "Dough Stage", V704&gt;=93, "Milking Stage", V704&gt;=86, "Flowering", V704&gt;=56, "Panicle Initiation/Booting", V704&lt;56, "Vegetative/Tillering")</f>
        <v>Vegetative/Tillering</v>
      </c>
    </row>
    <row r="705" ht="15.75" customHeight="1">
      <c r="A705" s="3">
        <v>704.0</v>
      </c>
      <c r="B705" s="3" t="s">
        <v>23</v>
      </c>
      <c r="C705" s="3" t="s">
        <v>68</v>
      </c>
      <c r="D705" s="3" t="s">
        <v>289</v>
      </c>
      <c r="E705" s="3" t="s">
        <v>895</v>
      </c>
      <c r="F705" s="3">
        <v>1760020.0</v>
      </c>
      <c r="G705" s="4">
        <v>46013.0</v>
      </c>
      <c r="H705" s="4">
        <v>46115.0</v>
      </c>
      <c r="I705" s="3" t="s">
        <v>2093</v>
      </c>
      <c r="J705" s="3" t="s">
        <v>2094</v>
      </c>
      <c r="K705" s="3" t="s">
        <v>163</v>
      </c>
      <c r="L705" s="3">
        <v>0.7308</v>
      </c>
      <c r="M705" s="3">
        <v>18270.0</v>
      </c>
      <c r="N705" s="3">
        <v>3.0</v>
      </c>
      <c r="O705" s="3">
        <v>309125.0</v>
      </c>
      <c r="P705" s="3" t="s">
        <v>2095</v>
      </c>
      <c r="Q705" s="3">
        <v>1139213.0</v>
      </c>
      <c r="R705" s="3"/>
      <c r="S705" s="3">
        <v>14616.0</v>
      </c>
      <c r="T705" s="3" t="s">
        <v>37</v>
      </c>
      <c r="U705" s="3">
        <v>14616.0</v>
      </c>
      <c r="V705" s="5">
        <f>(DATE(2026,2,3)-'RICE_Insured Farms_with PPI Pol'!$G705)+IF('RICE_Insured Farms_with PPI Pol'!$H705&lt;&gt;'RICE_Insured Farms_with PPI Pol'!$G705,18,0)</f>
        <v>61</v>
      </c>
      <c r="W705" s="3" t="str">
        <f t="array" ref="W705">IFS(V705&gt;120, "Harvested", V705&gt;=113, "Yellow Ripening", V705&gt;=101, "Dough Stage", V705&gt;=93, "Milking Stage", V705&gt;=86, "Flowering", V705&gt;=56, "Panicle Initiation/Booting", V705&lt;56, "Vegetative/Tillering")</f>
        <v>Panicle Initiation/Booting</v>
      </c>
    </row>
    <row r="706" ht="15.75" hidden="1" customHeight="1">
      <c r="A706" s="3">
        <v>1070.0</v>
      </c>
      <c r="B706" s="3" t="s">
        <v>23</v>
      </c>
      <c r="C706" s="3" t="s">
        <v>24</v>
      </c>
      <c r="D706" s="3" t="s">
        <v>25</v>
      </c>
      <c r="E706" s="3" t="s">
        <v>637</v>
      </c>
      <c r="F706" s="3">
        <v>1760465.0</v>
      </c>
      <c r="G706" s="4">
        <v>45996.0</v>
      </c>
      <c r="H706" s="4">
        <v>46093.0</v>
      </c>
      <c r="I706" s="3" t="s">
        <v>2096</v>
      </c>
      <c r="J706" s="3" t="s">
        <v>912</v>
      </c>
      <c r="K706" s="3" t="s">
        <v>600</v>
      </c>
      <c r="L706" s="3">
        <v>1.44</v>
      </c>
      <c r="M706" s="3">
        <v>36000.0</v>
      </c>
      <c r="N706" s="3">
        <v>5.0</v>
      </c>
      <c r="O706" s="3">
        <v>327443.0</v>
      </c>
      <c r="P706" s="3" t="s">
        <v>2097</v>
      </c>
      <c r="Q706" s="3">
        <v>1318631.0</v>
      </c>
      <c r="R706" s="3"/>
      <c r="S706" s="3">
        <v>32400.0</v>
      </c>
      <c r="T706" s="3" t="s">
        <v>1002</v>
      </c>
      <c r="U706" s="3">
        <v>32400.0</v>
      </c>
      <c r="V706" s="5">
        <f>(DATE(2026,2,3)-'RICE_Insured Farms_with PPI Pol'!$G706)+IF('RICE_Insured Farms_with PPI Pol'!$H706&lt;&gt;'RICE_Insured Farms_with PPI Pol'!$G706,18,0)</f>
        <v>78</v>
      </c>
      <c r="W706" s="3" t="str">
        <f t="array" ref="W706">IFS(V706&gt;120, "Harvested", V706&gt;=113, "Yellow Ripening", V706&gt;=101, "Dough Stage", V706&gt;=93, "Milking Stage", V706&gt;=86, "Flowering", V706&gt;=56, "Panicle Initiation/Booting", V706&lt;56, "Vegetative/Tillering")</f>
        <v>Panicle Initiation/Booting</v>
      </c>
    </row>
    <row r="707" ht="15.75" hidden="1" customHeight="1">
      <c r="A707" s="3">
        <v>706.0</v>
      </c>
      <c r="B707" s="3" t="s">
        <v>23</v>
      </c>
      <c r="C707" s="3" t="s">
        <v>24</v>
      </c>
      <c r="D707" s="3" t="s">
        <v>25</v>
      </c>
      <c r="E707" s="3" t="s">
        <v>1164</v>
      </c>
      <c r="F707" s="3">
        <v>1760492.0</v>
      </c>
      <c r="G707" s="4">
        <v>46011.0</v>
      </c>
      <c r="H707" s="4">
        <v>46131.0</v>
      </c>
      <c r="I707" s="3" t="s">
        <v>1563</v>
      </c>
      <c r="J707" s="3" t="s">
        <v>2098</v>
      </c>
      <c r="K707" s="3" t="s">
        <v>2082</v>
      </c>
      <c r="L707" s="3">
        <v>0.9682</v>
      </c>
      <c r="M707" s="3">
        <v>24205.0</v>
      </c>
      <c r="N707" s="3">
        <v>2.0</v>
      </c>
      <c r="O707" s="3">
        <v>296774.0</v>
      </c>
      <c r="P707" s="3"/>
      <c r="Q707" s="3">
        <v>1151823.0</v>
      </c>
      <c r="R707" s="3"/>
      <c r="S707" s="3">
        <v>16943.5</v>
      </c>
      <c r="T707" s="3" t="s">
        <v>31</v>
      </c>
      <c r="U707" s="3">
        <v>16943.5</v>
      </c>
      <c r="V707" s="5">
        <f>(DATE(2026,2,3)-'RICE_Insured Farms_with PPI Pol'!$G707)+IF('RICE_Insured Farms_with PPI Pol'!$H707&lt;&gt;'RICE_Insured Farms_with PPI Pol'!$G707,18,0)</f>
        <v>63</v>
      </c>
      <c r="W707" s="3" t="str">
        <f t="array" ref="W707">IFS(V707&gt;120, "Harvested", V707&gt;=113, "Yellow Ripening", V707&gt;=101, "Dough Stage", V707&gt;=93, "Milking Stage", V707&gt;=86, "Flowering", V707&gt;=56, "Panicle Initiation/Booting", V707&lt;56, "Vegetative/Tillering")</f>
        <v>Panicle Initiation/Booting</v>
      </c>
    </row>
    <row r="708" ht="15.75" hidden="1" customHeight="1">
      <c r="A708" s="3">
        <v>1077.0</v>
      </c>
      <c r="B708" s="3" t="s">
        <v>23</v>
      </c>
      <c r="C708" s="3" t="s">
        <v>24</v>
      </c>
      <c r="D708" s="3" t="s">
        <v>25</v>
      </c>
      <c r="E708" s="3" t="s">
        <v>1164</v>
      </c>
      <c r="F708" s="3">
        <v>1760492.0</v>
      </c>
      <c r="G708" s="4">
        <v>46011.0</v>
      </c>
      <c r="H708" s="4">
        <v>46106.0</v>
      </c>
      <c r="I708" s="3" t="s">
        <v>214</v>
      </c>
      <c r="J708" s="3" t="s">
        <v>485</v>
      </c>
      <c r="K708" s="3" t="s">
        <v>2099</v>
      </c>
      <c r="L708" s="3">
        <v>0.6784</v>
      </c>
      <c r="M708" s="3">
        <v>16960.0</v>
      </c>
      <c r="N708" s="3">
        <v>4.0</v>
      </c>
      <c r="O708" s="3">
        <v>315205.0</v>
      </c>
      <c r="P708" s="3" t="s">
        <v>2100</v>
      </c>
      <c r="Q708" s="3">
        <v>1328384.0</v>
      </c>
      <c r="R708" s="3"/>
      <c r="S708" s="3">
        <v>13568.0</v>
      </c>
      <c r="T708" s="3" t="s">
        <v>56</v>
      </c>
      <c r="U708" s="3">
        <v>13568.0</v>
      </c>
      <c r="V708" s="5">
        <f>(DATE(2026,2,3)-'RICE_Insured Farms_with PPI Pol'!$G708)+IF('RICE_Insured Farms_with PPI Pol'!$H708&lt;&gt;'RICE_Insured Farms_with PPI Pol'!$G708,18,0)</f>
        <v>63</v>
      </c>
      <c r="W708" s="3" t="str">
        <f t="array" ref="W708">IFS(V708&gt;120, "Harvested", V708&gt;=113, "Yellow Ripening", V708&gt;=101, "Dough Stage", V708&gt;=93, "Milking Stage", V708&gt;=86, "Flowering", V708&gt;=56, "Panicle Initiation/Booting", V708&lt;56, "Vegetative/Tillering")</f>
        <v>Panicle Initiation/Booting</v>
      </c>
    </row>
    <row r="709" ht="15.75" hidden="1" customHeight="1">
      <c r="A709" s="3">
        <v>708.0</v>
      </c>
      <c r="B709" s="3" t="s">
        <v>23</v>
      </c>
      <c r="C709" s="3" t="s">
        <v>24</v>
      </c>
      <c r="D709" s="3" t="s">
        <v>25</v>
      </c>
      <c r="E709" s="3" t="s">
        <v>1164</v>
      </c>
      <c r="F709" s="3">
        <v>1760492.0</v>
      </c>
      <c r="G709" s="4">
        <v>46011.0</v>
      </c>
      <c r="H709" s="4">
        <v>46131.0</v>
      </c>
      <c r="I709" s="3" t="s">
        <v>1601</v>
      </c>
      <c r="J709" s="3" t="s">
        <v>2101</v>
      </c>
      <c r="K709" s="3" t="s">
        <v>2082</v>
      </c>
      <c r="L709" s="3">
        <v>1.0746</v>
      </c>
      <c r="M709" s="3">
        <v>26865.0</v>
      </c>
      <c r="N709" s="3">
        <v>2.0</v>
      </c>
      <c r="O709" s="3">
        <v>131809.0</v>
      </c>
      <c r="P709" s="3" t="s">
        <v>2102</v>
      </c>
      <c r="Q709" s="3">
        <v>1151763.0</v>
      </c>
      <c r="R709" s="3"/>
      <c r="S709" s="3">
        <v>18805.5</v>
      </c>
      <c r="T709" s="3" t="s">
        <v>31</v>
      </c>
      <c r="U709" s="3">
        <v>18805.5</v>
      </c>
      <c r="V709" s="5">
        <f>(DATE(2026,2,3)-'RICE_Insured Farms_with PPI Pol'!$G709)+IF('RICE_Insured Farms_with PPI Pol'!$H709&lt;&gt;'RICE_Insured Farms_with PPI Pol'!$G709,18,0)</f>
        <v>63</v>
      </c>
      <c r="W709" s="3" t="str">
        <f t="array" ref="W709">IFS(V709&gt;120, "Harvested", V709&gt;=113, "Yellow Ripening", V709&gt;=101, "Dough Stage", V709&gt;=93, "Milking Stage", V709&gt;=86, "Flowering", V709&gt;=56, "Panicle Initiation/Booting", V709&lt;56, "Vegetative/Tillering")</f>
        <v>Panicle Initiation/Booting</v>
      </c>
    </row>
    <row r="710" ht="15.75" hidden="1" customHeight="1">
      <c r="A710" s="3">
        <v>709.0</v>
      </c>
      <c r="B710" s="3" t="s">
        <v>23</v>
      </c>
      <c r="C710" s="3" t="s">
        <v>24</v>
      </c>
      <c r="D710" s="3" t="s">
        <v>25</v>
      </c>
      <c r="E710" s="3" t="s">
        <v>1164</v>
      </c>
      <c r="F710" s="3">
        <v>1760492.0</v>
      </c>
      <c r="G710" s="4">
        <v>46011.0</v>
      </c>
      <c r="H710" s="4">
        <v>46131.0</v>
      </c>
      <c r="I710" s="3" t="s">
        <v>1601</v>
      </c>
      <c r="J710" s="3" t="s">
        <v>2103</v>
      </c>
      <c r="K710" s="3" t="s">
        <v>2104</v>
      </c>
      <c r="L710" s="3">
        <v>2.5674</v>
      </c>
      <c r="M710" s="3">
        <v>64185.0</v>
      </c>
      <c r="N710" s="3">
        <v>2.0</v>
      </c>
      <c r="O710" s="3">
        <v>139043.0</v>
      </c>
      <c r="P710" s="3"/>
      <c r="Q710" s="3">
        <v>1277173.0</v>
      </c>
      <c r="R710" s="3"/>
      <c r="S710" s="3">
        <v>44929.5</v>
      </c>
      <c r="T710" s="3" t="s">
        <v>31</v>
      </c>
      <c r="U710" s="3">
        <v>44929.5</v>
      </c>
      <c r="V710" s="5">
        <f>(DATE(2026,2,3)-'RICE_Insured Farms_with PPI Pol'!$G710)+IF('RICE_Insured Farms_with PPI Pol'!$H710&lt;&gt;'RICE_Insured Farms_with PPI Pol'!$G710,18,0)</f>
        <v>63</v>
      </c>
      <c r="W710" s="3" t="str">
        <f t="array" ref="W710">IFS(V710&gt;120, "Harvested", V710&gt;=113, "Yellow Ripening", V710&gt;=101, "Dough Stage", V710&gt;=93, "Milking Stage", V710&gt;=86, "Flowering", V710&gt;=56, "Panicle Initiation/Booting", V710&lt;56, "Vegetative/Tillering")</f>
        <v>Panicle Initiation/Booting</v>
      </c>
    </row>
    <row r="711" ht="15.75" hidden="1" customHeight="1">
      <c r="A711" s="3">
        <v>1078.0</v>
      </c>
      <c r="B711" s="3" t="s">
        <v>23</v>
      </c>
      <c r="C711" s="3" t="s">
        <v>24</v>
      </c>
      <c r="D711" s="3" t="s">
        <v>25</v>
      </c>
      <c r="E711" s="3" t="s">
        <v>1164</v>
      </c>
      <c r="F711" s="3">
        <v>1760492.0</v>
      </c>
      <c r="G711" s="4">
        <v>46011.0</v>
      </c>
      <c r="H711" s="4">
        <v>46106.0</v>
      </c>
      <c r="I711" s="3" t="s">
        <v>214</v>
      </c>
      <c r="J711" s="3" t="s">
        <v>485</v>
      </c>
      <c r="K711" s="3" t="s">
        <v>2099</v>
      </c>
      <c r="L711" s="3">
        <v>0.24</v>
      </c>
      <c r="M711" s="3">
        <v>6000.0</v>
      </c>
      <c r="N711" s="3">
        <v>4.0</v>
      </c>
      <c r="O711" s="3">
        <v>315205.0</v>
      </c>
      <c r="P711" s="3" t="s">
        <v>2100</v>
      </c>
      <c r="Q711" s="3">
        <v>1328388.0</v>
      </c>
      <c r="R711" s="3"/>
      <c r="S711" s="3">
        <v>4800.0</v>
      </c>
      <c r="T711" s="3" t="s">
        <v>56</v>
      </c>
      <c r="U711" s="3">
        <v>4800.0</v>
      </c>
      <c r="V711" s="5">
        <f>(DATE(2026,2,3)-'RICE_Insured Farms_with PPI Pol'!$G711)+IF('RICE_Insured Farms_with PPI Pol'!$H711&lt;&gt;'RICE_Insured Farms_with PPI Pol'!$G711,18,0)</f>
        <v>63</v>
      </c>
      <c r="W711" s="3" t="str">
        <f t="array" ref="W711">IFS(V711&gt;120, "Harvested", V711&gt;=113, "Yellow Ripening", V711&gt;=101, "Dough Stage", V711&gt;=93, "Milking Stage", V711&gt;=86, "Flowering", V711&gt;=56, "Panicle Initiation/Booting", V711&lt;56, "Vegetative/Tillering")</f>
        <v>Panicle Initiation/Booting</v>
      </c>
    </row>
    <row r="712" ht="15.75" hidden="1" customHeight="1">
      <c r="A712" s="3">
        <v>1079.0</v>
      </c>
      <c r="B712" s="3" t="s">
        <v>23</v>
      </c>
      <c r="C712" s="3" t="s">
        <v>24</v>
      </c>
      <c r="D712" s="3" t="s">
        <v>25</v>
      </c>
      <c r="E712" s="3" t="s">
        <v>1164</v>
      </c>
      <c r="F712" s="3">
        <v>1760492.0</v>
      </c>
      <c r="G712" s="4">
        <v>46011.0</v>
      </c>
      <c r="H712" s="4">
        <v>46106.0</v>
      </c>
      <c r="I712" s="3" t="s">
        <v>214</v>
      </c>
      <c r="J712" s="3" t="s">
        <v>2105</v>
      </c>
      <c r="K712" s="3" t="s">
        <v>2106</v>
      </c>
      <c r="L712" s="3">
        <v>0.7497</v>
      </c>
      <c r="M712" s="3">
        <v>18742.5</v>
      </c>
      <c r="N712" s="3">
        <v>4.0</v>
      </c>
      <c r="O712" s="3">
        <v>325546.0</v>
      </c>
      <c r="P712" s="3" t="s">
        <v>2107</v>
      </c>
      <c r="Q712" s="3">
        <v>1328097.0</v>
      </c>
      <c r="R712" s="3"/>
      <c r="S712" s="3">
        <v>14994.0</v>
      </c>
      <c r="T712" s="3" t="s">
        <v>56</v>
      </c>
      <c r="U712" s="3">
        <v>14994.0</v>
      </c>
      <c r="V712" s="5">
        <f>(DATE(2026,2,3)-'RICE_Insured Farms_with PPI Pol'!$G712)+IF('RICE_Insured Farms_with PPI Pol'!$H712&lt;&gt;'RICE_Insured Farms_with PPI Pol'!$G712,18,0)</f>
        <v>63</v>
      </c>
      <c r="W712" s="3" t="str">
        <f t="array" ref="W712">IFS(V712&gt;120, "Harvested", V712&gt;=113, "Yellow Ripening", V712&gt;=101, "Dough Stage", V712&gt;=93, "Milking Stage", V712&gt;=86, "Flowering", V712&gt;=56, "Panicle Initiation/Booting", V712&lt;56, "Vegetative/Tillering")</f>
        <v>Panicle Initiation/Booting</v>
      </c>
    </row>
    <row r="713" ht="15.75" hidden="1" customHeight="1">
      <c r="A713" s="3">
        <v>712.0</v>
      </c>
      <c r="B713" s="3" t="s">
        <v>23</v>
      </c>
      <c r="C713" s="3" t="s">
        <v>68</v>
      </c>
      <c r="D713" s="3" t="s">
        <v>289</v>
      </c>
      <c r="E713" s="3" t="s">
        <v>507</v>
      </c>
      <c r="F713" s="3">
        <v>1760042.0</v>
      </c>
      <c r="G713" s="4">
        <v>46035.0</v>
      </c>
      <c r="H713" s="4">
        <v>46137.0</v>
      </c>
      <c r="I713" s="3" t="s">
        <v>2108</v>
      </c>
      <c r="J713" s="3" t="s">
        <v>2109</v>
      </c>
      <c r="K713" s="3" t="s">
        <v>744</v>
      </c>
      <c r="L713" s="3">
        <v>0.1709</v>
      </c>
      <c r="M713" s="3">
        <v>4272.5</v>
      </c>
      <c r="N713" s="3">
        <v>2.0</v>
      </c>
      <c r="O713" s="3">
        <v>489491.0</v>
      </c>
      <c r="P713" s="3"/>
      <c r="Q713" s="3">
        <v>1194285.0</v>
      </c>
      <c r="R713" s="3"/>
      <c r="S713" s="3">
        <v>2990.75</v>
      </c>
      <c r="T713" s="3" t="s">
        <v>31</v>
      </c>
      <c r="U713" s="3">
        <v>2990.75</v>
      </c>
      <c r="V713" s="5">
        <f>(DATE(2026,2,3)-'RICE_Insured Farms_with PPI Pol'!$G713)+IF('RICE_Insured Farms_with PPI Pol'!$H713&lt;&gt;'RICE_Insured Farms_with PPI Pol'!$G713,18,0)</f>
        <v>39</v>
      </c>
      <c r="W713" s="3" t="str">
        <f t="array" ref="W713">IFS(V713&gt;120, "Harvested", V713&gt;=113, "Yellow Ripening", V713&gt;=101, "Dough Stage", V713&gt;=93, "Milking Stage", V713&gt;=86, "Flowering", V713&gt;=56, "Panicle Initiation/Booting", V713&lt;56, "Vegetative/Tillering")</f>
        <v>Vegetative/Tillering</v>
      </c>
    </row>
    <row r="714" ht="15.75" hidden="1" customHeight="1">
      <c r="A714" s="3">
        <v>713.0</v>
      </c>
      <c r="B714" s="3" t="s">
        <v>23</v>
      </c>
      <c r="C714" s="3" t="s">
        <v>68</v>
      </c>
      <c r="D714" s="3" t="s">
        <v>289</v>
      </c>
      <c r="E714" s="3" t="s">
        <v>507</v>
      </c>
      <c r="F714" s="3">
        <v>1760025.0</v>
      </c>
      <c r="G714" s="4">
        <v>46027.0</v>
      </c>
      <c r="H714" s="4">
        <v>46129.0</v>
      </c>
      <c r="I714" s="3" t="s">
        <v>2108</v>
      </c>
      <c r="J714" s="3" t="s">
        <v>426</v>
      </c>
      <c r="K714" s="3" t="s">
        <v>508</v>
      </c>
      <c r="L714" s="3">
        <v>0.588</v>
      </c>
      <c r="M714" s="3">
        <v>14700.0</v>
      </c>
      <c r="N714" s="3">
        <v>2.0</v>
      </c>
      <c r="O714" s="3">
        <v>15853.0</v>
      </c>
      <c r="P714" s="3" t="s">
        <v>2110</v>
      </c>
      <c r="Q714" s="3">
        <v>1277127.0</v>
      </c>
      <c r="R714" s="3"/>
      <c r="S714" s="3">
        <v>10290.0</v>
      </c>
      <c r="T714" s="3" t="s">
        <v>31</v>
      </c>
      <c r="U714" s="3">
        <v>10290.0</v>
      </c>
      <c r="V714" s="5">
        <f>(DATE(2026,2,3)-'RICE_Insured Farms_with PPI Pol'!$G714)+IF('RICE_Insured Farms_with PPI Pol'!$H714&lt;&gt;'RICE_Insured Farms_with PPI Pol'!$G714,18,0)</f>
        <v>47</v>
      </c>
      <c r="W714" s="3" t="str">
        <f t="array" ref="W714">IFS(V714&gt;120, "Harvested", V714&gt;=113, "Yellow Ripening", V714&gt;=101, "Dough Stage", V714&gt;=93, "Milking Stage", V714&gt;=86, "Flowering", V714&gt;=56, "Panicle Initiation/Booting", V714&lt;56, "Vegetative/Tillering")</f>
        <v>Vegetative/Tillering</v>
      </c>
    </row>
    <row r="715" ht="15.75" customHeight="1">
      <c r="A715" s="3">
        <v>714.0</v>
      </c>
      <c r="B715" s="3" t="s">
        <v>23</v>
      </c>
      <c r="C715" s="3" t="s">
        <v>68</v>
      </c>
      <c r="D715" s="3" t="s">
        <v>679</v>
      </c>
      <c r="E715" s="3" t="s">
        <v>299</v>
      </c>
      <c r="F715" s="3">
        <v>1175376.0</v>
      </c>
      <c r="G715" s="4">
        <v>46011.0</v>
      </c>
      <c r="H715" s="4">
        <v>46113.0</v>
      </c>
      <c r="I715" s="3" t="s">
        <v>2111</v>
      </c>
      <c r="J715" s="3" t="s">
        <v>912</v>
      </c>
      <c r="K715" s="3" t="s">
        <v>2112</v>
      </c>
      <c r="L715" s="3">
        <v>0.7017</v>
      </c>
      <c r="M715" s="3">
        <v>17542.5</v>
      </c>
      <c r="N715" s="3">
        <v>3.0</v>
      </c>
      <c r="O715" s="3">
        <v>335503.0</v>
      </c>
      <c r="P715" s="3"/>
      <c r="Q715" s="3">
        <v>1138325.0</v>
      </c>
      <c r="R715" s="3"/>
      <c r="S715" s="3">
        <v>14034.0</v>
      </c>
      <c r="T715" s="3" t="s">
        <v>37</v>
      </c>
      <c r="U715" s="3">
        <v>14034.0</v>
      </c>
      <c r="V715" s="5">
        <f>(DATE(2026,2,3)-'RICE_Insured Farms_with PPI Pol'!$G715)+IF('RICE_Insured Farms_with PPI Pol'!$H715&lt;&gt;'RICE_Insured Farms_with PPI Pol'!$G715,18,0)</f>
        <v>63</v>
      </c>
      <c r="W715" s="3" t="str">
        <f t="array" ref="W715">IFS(V715&gt;120, "Harvested", V715&gt;=113, "Yellow Ripening", V715&gt;=101, "Dough Stage", V715&gt;=93, "Milking Stage", V715&gt;=86, "Flowering", V715&gt;=56, "Panicle Initiation/Booting", V715&lt;56, "Vegetative/Tillering")</f>
        <v>Panicle Initiation/Booting</v>
      </c>
    </row>
    <row r="716" ht="15.75" customHeight="1">
      <c r="A716" s="3">
        <v>715.0</v>
      </c>
      <c r="B716" s="3" t="s">
        <v>23</v>
      </c>
      <c r="C716" s="3" t="s">
        <v>68</v>
      </c>
      <c r="D716" s="3" t="s">
        <v>289</v>
      </c>
      <c r="E716" s="3" t="s">
        <v>290</v>
      </c>
      <c r="F716" s="3">
        <v>1760042.0</v>
      </c>
      <c r="G716" s="4">
        <v>46022.0</v>
      </c>
      <c r="H716" s="4">
        <v>46124.0</v>
      </c>
      <c r="I716" s="3" t="s">
        <v>2113</v>
      </c>
      <c r="J716" s="3" t="s">
        <v>2114</v>
      </c>
      <c r="K716" s="3" t="s">
        <v>2115</v>
      </c>
      <c r="L716" s="3">
        <v>0.4793</v>
      </c>
      <c r="M716" s="3">
        <v>11982.5</v>
      </c>
      <c r="N716" s="3">
        <v>3.0</v>
      </c>
      <c r="O716" s="3">
        <v>192771.0</v>
      </c>
      <c r="P716" s="3" t="s">
        <v>2116</v>
      </c>
      <c r="Q716" s="3">
        <v>1285705.0</v>
      </c>
      <c r="R716" s="3"/>
      <c r="S716" s="3">
        <v>9586.0</v>
      </c>
      <c r="T716" s="3" t="s">
        <v>37</v>
      </c>
      <c r="U716" s="3">
        <v>9586.0</v>
      </c>
      <c r="V716" s="5">
        <f>(DATE(2026,2,3)-'RICE_Insured Farms_with PPI Pol'!$G716)+IF('RICE_Insured Farms_with PPI Pol'!$H716&lt;&gt;'RICE_Insured Farms_with PPI Pol'!$G716,18,0)</f>
        <v>52</v>
      </c>
      <c r="W716" s="3" t="str">
        <f t="array" ref="W716">IFS(V716&gt;120, "Harvested", V716&gt;=113, "Yellow Ripening", V716&gt;=101, "Dough Stage", V716&gt;=93, "Milking Stage", V716&gt;=86, "Flowering", V716&gt;=56, "Panicle Initiation/Booting", V716&lt;56, "Vegetative/Tillering")</f>
        <v>Vegetative/Tillering</v>
      </c>
    </row>
    <row r="717" ht="15.75" hidden="1" customHeight="1">
      <c r="A717" s="3">
        <v>716.0</v>
      </c>
      <c r="B717" s="3" t="s">
        <v>23</v>
      </c>
      <c r="C717" s="3" t="s">
        <v>68</v>
      </c>
      <c r="D717" s="3" t="s">
        <v>289</v>
      </c>
      <c r="E717" s="3" t="s">
        <v>685</v>
      </c>
      <c r="F717" s="3">
        <v>1760044.0</v>
      </c>
      <c r="G717" s="4">
        <v>46032.0</v>
      </c>
      <c r="H717" s="4">
        <v>46134.0</v>
      </c>
      <c r="I717" s="3" t="s">
        <v>2117</v>
      </c>
      <c r="J717" s="3" t="s">
        <v>2118</v>
      </c>
      <c r="K717" s="3" t="s">
        <v>540</v>
      </c>
      <c r="L717" s="3">
        <v>0.3848</v>
      </c>
      <c r="M717" s="3">
        <v>9620.0</v>
      </c>
      <c r="N717" s="3">
        <v>2.0</v>
      </c>
      <c r="O717" s="3">
        <v>119512.0</v>
      </c>
      <c r="P717" s="3"/>
      <c r="Q717" s="3">
        <v>883329.0</v>
      </c>
      <c r="R717" s="3"/>
      <c r="S717" s="3">
        <v>6734.0</v>
      </c>
      <c r="T717" s="3" t="s">
        <v>31</v>
      </c>
      <c r="U717" s="3">
        <v>6734.0</v>
      </c>
      <c r="V717" s="5">
        <f>(DATE(2026,2,3)-'RICE_Insured Farms_with PPI Pol'!$G717)+IF('RICE_Insured Farms_with PPI Pol'!$H717&lt;&gt;'RICE_Insured Farms_with PPI Pol'!$G717,18,0)</f>
        <v>42</v>
      </c>
      <c r="W717" s="3" t="str">
        <f t="array" ref="W717">IFS(V717&gt;120, "Harvested", V717&gt;=113, "Yellow Ripening", V717&gt;=101, "Dough Stage", V717&gt;=93, "Milking Stage", V717&gt;=86, "Flowering", V717&gt;=56, "Panicle Initiation/Booting", V717&lt;56, "Vegetative/Tillering")</f>
        <v>Vegetative/Tillering</v>
      </c>
    </row>
    <row r="718" ht="15.75" hidden="1" customHeight="1">
      <c r="A718" s="3">
        <v>717.0</v>
      </c>
      <c r="B718" s="3" t="s">
        <v>23</v>
      </c>
      <c r="C718" s="3" t="s">
        <v>68</v>
      </c>
      <c r="D718" s="3" t="s">
        <v>289</v>
      </c>
      <c r="E718" s="3" t="s">
        <v>685</v>
      </c>
      <c r="F718" s="3">
        <v>1760005.0</v>
      </c>
      <c r="G718" s="4">
        <v>46030.0</v>
      </c>
      <c r="H718" s="4">
        <v>46132.0</v>
      </c>
      <c r="I718" s="3" t="s">
        <v>2117</v>
      </c>
      <c r="J718" s="3" t="s">
        <v>2119</v>
      </c>
      <c r="K718" s="3" t="s">
        <v>1043</v>
      </c>
      <c r="L718" s="3">
        <v>1.14</v>
      </c>
      <c r="M718" s="3">
        <v>28500.0</v>
      </c>
      <c r="N718" s="3">
        <v>2.0</v>
      </c>
      <c r="O718" s="3">
        <v>119515.0</v>
      </c>
      <c r="P718" s="3" t="s">
        <v>2120</v>
      </c>
      <c r="Q718" s="3">
        <v>694508.0</v>
      </c>
      <c r="R718" s="3"/>
      <c r="S718" s="3">
        <v>19950.0</v>
      </c>
      <c r="T718" s="3" t="s">
        <v>31</v>
      </c>
      <c r="U718" s="3">
        <v>19950.0</v>
      </c>
      <c r="V718" s="5">
        <f>(DATE(2026,2,3)-'RICE_Insured Farms_with PPI Pol'!$G718)+IF('RICE_Insured Farms_with PPI Pol'!$H718&lt;&gt;'RICE_Insured Farms_with PPI Pol'!$G718,18,0)</f>
        <v>44</v>
      </c>
      <c r="W718" s="3" t="str">
        <f t="array" ref="W718">IFS(V718&gt;120, "Harvested", V718&gt;=113, "Yellow Ripening", V718&gt;=101, "Dough Stage", V718&gt;=93, "Milking Stage", V718&gt;=86, "Flowering", V718&gt;=56, "Panicle Initiation/Booting", V718&lt;56, "Vegetative/Tillering")</f>
        <v>Vegetative/Tillering</v>
      </c>
    </row>
    <row r="719" ht="15.75" customHeight="1">
      <c r="A719" s="3">
        <v>718.0</v>
      </c>
      <c r="B719" s="3" t="s">
        <v>23</v>
      </c>
      <c r="C719" s="3" t="s">
        <v>68</v>
      </c>
      <c r="D719" s="3" t="s">
        <v>289</v>
      </c>
      <c r="E719" s="3" t="s">
        <v>685</v>
      </c>
      <c r="F719" s="3">
        <v>1760005.0</v>
      </c>
      <c r="G719" s="4">
        <v>46021.0</v>
      </c>
      <c r="H719" s="4">
        <v>46123.0</v>
      </c>
      <c r="I719" s="3" t="s">
        <v>2117</v>
      </c>
      <c r="J719" s="3" t="s">
        <v>2121</v>
      </c>
      <c r="K719" s="3" t="s">
        <v>1228</v>
      </c>
      <c r="L719" s="3">
        <v>0.7069</v>
      </c>
      <c r="M719" s="3">
        <v>17672.5</v>
      </c>
      <c r="N719" s="3">
        <v>3.0</v>
      </c>
      <c r="O719" s="3">
        <v>192675.0</v>
      </c>
      <c r="P719" s="3" t="s">
        <v>2122</v>
      </c>
      <c r="Q719" s="3">
        <v>694893.0</v>
      </c>
      <c r="R719" s="3"/>
      <c r="S719" s="3">
        <v>14138.0</v>
      </c>
      <c r="T719" s="3" t="s">
        <v>37</v>
      </c>
      <c r="U719" s="3">
        <v>14138.0</v>
      </c>
      <c r="V719" s="5">
        <f>(DATE(2026,2,3)-'RICE_Insured Farms_with PPI Pol'!$G719)+IF('RICE_Insured Farms_with PPI Pol'!$H719&lt;&gt;'RICE_Insured Farms_with PPI Pol'!$G719,18,0)</f>
        <v>53</v>
      </c>
      <c r="W719" s="3" t="str">
        <f t="array" ref="W719">IFS(V719&gt;120, "Harvested", V719&gt;=113, "Yellow Ripening", V719&gt;=101, "Dough Stage", V719&gt;=93, "Milking Stage", V719&gt;=86, "Flowering", V719&gt;=56, "Panicle Initiation/Booting", V719&lt;56, "Vegetative/Tillering")</f>
        <v>Vegetative/Tillering</v>
      </c>
    </row>
    <row r="720" ht="15.75" hidden="1" customHeight="1">
      <c r="A720" s="3">
        <v>719.0</v>
      </c>
      <c r="B720" s="3" t="s">
        <v>23</v>
      </c>
      <c r="C720" s="3" t="s">
        <v>68</v>
      </c>
      <c r="D720" s="3" t="s">
        <v>289</v>
      </c>
      <c r="E720" s="3" t="s">
        <v>290</v>
      </c>
      <c r="F720" s="3">
        <v>1760035.0</v>
      </c>
      <c r="G720" s="4">
        <v>46040.0</v>
      </c>
      <c r="H720" s="4">
        <v>46142.0</v>
      </c>
      <c r="I720" s="3" t="s">
        <v>2117</v>
      </c>
      <c r="J720" s="3" t="s">
        <v>2123</v>
      </c>
      <c r="K720" s="3" t="s">
        <v>1760</v>
      </c>
      <c r="L720" s="3">
        <v>0.5889</v>
      </c>
      <c r="M720" s="3">
        <v>14722.5</v>
      </c>
      <c r="N720" s="3">
        <v>2.0</v>
      </c>
      <c r="O720" s="3">
        <v>195059.0</v>
      </c>
      <c r="P720" s="3" t="s">
        <v>2124</v>
      </c>
      <c r="Q720" s="3">
        <v>1281235.0</v>
      </c>
      <c r="R720" s="3"/>
      <c r="S720" s="3">
        <v>10305.75</v>
      </c>
      <c r="T720" s="3" t="s">
        <v>31</v>
      </c>
      <c r="U720" s="3">
        <v>10305.75</v>
      </c>
      <c r="V720" s="5">
        <f>(DATE(2026,2,3)-'RICE_Insured Farms_with PPI Pol'!$G720)+IF('RICE_Insured Farms_with PPI Pol'!$H720&lt;&gt;'RICE_Insured Farms_with PPI Pol'!$G720,18,0)</f>
        <v>34</v>
      </c>
      <c r="W720" s="3" t="str">
        <f t="array" ref="W720">IFS(V720&gt;120, "Harvested", V720&gt;=113, "Yellow Ripening", V720&gt;=101, "Dough Stage", V720&gt;=93, "Milking Stage", V720&gt;=86, "Flowering", V720&gt;=56, "Panicle Initiation/Booting", V720&lt;56, "Vegetative/Tillering")</f>
        <v>Vegetative/Tillering</v>
      </c>
    </row>
    <row r="721" ht="15.75" hidden="1" customHeight="1">
      <c r="A721" s="3">
        <v>720.0</v>
      </c>
      <c r="B721" s="3" t="s">
        <v>23</v>
      </c>
      <c r="C721" s="3" t="s">
        <v>68</v>
      </c>
      <c r="D721" s="3" t="s">
        <v>289</v>
      </c>
      <c r="E721" s="3" t="s">
        <v>685</v>
      </c>
      <c r="F721" s="3">
        <v>1760005.0</v>
      </c>
      <c r="G721" s="4">
        <v>46030.0</v>
      </c>
      <c r="H721" s="4">
        <v>46132.0</v>
      </c>
      <c r="I721" s="3" t="s">
        <v>2117</v>
      </c>
      <c r="J721" s="3" t="s">
        <v>614</v>
      </c>
      <c r="K721" s="3" t="s">
        <v>1043</v>
      </c>
      <c r="L721" s="3">
        <v>0.5</v>
      </c>
      <c r="M721" s="3">
        <v>12500.0</v>
      </c>
      <c r="N721" s="3">
        <v>2.0</v>
      </c>
      <c r="O721" s="3">
        <v>387018.0</v>
      </c>
      <c r="P721" s="3" t="s">
        <v>2125</v>
      </c>
      <c r="Q721" s="3">
        <v>1141257.0</v>
      </c>
      <c r="R721" s="3"/>
      <c r="S721" s="3">
        <v>8750.0</v>
      </c>
      <c r="T721" s="3" t="s">
        <v>31</v>
      </c>
      <c r="U721" s="3">
        <v>8750.0</v>
      </c>
      <c r="V721" s="5">
        <f>(DATE(2026,2,3)-'RICE_Insured Farms_with PPI Pol'!$G721)+IF('RICE_Insured Farms_with PPI Pol'!$H721&lt;&gt;'RICE_Insured Farms_with PPI Pol'!$G721,18,0)</f>
        <v>44</v>
      </c>
      <c r="W721" s="3" t="str">
        <f t="array" ref="W721">IFS(V721&gt;120, "Harvested", V721&gt;=113, "Yellow Ripening", V721&gt;=101, "Dough Stage", V721&gt;=93, "Milking Stage", V721&gt;=86, "Flowering", V721&gt;=56, "Panicle Initiation/Booting", V721&lt;56, "Vegetative/Tillering")</f>
        <v>Vegetative/Tillering</v>
      </c>
    </row>
    <row r="722" ht="15.75" customHeight="1">
      <c r="A722" s="3">
        <v>721.0</v>
      </c>
      <c r="B722" s="3" t="s">
        <v>23</v>
      </c>
      <c r="C722" s="3" t="s">
        <v>68</v>
      </c>
      <c r="D722" s="3" t="s">
        <v>289</v>
      </c>
      <c r="E722" s="3" t="s">
        <v>685</v>
      </c>
      <c r="F722" s="3">
        <v>1760004.0</v>
      </c>
      <c r="G722" s="4">
        <v>46021.0</v>
      </c>
      <c r="H722" s="4">
        <v>46123.0</v>
      </c>
      <c r="I722" s="3" t="s">
        <v>2126</v>
      </c>
      <c r="J722" s="3" t="s">
        <v>2127</v>
      </c>
      <c r="K722" s="3" t="s">
        <v>2128</v>
      </c>
      <c r="L722" s="3">
        <v>1.542</v>
      </c>
      <c r="M722" s="3">
        <v>38550.0</v>
      </c>
      <c r="N722" s="3">
        <v>3.0</v>
      </c>
      <c r="O722" s="3">
        <v>293887.0</v>
      </c>
      <c r="P722" s="3"/>
      <c r="Q722" s="3">
        <v>1141245.0</v>
      </c>
      <c r="R722" s="3"/>
      <c r="S722" s="3">
        <v>30840.0</v>
      </c>
      <c r="T722" s="3" t="s">
        <v>37</v>
      </c>
      <c r="U722" s="3">
        <v>30840.0</v>
      </c>
      <c r="V722" s="5">
        <f>(DATE(2026,2,3)-'RICE_Insured Farms_with PPI Pol'!$G722)+IF('RICE_Insured Farms_with PPI Pol'!$H722&lt;&gt;'RICE_Insured Farms_with PPI Pol'!$G722,18,0)</f>
        <v>53</v>
      </c>
      <c r="W722" s="3" t="str">
        <f t="array" ref="W722">IFS(V722&gt;120, "Harvested", V722&gt;=113, "Yellow Ripening", V722&gt;=101, "Dough Stage", V722&gt;=93, "Milking Stage", V722&gt;=86, "Flowering", V722&gt;=56, "Panicle Initiation/Booting", V722&lt;56, "Vegetative/Tillering")</f>
        <v>Vegetative/Tillering</v>
      </c>
    </row>
    <row r="723" ht="15.75" hidden="1" customHeight="1">
      <c r="A723" s="3">
        <v>722.0</v>
      </c>
      <c r="B723" s="3" t="s">
        <v>23</v>
      </c>
      <c r="C723" s="3" t="s">
        <v>68</v>
      </c>
      <c r="D723" s="3" t="s">
        <v>289</v>
      </c>
      <c r="E723" s="3" t="s">
        <v>507</v>
      </c>
      <c r="F723" s="3">
        <v>1760037.0</v>
      </c>
      <c r="G723" s="4">
        <v>46037.0</v>
      </c>
      <c r="H723" s="4">
        <v>46139.0</v>
      </c>
      <c r="I723" s="3" t="s">
        <v>2129</v>
      </c>
      <c r="J723" s="3" t="s">
        <v>807</v>
      </c>
      <c r="K723" s="3" t="s">
        <v>2130</v>
      </c>
      <c r="L723" s="3">
        <v>0.4327</v>
      </c>
      <c r="M723" s="3">
        <v>10817.5</v>
      </c>
      <c r="N723" s="3">
        <v>2.0</v>
      </c>
      <c r="O723" s="3">
        <v>286194.0</v>
      </c>
      <c r="P723" s="3" t="s">
        <v>2131</v>
      </c>
      <c r="Q723" s="3">
        <v>1153678.0</v>
      </c>
      <c r="R723" s="3"/>
      <c r="S723" s="3">
        <v>7572.25</v>
      </c>
      <c r="T723" s="3" t="s">
        <v>31</v>
      </c>
      <c r="U723" s="3">
        <v>7572.25</v>
      </c>
      <c r="V723" s="5">
        <f>(DATE(2026,2,3)-'RICE_Insured Farms_with PPI Pol'!$G723)+IF('RICE_Insured Farms_with PPI Pol'!$H723&lt;&gt;'RICE_Insured Farms_with PPI Pol'!$G723,18,0)</f>
        <v>37</v>
      </c>
      <c r="W723" s="3" t="str">
        <f t="array" ref="W723">IFS(V723&gt;120, "Harvested", V723&gt;=113, "Yellow Ripening", V723&gt;=101, "Dough Stage", V723&gt;=93, "Milking Stage", V723&gt;=86, "Flowering", V723&gt;=56, "Panicle Initiation/Booting", V723&lt;56, "Vegetative/Tillering")</f>
        <v>Vegetative/Tillering</v>
      </c>
    </row>
    <row r="724" ht="15.75" hidden="1" customHeight="1">
      <c r="A724" s="3">
        <v>1084.0</v>
      </c>
      <c r="B724" s="3" t="s">
        <v>1776</v>
      </c>
      <c r="C724" s="3" t="s">
        <v>24</v>
      </c>
      <c r="D724" s="3" t="s">
        <v>25</v>
      </c>
      <c r="E724" s="3" t="s">
        <v>1374</v>
      </c>
      <c r="F724" s="3">
        <v>1760471.0</v>
      </c>
      <c r="G724" s="4">
        <v>46007.0</v>
      </c>
      <c r="H724" s="4">
        <v>46102.0</v>
      </c>
      <c r="I724" s="3" t="s">
        <v>2132</v>
      </c>
      <c r="J724" s="3" t="s">
        <v>2133</v>
      </c>
      <c r="K724" s="3" t="s">
        <v>2134</v>
      </c>
      <c r="L724" s="3">
        <v>0.2814</v>
      </c>
      <c r="M724" s="3">
        <v>5628.0</v>
      </c>
      <c r="N724" s="3">
        <v>4.0</v>
      </c>
      <c r="O724" s="3">
        <v>481939.0</v>
      </c>
      <c r="P724" s="3"/>
      <c r="Q724" s="3">
        <v>1321167.0</v>
      </c>
      <c r="R724" s="3"/>
      <c r="S724" s="3">
        <v>4502.4</v>
      </c>
      <c r="T724" s="3" t="s">
        <v>56</v>
      </c>
      <c r="U724" s="3">
        <v>4502.4</v>
      </c>
      <c r="V724" s="5">
        <f>(DATE(2026,2,3)-'RICE_Insured Farms_with PPI Pol'!$G724)+IF('RICE_Insured Farms_with PPI Pol'!$H724&lt;&gt;'RICE_Insured Farms_with PPI Pol'!$G724,18,0)</f>
        <v>67</v>
      </c>
      <c r="W724" s="3" t="str">
        <f t="array" ref="W724">IFS(V724&gt;120, "Harvested", V724&gt;=113, "Yellow Ripening", V724&gt;=101, "Dough Stage", V724&gt;=93, "Milking Stage", V724&gt;=86, "Flowering", V724&gt;=56, "Panicle Initiation/Booting", V724&lt;56, "Vegetative/Tillering")</f>
        <v>Panicle Initiation/Booting</v>
      </c>
    </row>
    <row r="725" ht="15.75" hidden="1" customHeight="1">
      <c r="A725" s="3">
        <v>724.0</v>
      </c>
      <c r="B725" s="3" t="s">
        <v>23</v>
      </c>
      <c r="C725" s="3" t="s">
        <v>68</v>
      </c>
      <c r="D725" s="3" t="s">
        <v>289</v>
      </c>
      <c r="E725" s="3" t="s">
        <v>743</v>
      </c>
      <c r="F725" s="3">
        <v>1760031.0</v>
      </c>
      <c r="G725" s="4">
        <v>46030.0</v>
      </c>
      <c r="H725" s="4">
        <v>46132.0</v>
      </c>
      <c r="I725" s="3" t="s">
        <v>1894</v>
      </c>
      <c r="J725" s="3" t="s">
        <v>2135</v>
      </c>
      <c r="K725" s="3" t="s">
        <v>2136</v>
      </c>
      <c r="L725" s="3">
        <v>1.2088</v>
      </c>
      <c r="M725" s="3">
        <v>30220.0</v>
      </c>
      <c r="N725" s="3">
        <v>2.0</v>
      </c>
      <c r="O725" s="3">
        <v>31052.0</v>
      </c>
      <c r="P725" s="3"/>
      <c r="Q725" s="3">
        <v>1140769.0</v>
      </c>
      <c r="R725" s="3"/>
      <c r="S725" s="3">
        <v>21154.0</v>
      </c>
      <c r="T725" s="3" t="s">
        <v>31</v>
      </c>
      <c r="U725" s="3">
        <v>21154.0</v>
      </c>
      <c r="V725" s="5">
        <f>(DATE(2026,2,3)-'RICE_Insured Farms_with PPI Pol'!$G725)+IF('RICE_Insured Farms_with PPI Pol'!$H725&lt;&gt;'RICE_Insured Farms_with PPI Pol'!$G725,18,0)</f>
        <v>44</v>
      </c>
      <c r="W725" s="3" t="str">
        <f t="array" ref="W725">IFS(V725&gt;120, "Harvested", V725&gt;=113, "Yellow Ripening", V725&gt;=101, "Dough Stage", V725&gt;=93, "Milking Stage", V725&gt;=86, "Flowering", V725&gt;=56, "Panicle Initiation/Booting", V725&lt;56, "Vegetative/Tillering")</f>
        <v>Vegetative/Tillering</v>
      </c>
    </row>
    <row r="726" ht="15.75" hidden="1" customHeight="1">
      <c r="A726" s="3">
        <v>725.0</v>
      </c>
      <c r="B726" s="3" t="s">
        <v>23</v>
      </c>
      <c r="C726" s="3" t="s">
        <v>68</v>
      </c>
      <c r="D726" s="3" t="s">
        <v>289</v>
      </c>
      <c r="E726" s="3" t="s">
        <v>743</v>
      </c>
      <c r="F726" s="3">
        <v>1760031.0</v>
      </c>
      <c r="G726" s="4">
        <v>46028.0</v>
      </c>
      <c r="H726" s="4">
        <v>46130.0</v>
      </c>
      <c r="I726" s="3" t="s">
        <v>1894</v>
      </c>
      <c r="J726" s="3" t="s">
        <v>2137</v>
      </c>
      <c r="K726" s="3" t="s">
        <v>2138</v>
      </c>
      <c r="L726" s="3">
        <v>1.8034</v>
      </c>
      <c r="M726" s="3">
        <v>45085.0</v>
      </c>
      <c r="N726" s="3">
        <v>2.0</v>
      </c>
      <c r="O726" s="3">
        <v>478487.0</v>
      </c>
      <c r="P726" s="3"/>
      <c r="Q726" s="3">
        <v>1314902.0</v>
      </c>
      <c r="R726" s="3"/>
      <c r="S726" s="3">
        <v>31559.5</v>
      </c>
      <c r="T726" s="3" t="s">
        <v>31</v>
      </c>
      <c r="U726" s="3">
        <v>31559.5</v>
      </c>
      <c r="V726" s="5">
        <f>(DATE(2026,2,3)-'RICE_Insured Farms_with PPI Pol'!$G726)+IF('RICE_Insured Farms_with PPI Pol'!$H726&lt;&gt;'RICE_Insured Farms_with PPI Pol'!$G726,18,0)</f>
        <v>46</v>
      </c>
      <c r="W726" s="3" t="str">
        <f t="array" ref="W726">IFS(V726&gt;120, "Harvested", V726&gt;=113, "Yellow Ripening", V726&gt;=101, "Dough Stage", V726&gt;=93, "Milking Stage", V726&gt;=86, "Flowering", V726&gt;=56, "Panicle Initiation/Booting", V726&lt;56, "Vegetative/Tillering")</f>
        <v>Vegetative/Tillering</v>
      </c>
    </row>
    <row r="727" ht="15.75" hidden="1" customHeight="1">
      <c r="A727" s="3">
        <v>726.0</v>
      </c>
      <c r="B727" s="3" t="s">
        <v>23</v>
      </c>
      <c r="C727" s="3" t="s">
        <v>68</v>
      </c>
      <c r="D727" s="3" t="s">
        <v>289</v>
      </c>
      <c r="E727" s="3" t="s">
        <v>290</v>
      </c>
      <c r="F727" s="3">
        <v>1760044.0</v>
      </c>
      <c r="G727" s="4">
        <v>46032.0</v>
      </c>
      <c r="H727" s="4">
        <v>46134.0</v>
      </c>
      <c r="I727" s="3" t="s">
        <v>1894</v>
      </c>
      <c r="J727" s="3" t="s">
        <v>2139</v>
      </c>
      <c r="K727" s="3" t="s">
        <v>2140</v>
      </c>
      <c r="L727" s="3">
        <v>0.4</v>
      </c>
      <c r="M727" s="3">
        <v>10000.0</v>
      </c>
      <c r="N727" s="3">
        <v>2.0</v>
      </c>
      <c r="O727" s="3">
        <v>389818.0</v>
      </c>
      <c r="P727" s="3"/>
      <c r="Q727" s="3">
        <v>1142745.0</v>
      </c>
      <c r="R727" s="3"/>
      <c r="S727" s="3">
        <v>7000.0</v>
      </c>
      <c r="T727" s="3" t="s">
        <v>31</v>
      </c>
      <c r="U727" s="3">
        <v>7000.0</v>
      </c>
      <c r="V727" s="5">
        <f>(DATE(2026,2,3)-'RICE_Insured Farms_with PPI Pol'!$G727)+IF('RICE_Insured Farms_with PPI Pol'!$H727&lt;&gt;'RICE_Insured Farms_with PPI Pol'!$G727,18,0)</f>
        <v>42</v>
      </c>
      <c r="W727" s="3" t="str">
        <f t="array" ref="W727">IFS(V727&gt;120, "Harvested", V727&gt;=113, "Yellow Ripening", V727&gt;=101, "Dough Stage", V727&gt;=93, "Milking Stage", V727&gt;=86, "Flowering", V727&gt;=56, "Panicle Initiation/Booting", V727&lt;56, "Vegetative/Tillering")</f>
        <v>Vegetative/Tillering</v>
      </c>
    </row>
    <row r="728" ht="15.75" hidden="1" customHeight="1">
      <c r="A728" s="3">
        <v>727.0</v>
      </c>
      <c r="B728" s="3" t="s">
        <v>23</v>
      </c>
      <c r="C728" s="3" t="s">
        <v>50</v>
      </c>
      <c r="D728" s="3" t="s">
        <v>51</v>
      </c>
      <c r="E728" s="3" t="s">
        <v>321</v>
      </c>
      <c r="F728" s="3">
        <v>1741851.0</v>
      </c>
      <c r="G728" s="4">
        <v>46034.0</v>
      </c>
      <c r="H728" s="4">
        <v>46129.0</v>
      </c>
      <c r="I728" s="3" t="s">
        <v>2141</v>
      </c>
      <c r="J728" s="3" t="s">
        <v>2142</v>
      </c>
      <c r="K728" s="3" t="s">
        <v>2143</v>
      </c>
      <c r="L728" s="3">
        <v>0.125</v>
      </c>
      <c r="M728" s="3">
        <v>3125.0</v>
      </c>
      <c r="N728" s="3">
        <v>2.0</v>
      </c>
      <c r="O728" s="3">
        <v>482089.0</v>
      </c>
      <c r="P728" s="3" t="s">
        <v>2144</v>
      </c>
      <c r="Q728" s="3">
        <v>1291435.0</v>
      </c>
      <c r="R728" s="3"/>
      <c r="S728" s="3">
        <v>2187.5</v>
      </c>
      <c r="T728" s="3" t="s">
        <v>31</v>
      </c>
      <c r="U728" s="3">
        <v>2187.5</v>
      </c>
      <c r="V728" s="5">
        <f>(DATE(2026,2,3)-'RICE_Insured Farms_with PPI Pol'!$G728)+IF('RICE_Insured Farms_with PPI Pol'!$H728&lt;&gt;'RICE_Insured Farms_with PPI Pol'!$G728,18,0)</f>
        <v>40</v>
      </c>
      <c r="W728" s="3" t="str">
        <f t="array" ref="W728">IFS(V728&gt;120, "Harvested", V728&gt;=113, "Yellow Ripening", V728&gt;=101, "Dough Stage", V728&gt;=93, "Milking Stage", V728&gt;=86, "Flowering", V728&gt;=56, "Panicle Initiation/Booting", V728&lt;56, "Vegetative/Tillering")</f>
        <v>Vegetative/Tillering</v>
      </c>
    </row>
    <row r="729" ht="15.75" hidden="1" customHeight="1">
      <c r="A729" s="3">
        <v>728.0</v>
      </c>
      <c r="B729" s="3" t="s">
        <v>23</v>
      </c>
      <c r="C729" s="3" t="s">
        <v>50</v>
      </c>
      <c r="D729" s="3" t="s">
        <v>51</v>
      </c>
      <c r="E729" s="3" t="s">
        <v>321</v>
      </c>
      <c r="F729" s="3">
        <v>1741851.0</v>
      </c>
      <c r="G729" s="4">
        <v>46034.0</v>
      </c>
      <c r="H729" s="4">
        <v>46129.0</v>
      </c>
      <c r="I729" s="3" t="s">
        <v>2141</v>
      </c>
      <c r="J729" s="3" t="s">
        <v>2142</v>
      </c>
      <c r="K729" s="3" t="s">
        <v>2143</v>
      </c>
      <c r="L729" s="3">
        <v>0.09</v>
      </c>
      <c r="M729" s="3">
        <v>2250.0</v>
      </c>
      <c r="N729" s="3">
        <v>2.0</v>
      </c>
      <c r="O729" s="3">
        <v>482089.0</v>
      </c>
      <c r="P729" s="3" t="s">
        <v>2144</v>
      </c>
      <c r="Q729" s="3">
        <v>1302173.0</v>
      </c>
      <c r="R729" s="3"/>
      <c r="S729" s="3">
        <v>1575.0</v>
      </c>
      <c r="T729" s="3" t="s">
        <v>31</v>
      </c>
      <c r="U729" s="3">
        <v>1575.0</v>
      </c>
      <c r="V729" s="5">
        <f>(DATE(2026,2,3)-'RICE_Insured Farms_with PPI Pol'!$G729)+IF('RICE_Insured Farms_with PPI Pol'!$H729&lt;&gt;'RICE_Insured Farms_with PPI Pol'!$G729,18,0)</f>
        <v>40</v>
      </c>
      <c r="W729" s="3" t="str">
        <f t="array" ref="W729">IFS(V729&gt;120, "Harvested", V729&gt;=113, "Yellow Ripening", V729&gt;=101, "Dough Stage", V729&gt;=93, "Milking Stage", V729&gt;=86, "Flowering", V729&gt;=56, "Panicle Initiation/Booting", V729&lt;56, "Vegetative/Tillering")</f>
        <v>Vegetative/Tillering</v>
      </c>
    </row>
    <row r="730" ht="15.75" hidden="1" customHeight="1">
      <c r="A730" s="3">
        <v>729.0</v>
      </c>
      <c r="B730" s="3" t="s">
        <v>23</v>
      </c>
      <c r="C730" s="3" t="s">
        <v>50</v>
      </c>
      <c r="D730" s="3" t="s">
        <v>51</v>
      </c>
      <c r="E730" s="3" t="s">
        <v>321</v>
      </c>
      <c r="F730" s="3">
        <v>1741851.0</v>
      </c>
      <c r="G730" s="4">
        <v>46034.0</v>
      </c>
      <c r="H730" s="4">
        <v>46129.0</v>
      </c>
      <c r="I730" s="3" t="s">
        <v>2141</v>
      </c>
      <c r="J730" s="3" t="s">
        <v>2142</v>
      </c>
      <c r="K730" s="3" t="s">
        <v>2143</v>
      </c>
      <c r="L730" s="3">
        <v>0.09</v>
      </c>
      <c r="M730" s="3">
        <v>2250.0</v>
      </c>
      <c r="N730" s="3">
        <v>2.0</v>
      </c>
      <c r="O730" s="3">
        <v>482089.0</v>
      </c>
      <c r="P730" s="3" t="s">
        <v>2144</v>
      </c>
      <c r="Q730" s="3">
        <v>1302174.0</v>
      </c>
      <c r="R730" s="3"/>
      <c r="S730" s="3">
        <v>1575.0</v>
      </c>
      <c r="T730" s="3" t="s">
        <v>31</v>
      </c>
      <c r="U730" s="3">
        <v>1575.0</v>
      </c>
      <c r="V730" s="5">
        <f>(DATE(2026,2,3)-'RICE_Insured Farms_with PPI Pol'!$G730)+IF('RICE_Insured Farms_with PPI Pol'!$H730&lt;&gt;'RICE_Insured Farms_with PPI Pol'!$G730,18,0)</f>
        <v>40</v>
      </c>
      <c r="W730" s="3" t="str">
        <f t="array" ref="W730">IFS(V730&gt;120, "Harvested", V730&gt;=113, "Yellow Ripening", V730&gt;=101, "Dough Stage", V730&gt;=93, "Milking Stage", V730&gt;=86, "Flowering", V730&gt;=56, "Panicle Initiation/Booting", V730&lt;56, "Vegetative/Tillering")</f>
        <v>Vegetative/Tillering</v>
      </c>
    </row>
    <row r="731" ht="15.75" customHeight="1">
      <c r="A731" s="3">
        <v>730.0</v>
      </c>
      <c r="B731" s="3" t="s">
        <v>23</v>
      </c>
      <c r="C731" s="3" t="s">
        <v>68</v>
      </c>
      <c r="D731" s="3" t="s">
        <v>289</v>
      </c>
      <c r="E731" s="3" t="s">
        <v>848</v>
      </c>
      <c r="F731" s="3">
        <v>1760003.0</v>
      </c>
      <c r="G731" s="4">
        <v>46020.0</v>
      </c>
      <c r="H731" s="4">
        <v>46122.0</v>
      </c>
      <c r="I731" s="3" t="s">
        <v>2145</v>
      </c>
      <c r="J731" s="3" t="s">
        <v>2146</v>
      </c>
      <c r="K731" s="3" t="s">
        <v>2147</v>
      </c>
      <c r="L731" s="3">
        <v>0.9709</v>
      </c>
      <c r="M731" s="3">
        <v>24272.5</v>
      </c>
      <c r="N731" s="3">
        <v>3.0</v>
      </c>
      <c r="O731" s="3">
        <v>293761.0</v>
      </c>
      <c r="P731" s="3" t="s">
        <v>2148</v>
      </c>
      <c r="Q731" s="3">
        <v>624095.0</v>
      </c>
      <c r="R731" s="3"/>
      <c r="S731" s="3">
        <v>19418.0</v>
      </c>
      <c r="T731" s="3" t="s">
        <v>37</v>
      </c>
      <c r="U731" s="3">
        <v>19418.0</v>
      </c>
      <c r="V731" s="5">
        <f>(DATE(2026,2,3)-'RICE_Insured Farms_with PPI Pol'!$G731)+IF('RICE_Insured Farms_with PPI Pol'!$H731&lt;&gt;'RICE_Insured Farms_with PPI Pol'!$G731,18,0)</f>
        <v>54</v>
      </c>
      <c r="W731" s="3" t="str">
        <f t="array" ref="W731">IFS(V731&gt;120, "Harvested", V731&gt;=113, "Yellow Ripening", V731&gt;=101, "Dough Stage", V731&gt;=93, "Milking Stage", V731&gt;=86, "Flowering", V731&gt;=56, "Panicle Initiation/Booting", V731&lt;56, "Vegetative/Tillering")</f>
        <v>Vegetative/Tillering</v>
      </c>
    </row>
    <row r="732" ht="15.75" customHeight="1">
      <c r="A732" s="3">
        <v>731.0</v>
      </c>
      <c r="B732" s="3" t="s">
        <v>23</v>
      </c>
      <c r="C732" s="3" t="s">
        <v>68</v>
      </c>
      <c r="D732" s="3" t="s">
        <v>289</v>
      </c>
      <c r="E732" s="3" t="s">
        <v>743</v>
      </c>
      <c r="F732" s="3">
        <v>1760014.0</v>
      </c>
      <c r="G732" s="4">
        <v>46022.0</v>
      </c>
      <c r="H732" s="4">
        <v>46124.0</v>
      </c>
      <c r="I732" s="3" t="s">
        <v>881</v>
      </c>
      <c r="J732" s="3" t="s">
        <v>1068</v>
      </c>
      <c r="K732" s="3" t="s">
        <v>968</v>
      </c>
      <c r="L732" s="3">
        <v>0.2218</v>
      </c>
      <c r="M732" s="3">
        <v>5545.0</v>
      </c>
      <c r="N732" s="3">
        <v>3.0</v>
      </c>
      <c r="O732" s="3">
        <v>31054.0</v>
      </c>
      <c r="P732" s="3" t="s">
        <v>2149</v>
      </c>
      <c r="Q732" s="3">
        <v>1186326.0</v>
      </c>
      <c r="R732" s="3"/>
      <c r="S732" s="3">
        <v>4436.0</v>
      </c>
      <c r="T732" s="3" t="s">
        <v>37</v>
      </c>
      <c r="U732" s="3">
        <v>4436.0</v>
      </c>
      <c r="V732" s="5">
        <f>(DATE(2026,2,3)-'RICE_Insured Farms_with PPI Pol'!$G732)+IF('RICE_Insured Farms_with PPI Pol'!$H732&lt;&gt;'RICE_Insured Farms_with PPI Pol'!$G732,18,0)</f>
        <v>52</v>
      </c>
      <c r="W732" s="3" t="str">
        <f t="array" ref="W732">IFS(V732&gt;120, "Harvested", V732&gt;=113, "Yellow Ripening", V732&gt;=101, "Dough Stage", V732&gt;=93, "Milking Stage", V732&gt;=86, "Flowering", V732&gt;=56, "Panicle Initiation/Booting", V732&lt;56, "Vegetative/Tillering")</f>
        <v>Vegetative/Tillering</v>
      </c>
    </row>
    <row r="733" ht="15.75" hidden="1" customHeight="1">
      <c r="A733" s="3">
        <v>732.0</v>
      </c>
      <c r="B733" s="3" t="s">
        <v>23</v>
      </c>
      <c r="C733" s="3" t="s">
        <v>68</v>
      </c>
      <c r="D733" s="3" t="s">
        <v>289</v>
      </c>
      <c r="E733" s="3" t="s">
        <v>743</v>
      </c>
      <c r="F733" s="3">
        <v>1760011.0</v>
      </c>
      <c r="G733" s="4">
        <v>46032.0</v>
      </c>
      <c r="H733" s="4">
        <v>46134.0</v>
      </c>
      <c r="I733" s="3" t="s">
        <v>881</v>
      </c>
      <c r="J733" s="3" t="s">
        <v>2150</v>
      </c>
      <c r="K733" s="3" t="s">
        <v>1325</v>
      </c>
      <c r="L733" s="3">
        <v>1.12</v>
      </c>
      <c r="M733" s="3">
        <v>28000.0</v>
      </c>
      <c r="N733" s="3">
        <v>2.0</v>
      </c>
      <c r="O733" s="3">
        <v>436892.0</v>
      </c>
      <c r="P733" s="3"/>
      <c r="Q733" s="3">
        <v>1186332.0</v>
      </c>
      <c r="R733" s="3"/>
      <c r="S733" s="3">
        <v>19600.0</v>
      </c>
      <c r="T733" s="3" t="s">
        <v>31</v>
      </c>
      <c r="U733" s="3">
        <v>19600.0</v>
      </c>
      <c r="V733" s="5">
        <f>(DATE(2026,2,3)-'RICE_Insured Farms_with PPI Pol'!$G733)+IF('RICE_Insured Farms_with PPI Pol'!$H733&lt;&gt;'RICE_Insured Farms_with PPI Pol'!$G733,18,0)</f>
        <v>42</v>
      </c>
      <c r="W733" s="3" t="str">
        <f t="array" ref="W733">IFS(V733&gt;120, "Harvested", V733&gt;=113, "Yellow Ripening", V733&gt;=101, "Dough Stage", V733&gt;=93, "Milking Stage", V733&gt;=86, "Flowering", V733&gt;=56, "Panicle Initiation/Booting", V733&lt;56, "Vegetative/Tillering")</f>
        <v>Vegetative/Tillering</v>
      </c>
    </row>
    <row r="734" ht="15.75" hidden="1" customHeight="1">
      <c r="A734" s="3">
        <v>733.0</v>
      </c>
      <c r="B734" s="3" t="s">
        <v>23</v>
      </c>
      <c r="C734" s="3" t="s">
        <v>68</v>
      </c>
      <c r="D734" s="3" t="s">
        <v>289</v>
      </c>
      <c r="E734" s="3" t="s">
        <v>743</v>
      </c>
      <c r="F734" s="3">
        <v>1760011.0</v>
      </c>
      <c r="G734" s="4">
        <v>46032.0</v>
      </c>
      <c r="H734" s="4">
        <v>46134.0</v>
      </c>
      <c r="I734" s="3" t="s">
        <v>881</v>
      </c>
      <c r="J734" s="3" t="s">
        <v>2150</v>
      </c>
      <c r="K734" s="3" t="s">
        <v>1325</v>
      </c>
      <c r="L734" s="3">
        <v>0.83</v>
      </c>
      <c r="M734" s="3">
        <v>20750.0</v>
      </c>
      <c r="N734" s="3">
        <v>2.0</v>
      </c>
      <c r="O734" s="3">
        <v>436892.0</v>
      </c>
      <c r="P734" s="3"/>
      <c r="Q734" s="3">
        <v>1186335.0</v>
      </c>
      <c r="R734" s="3"/>
      <c r="S734" s="3">
        <v>14525.0</v>
      </c>
      <c r="T734" s="3" t="s">
        <v>31</v>
      </c>
      <c r="U734" s="3">
        <v>14525.0</v>
      </c>
      <c r="V734" s="5">
        <f>(DATE(2026,2,3)-'RICE_Insured Farms_with PPI Pol'!$G734)+IF('RICE_Insured Farms_with PPI Pol'!$H734&lt;&gt;'RICE_Insured Farms_with PPI Pol'!$G734,18,0)</f>
        <v>42</v>
      </c>
      <c r="W734" s="3" t="str">
        <f t="array" ref="W734">IFS(V734&gt;120, "Harvested", V734&gt;=113, "Yellow Ripening", V734&gt;=101, "Dough Stage", V734&gt;=93, "Milking Stage", V734&gt;=86, "Flowering", V734&gt;=56, "Panicle Initiation/Booting", V734&lt;56, "Vegetative/Tillering")</f>
        <v>Vegetative/Tillering</v>
      </c>
    </row>
    <row r="735" ht="15.75" customHeight="1">
      <c r="A735" s="3">
        <v>734.0</v>
      </c>
      <c r="B735" s="3" t="s">
        <v>23</v>
      </c>
      <c r="C735" s="3" t="s">
        <v>24</v>
      </c>
      <c r="D735" s="3" t="s">
        <v>538</v>
      </c>
      <c r="E735" s="3" t="s">
        <v>1138</v>
      </c>
      <c r="F735" s="3">
        <v>1190663.0</v>
      </c>
      <c r="G735" s="4">
        <v>46023.0</v>
      </c>
      <c r="H735" s="4">
        <v>46118.0</v>
      </c>
      <c r="I735" s="3" t="s">
        <v>2151</v>
      </c>
      <c r="J735" s="3" t="s">
        <v>2152</v>
      </c>
      <c r="K735" s="3" t="s">
        <v>2153</v>
      </c>
      <c r="L735" s="3">
        <v>1.2355</v>
      </c>
      <c r="M735" s="3">
        <v>30887.5</v>
      </c>
      <c r="N735" s="3">
        <v>3.0</v>
      </c>
      <c r="O735" s="3">
        <v>317376.0</v>
      </c>
      <c r="P735" s="3" t="s">
        <v>2154</v>
      </c>
      <c r="Q735" s="3">
        <v>1241657.0</v>
      </c>
      <c r="R735" s="3"/>
      <c r="S735" s="3">
        <v>24710.0</v>
      </c>
      <c r="T735" s="3" t="s">
        <v>37</v>
      </c>
      <c r="U735" s="3">
        <v>24710.0</v>
      </c>
      <c r="V735" s="5">
        <f>(DATE(2026,2,3)-'RICE_Insured Farms_with PPI Pol'!$G735)+IF('RICE_Insured Farms_with PPI Pol'!$H735&lt;&gt;'RICE_Insured Farms_with PPI Pol'!$G735,18,0)</f>
        <v>51</v>
      </c>
      <c r="W735" s="3" t="str">
        <f t="array" ref="W735">IFS(V735&gt;120, "Harvested", V735&gt;=113, "Yellow Ripening", V735&gt;=101, "Dough Stage", V735&gt;=93, "Milking Stage", V735&gt;=86, "Flowering", V735&gt;=56, "Panicle Initiation/Booting", V735&lt;56, "Vegetative/Tillering")</f>
        <v>Vegetative/Tillering</v>
      </c>
    </row>
    <row r="736" ht="15.75" hidden="1" customHeight="1">
      <c r="A736" s="3">
        <v>735.0</v>
      </c>
      <c r="B736" s="3" t="s">
        <v>23</v>
      </c>
      <c r="C736" s="3" t="s">
        <v>121</v>
      </c>
      <c r="D736" s="3" t="s">
        <v>122</v>
      </c>
      <c r="E736" s="3" t="s">
        <v>123</v>
      </c>
      <c r="F736" s="3">
        <v>1760507.0</v>
      </c>
      <c r="G736" s="4">
        <v>46032.0</v>
      </c>
      <c r="H736" s="4">
        <v>46127.0</v>
      </c>
      <c r="I736" s="3" t="s">
        <v>108</v>
      </c>
      <c r="J736" s="3" t="s">
        <v>2155</v>
      </c>
      <c r="K736" s="3" t="s">
        <v>2156</v>
      </c>
      <c r="L736" s="3">
        <v>1.5191</v>
      </c>
      <c r="M736" s="3">
        <v>37977.5</v>
      </c>
      <c r="N736" s="3">
        <v>2.0</v>
      </c>
      <c r="O736" s="3">
        <v>235119.0</v>
      </c>
      <c r="P736" s="3"/>
      <c r="Q736" s="3">
        <v>1041872.0</v>
      </c>
      <c r="R736" s="3"/>
      <c r="S736" s="3">
        <v>26584.25</v>
      </c>
      <c r="T736" s="3" t="s">
        <v>31</v>
      </c>
      <c r="U736" s="3">
        <v>26584.25</v>
      </c>
      <c r="V736" s="5">
        <f>(DATE(2026,2,3)-'RICE_Insured Farms_with PPI Pol'!$G736)+IF('RICE_Insured Farms_with PPI Pol'!$H736&lt;&gt;'RICE_Insured Farms_with PPI Pol'!$G736,18,0)</f>
        <v>42</v>
      </c>
      <c r="W736" s="3" t="str">
        <f t="array" ref="W736">IFS(V736&gt;120, "Harvested", V736&gt;=113, "Yellow Ripening", V736&gt;=101, "Dough Stage", V736&gt;=93, "Milking Stage", V736&gt;=86, "Flowering", V736&gt;=56, "Panicle Initiation/Booting", V736&lt;56, "Vegetative/Tillering")</f>
        <v>Vegetative/Tillering</v>
      </c>
    </row>
    <row r="737" ht="15.75" hidden="1" customHeight="1">
      <c r="A737" s="3">
        <v>736.0</v>
      </c>
      <c r="B737" s="3" t="s">
        <v>23</v>
      </c>
      <c r="C737" s="3" t="s">
        <v>121</v>
      </c>
      <c r="D737" s="3" t="s">
        <v>122</v>
      </c>
      <c r="E737" s="3" t="s">
        <v>123</v>
      </c>
      <c r="F737" s="3">
        <v>1760507.0</v>
      </c>
      <c r="G737" s="4">
        <v>46032.0</v>
      </c>
      <c r="H737" s="4">
        <v>46127.0</v>
      </c>
      <c r="I737" s="3" t="s">
        <v>108</v>
      </c>
      <c r="J737" s="3" t="s">
        <v>2155</v>
      </c>
      <c r="K737" s="3" t="s">
        <v>2156</v>
      </c>
      <c r="L737" s="3">
        <v>0.6454</v>
      </c>
      <c r="M737" s="3">
        <v>16135.0</v>
      </c>
      <c r="N737" s="3">
        <v>2.0</v>
      </c>
      <c r="O737" s="3">
        <v>235119.0</v>
      </c>
      <c r="P737" s="3"/>
      <c r="Q737" s="3">
        <v>1041877.0</v>
      </c>
      <c r="R737" s="3"/>
      <c r="S737" s="3">
        <v>11294.5</v>
      </c>
      <c r="T737" s="3" t="s">
        <v>31</v>
      </c>
      <c r="U737" s="3">
        <v>11294.5</v>
      </c>
      <c r="V737" s="5">
        <f>(DATE(2026,2,3)-'RICE_Insured Farms_with PPI Pol'!$G737)+IF('RICE_Insured Farms_with PPI Pol'!$H737&lt;&gt;'RICE_Insured Farms_with PPI Pol'!$G737,18,0)</f>
        <v>42</v>
      </c>
      <c r="W737" s="3" t="str">
        <f t="array" ref="W737">IFS(V737&gt;120, "Harvested", V737&gt;=113, "Yellow Ripening", V737&gt;=101, "Dough Stage", V737&gt;=93, "Milking Stage", V737&gt;=86, "Flowering", V737&gt;=56, "Panicle Initiation/Booting", V737&lt;56, "Vegetative/Tillering")</f>
        <v>Vegetative/Tillering</v>
      </c>
    </row>
    <row r="738" ht="15.75" customHeight="1">
      <c r="A738" s="3">
        <v>737.0</v>
      </c>
      <c r="B738" s="3" t="s">
        <v>23</v>
      </c>
      <c r="C738" s="3" t="s">
        <v>68</v>
      </c>
      <c r="D738" s="3" t="s">
        <v>289</v>
      </c>
      <c r="E738" s="3" t="s">
        <v>702</v>
      </c>
      <c r="F738" s="3">
        <v>1760016.0</v>
      </c>
      <c r="G738" s="4">
        <v>46011.0</v>
      </c>
      <c r="H738" s="4">
        <v>46113.0</v>
      </c>
      <c r="I738" s="3" t="s">
        <v>2157</v>
      </c>
      <c r="J738" s="3" t="s">
        <v>2158</v>
      </c>
      <c r="K738" s="3" t="s">
        <v>1462</v>
      </c>
      <c r="L738" s="3">
        <v>0.2799</v>
      </c>
      <c r="M738" s="3">
        <v>6997.5</v>
      </c>
      <c r="N738" s="3">
        <v>3.0</v>
      </c>
      <c r="O738" s="3">
        <v>31353.0</v>
      </c>
      <c r="P738" s="3" t="s">
        <v>2159</v>
      </c>
      <c r="Q738" s="3">
        <v>1285054.0</v>
      </c>
      <c r="R738" s="3"/>
      <c r="S738" s="3">
        <v>5598.0</v>
      </c>
      <c r="T738" s="3" t="s">
        <v>37</v>
      </c>
      <c r="U738" s="3">
        <v>5598.0</v>
      </c>
      <c r="V738" s="5">
        <f>(DATE(2026,2,3)-'RICE_Insured Farms_with PPI Pol'!$G738)+IF('RICE_Insured Farms_with PPI Pol'!$H738&lt;&gt;'RICE_Insured Farms_with PPI Pol'!$G738,18,0)</f>
        <v>63</v>
      </c>
      <c r="W738" s="3" t="str">
        <f t="array" ref="W738">IFS(V738&gt;120, "Harvested", V738&gt;=113, "Yellow Ripening", V738&gt;=101, "Dough Stage", V738&gt;=93, "Milking Stage", V738&gt;=86, "Flowering", V738&gt;=56, "Panicle Initiation/Booting", V738&lt;56, "Vegetative/Tillering")</f>
        <v>Panicle Initiation/Booting</v>
      </c>
    </row>
    <row r="739" ht="15.75" hidden="1" customHeight="1">
      <c r="A739" s="3">
        <v>738.0</v>
      </c>
      <c r="B739" s="3" t="s">
        <v>23</v>
      </c>
      <c r="C739" s="3" t="s">
        <v>68</v>
      </c>
      <c r="D739" s="3" t="s">
        <v>289</v>
      </c>
      <c r="E739" s="3" t="s">
        <v>507</v>
      </c>
      <c r="F739" s="3">
        <v>1760017.0</v>
      </c>
      <c r="G739" s="4">
        <v>46030.0</v>
      </c>
      <c r="H739" s="4">
        <v>46132.0</v>
      </c>
      <c r="I739" s="3" t="s">
        <v>2157</v>
      </c>
      <c r="J739" s="3" t="s">
        <v>2160</v>
      </c>
      <c r="K739" s="3" t="s">
        <v>1857</v>
      </c>
      <c r="L739" s="3">
        <v>1.0166</v>
      </c>
      <c r="M739" s="3">
        <v>25415.0</v>
      </c>
      <c r="N739" s="3">
        <v>2.0</v>
      </c>
      <c r="O739" s="3">
        <v>322974.0</v>
      </c>
      <c r="P739" s="3" t="s">
        <v>2161</v>
      </c>
      <c r="Q739" s="3">
        <v>1281555.0</v>
      </c>
      <c r="R739" s="3"/>
      <c r="S739" s="3">
        <v>17790.5</v>
      </c>
      <c r="T739" s="3" t="s">
        <v>31</v>
      </c>
      <c r="U739" s="3">
        <v>17790.5</v>
      </c>
      <c r="V739" s="5">
        <f>(DATE(2026,2,3)-'RICE_Insured Farms_with PPI Pol'!$G739)+IF('RICE_Insured Farms_with PPI Pol'!$H739&lt;&gt;'RICE_Insured Farms_with PPI Pol'!$G739,18,0)</f>
        <v>44</v>
      </c>
      <c r="W739" s="3" t="str">
        <f t="array" ref="W739">IFS(V739&gt;120, "Harvested", V739&gt;=113, "Yellow Ripening", V739&gt;=101, "Dough Stage", V739&gt;=93, "Milking Stage", V739&gt;=86, "Flowering", V739&gt;=56, "Panicle Initiation/Booting", V739&lt;56, "Vegetative/Tillering")</f>
        <v>Vegetative/Tillering</v>
      </c>
    </row>
    <row r="740" ht="15.75" customHeight="1">
      <c r="A740" s="3">
        <v>739.0</v>
      </c>
      <c r="B740" s="3" t="s">
        <v>23</v>
      </c>
      <c r="C740" s="3" t="s">
        <v>68</v>
      </c>
      <c r="D740" s="3" t="s">
        <v>289</v>
      </c>
      <c r="E740" s="3" t="s">
        <v>702</v>
      </c>
      <c r="F740" s="3">
        <v>1760016.0</v>
      </c>
      <c r="G740" s="4">
        <v>46011.0</v>
      </c>
      <c r="H740" s="4">
        <v>46113.0</v>
      </c>
      <c r="I740" s="3" t="s">
        <v>2157</v>
      </c>
      <c r="J740" s="3" t="s">
        <v>2162</v>
      </c>
      <c r="K740" s="3" t="s">
        <v>2163</v>
      </c>
      <c r="L740" s="3">
        <v>0.2147</v>
      </c>
      <c r="M740" s="3">
        <v>5367.5</v>
      </c>
      <c r="N740" s="3">
        <v>3.0</v>
      </c>
      <c r="O740" s="3">
        <v>106700.0</v>
      </c>
      <c r="P740" s="3" t="s">
        <v>2164</v>
      </c>
      <c r="Q740" s="3">
        <v>1285047.0</v>
      </c>
      <c r="R740" s="3"/>
      <c r="S740" s="3">
        <v>4294.0</v>
      </c>
      <c r="T740" s="3" t="s">
        <v>37</v>
      </c>
      <c r="U740" s="3">
        <v>4294.0</v>
      </c>
      <c r="V740" s="5">
        <f>(DATE(2026,2,3)-'RICE_Insured Farms_with PPI Pol'!$G740)+IF('RICE_Insured Farms_with PPI Pol'!$H740&lt;&gt;'RICE_Insured Farms_with PPI Pol'!$G740,18,0)</f>
        <v>63</v>
      </c>
      <c r="W740" s="3" t="str">
        <f t="array" ref="W740">IFS(V740&gt;120, "Harvested", V740&gt;=113, "Yellow Ripening", V740&gt;=101, "Dough Stage", V740&gt;=93, "Milking Stage", V740&gt;=86, "Flowering", V740&gt;=56, "Panicle Initiation/Booting", V740&lt;56, "Vegetative/Tillering")</f>
        <v>Panicle Initiation/Booting</v>
      </c>
    </row>
    <row r="741" ht="15.75" customHeight="1">
      <c r="A741" s="3">
        <v>740.0</v>
      </c>
      <c r="B741" s="3" t="s">
        <v>23</v>
      </c>
      <c r="C741" s="3" t="s">
        <v>68</v>
      </c>
      <c r="D741" s="3" t="s">
        <v>289</v>
      </c>
      <c r="E741" s="3" t="s">
        <v>507</v>
      </c>
      <c r="F741" s="3">
        <v>1760016.0</v>
      </c>
      <c r="G741" s="4">
        <v>46019.0</v>
      </c>
      <c r="H741" s="4">
        <v>46121.0</v>
      </c>
      <c r="I741" s="3" t="s">
        <v>2157</v>
      </c>
      <c r="J741" s="3" t="s">
        <v>2165</v>
      </c>
      <c r="K741" s="3" t="s">
        <v>1857</v>
      </c>
      <c r="L741" s="3">
        <v>0.1455</v>
      </c>
      <c r="M741" s="3">
        <v>3637.5</v>
      </c>
      <c r="N741" s="3">
        <v>3.0</v>
      </c>
      <c r="O741" s="3">
        <v>511539.0</v>
      </c>
      <c r="P741" s="3"/>
      <c r="Q741" s="3">
        <v>1286199.0</v>
      </c>
      <c r="R741" s="3"/>
      <c r="S741" s="3">
        <v>2910.0</v>
      </c>
      <c r="T741" s="3" t="s">
        <v>37</v>
      </c>
      <c r="U741" s="3">
        <v>2910.0</v>
      </c>
      <c r="V741" s="5">
        <f>(DATE(2026,2,3)-'RICE_Insured Farms_with PPI Pol'!$G741)+IF('RICE_Insured Farms_with PPI Pol'!$H741&lt;&gt;'RICE_Insured Farms_with PPI Pol'!$G741,18,0)</f>
        <v>55</v>
      </c>
      <c r="W741" s="3" t="str">
        <f t="array" ref="W741">IFS(V741&gt;120, "Harvested", V741&gt;=113, "Yellow Ripening", V741&gt;=101, "Dough Stage", V741&gt;=93, "Milking Stage", V741&gt;=86, "Flowering", V741&gt;=56, "Panicle Initiation/Booting", V741&lt;56, "Vegetative/Tillering")</f>
        <v>Vegetative/Tillering</v>
      </c>
    </row>
    <row r="742" ht="15.75" hidden="1" customHeight="1">
      <c r="A742" s="3">
        <v>1138.0</v>
      </c>
      <c r="B742" s="3" t="s">
        <v>23</v>
      </c>
      <c r="C742" s="3" t="s">
        <v>24</v>
      </c>
      <c r="D742" s="3" t="s">
        <v>25</v>
      </c>
      <c r="E742" s="3" t="s">
        <v>594</v>
      </c>
      <c r="F742" s="3">
        <v>1760481.0</v>
      </c>
      <c r="G742" s="4">
        <v>46013.0</v>
      </c>
      <c r="H742" s="4">
        <v>46108.0</v>
      </c>
      <c r="I742" s="3" t="s">
        <v>2166</v>
      </c>
      <c r="J742" s="3" t="s">
        <v>2167</v>
      </c>
      <c r="K742" s="3" t="s">
        <v>2168</v>
      </c>
      <c r="L742" s="3">
        <v>1.1306</v>
      </c>
      <c r="M742" s="3">
        <v>28265.0</v>
      </c>
      <c r="N742" s="3">
        <v>4.0</v>
      </c>
      <c r="O742" s="3">
        <v>128793.0</v>
      </c>
      <c r="P742" s="3"/>
      <c r="Q742" s="3">
        <v>1326038.0</v>
      </c>
      <c r="R742" s="3"/>
      <c r="S742" s="3">
        <v>22612.0</v>
      </c>
      <c r="T742" s="3" t="s">
        <v>56</v>
      </c>
      <c r="U742" s="3">
        <v>22612.0</v>
      </c>
      <c r="V742" s="5">
        <f>(DATE(2026,2,3)-'RICE_Insured Farms_with PPI Pol'!$G742)+IF('RICE_Insured Farms_with PPI Pol'!$H742&lt;&gt;'RICE_Insured Farms_with PPI Pol'!$G742,18,0)</f>
        <v>61</v>
      </c>
      <c r="W742" s="3" t="str">
        <f t="array" ref="W742">IFS(V742&gt;120, "Harvested", V742&gt;=113, "Yellow Ripening", V742&gt;=101, "Dough Stage", V742&gt;=93, "Milking Stage", V742&gt;=86, "Flowering", V742&gt;=56, "Panicle Initiation/Booting", V742&lt;56, "Vegetative/Tillering")</f>
        <v>Panicle Initiation/Booting</v>
      </c>
    </row>
    <row r="743" ht="15.75" hidden="1" customHeight="1">
      <c r="A743" s="3">
        <v>1139.0</v>
      </c>
      <c r="B743" s="3" t="s">
        <v>23</v>
      </c>
      <c r="C743" s="3" t="s">
        <v>24</v>
      </c>
      <c r="D743" s="3" t="s">
        <v>25</v>
      </c>
      <c r="E743" s="3" t="s">
        <v>594</v>
      </c>
      <c r="F743" s="3">
        <v>1760481.0</v>
      </c>
      <c r="G743" s="4">
        <v>46014.0</v>
      </c>
      <c r="H743" s="4">
        <v>46109.0</v>
      </c>
      <c r="I743" s="3" t="s">
        <v>2166</v>
      </c>
      <c r="J743" s="3" t="s">
        <v>2167</v>
      </c>
      <c r="K743" s="3" t="s">
        <v>2168</v>
      </c>
      <c r="L743" s="3">
        <v>0.53</v>
      </c>
      <c r="M743" s="3">
        <v>13250.0</v>
      </c>
      <c r="N743" s="3">
        <v>4.0</v>
      </c>
      <c r="O743" s="3">
        <v>128793.0</v>
      </c>
      <c r="P743" s="3"/>
      <c r="Q743" s="3">
        <v>1326039.0</v>
      </c>
      <c r="R743" s="3"/>
      <c r="S743" s="3">
        <v>10600.0</v>
      </c>
      <c r="T743" s="3" t="s">
        <v>56</v>
      </c>
      <c r="U743" s="3">
        <v>10600.0</v>
      </c>
      <c r="V743" s="5">
        <f>(DATE(2026,2,3)-'RICE_Insured Farms_with PPI Pol'!$G743)+IF('RICE_Insured Farms_with PPI Pol'!$H743&lt;&gt;'RICE_Insured Farms_with PPI Pol'!$G743,18,0)</f>
        <v>60</v>
      </c>
      <c r="W743" s="3" t="str">
        <f t="array" ref="W743">IFS(V743&gt;120, "Harvested", V743&gt;=113, "Yellow Ripening", V743&gt;=101, "Dough Stage", V743&gt;=93, "Milking Stage", V743&gt;=86, "Flowering", V743&gt;=56, "Panicle Initiation/Booting", V743&lt;56, "Vegetative/Tillering")</f>
        <v>Panicle Initiation/Booting</v>
      </c>
    </row>
    <row r="744" ht="15.75" customHeight="1">
      <c r="A744" s="3">
        <v>743.0</v>
      </c>
      <c r="B744" s="3" t="s">
        <v>23</v>
      </c>
      <c r="C744" s="3" t="s">
        <v>24</v>
      </c>
      <c r="D744" s="3" t="s">
        <v>25</v>
      </c>
      <c r="E744" s="3" t="s">
        <v>1374</v>
      </c>
      <c r="F744" s="3">
        <v>1760463.0</v>
      </c>
      <c r="G744" s="4">
        <v>46018.0</v>
      </c>
      <c r="H744" s="4">
        <v>46118.0</v>
      </c>
      <c r="I744" s="3" t="s">
        <v>1732</v>
      </c>
      <c r="J744" s="3" t="s">
        <v>2169</v>
      </c>
      <c r="K744" s="3" t="s">
        <v>1734</v>
      </c>
      <c r="L744" s="3">
        <v>1.1516</v>
      </c>
      <c r="M744" s="3">
        <v>28790.0</v>
      </c>
      <c r="N744" s="3">
        <v>3.0</v>
      </c>
      <c r="O744" s="3">
        <v>492424.0</v>
      </c>
      <c r="P744" s="3" t="s">
        <v>2170</v>
      </c>
      <c r="Q744" s="3">
        <v>1319324.0</v>
      </c>
      <c r="R744" s="3"/>
      <c r="S744" s="3">
        <v>23032.0</v>
      </c>
      <c r="T744" s="3" t="s">
        <v>37</v>
      </c>
      <c r="U744" s="3">
        <v>23032.0</v>
      </c>
      <c r="V744" s="5">
        <f>(DATE(2026,2,3)-'RICE_Insured Farms_with PPI Pol'!$G744)+IF('RICE_Insured Farms_with PPI Pol'!$H744&lt;&gt;'RICE_Insured Farms_with PPI Pol'!$G744,18,0)</f>
        <v>56</v>
      </c>
      <c r="W744" s="3" t="str">
        <f t="array" ref="W744">IFS(V744&gt;120, "Harvested", V744&gt;=113, "Yellow Ripening", V744&gt;=101, "Dough Stage", V744&gt;=93, "Milking Stage", V744&gt;=86, "Flowering", V744&gt;=56, "Panicle Initiation/Booting", V744&lt;56, "Vegetative/Tillering")</f>
        <v>Panicle Initiation/Booting</v>
      </c>
    </row>
    <row r="745" ht="15.75" hidden="1" customHeight="1">
      <c r="A745" s="3">
        <v>1157.0</v>
      </c>
      <c r="B745" s="3" t="s">
        <v>23</v>
      </c>
      <c r="C745" s="3" t="s">
        <v>24</v>
      </c>
      <c r="D745" s="3" t="s">
        <v>25</v>
      </c>
      <c r="E745" s="3" t="s">
        <v>1164</v>
      </c>
      <c r="F745" s="3">
        <v>1760492.0</v>
      </c>
      <c r="G745" s="4">
        <v>46012.0</v>
      </c>
      <c r="H745" s="4">
        <v>46107.0</v>
      </c>
      <c r="I745" s="3" t="s">
        <v>2171</v>
      </c>
      <c r="J745" s="3" t="s">
        <v>901</v>
      </c>
      <c r="K745" s="3" t="s">
        <v>163</v>
      </c>
      <c r="L745" s="3">
        <v>0.5298</v>
      </c>
      <c r="M745" s="3">
        <v>13245.0</v>
      </c>
      <c r="N745" s="3">
        <v>4.0</v>
      </c>
      <c r="O745" s="3">
        <v>421676.0</v>
      </c>
      <c r="P745" s="3" t="s">
        <v>2172</v>
      </c>
      <c r="Q745" s="3">
        <v>1232116.0</v>
      </c>
      <c r="R745" s="3"/>
      <c r="S745" s="3">
        <v>10596.0</v>
      </c>
      <c r="T745" s="3" t="s">
        <v>56</v>
      </c>
      <c r="U745" s="3">
        <v>10596.0</v>
      </c>
      <c r="V745" s="5">
        <f>(DATE(2026,2,3)-'RICE_Insured Farms_with PPI Pol'!$G745)+IF('RICE_Insured Farms_with PPI Pol'!$H745&lt;&gt;'RICE_Insured Farms_with PPI Pol'!$G745,18,0)</f>
        <v>62</v>
      </c>
      <c r="W745" s="3" t="str">
        <f t="array" ref="W745">IFS(V745&gt;120, "Harvested", V745&gt;=113, "Yellow Ripening", V745&gt;=101, "Dough Stage", V745&gt;=93, "Milking Stage", V745&gt;=86, "Flowering", V745&gt;=56, "Panicle Initiation/Booting", V745&lt;56, "Vegetative/Tillering")</f>
        <v>Panicle Initiation/Booting</v>
      </c>
    </row>
    <row r="746" ht="15.75" hidden="1" customHeight="1">
      <c r="A746" s="3">
        <v>1165.0</v>
      </c>
      <c r="B746" s="3" t="s">
        <v>1776</v>
      </c>
      <c r="C746" s="3" t="s">
        <v>24</v>
      </c>
      <c r="D746" s="3" t="s">
        <v>25</v>
      </c>
      <c r="E746" s="3" t="s">
        <v>1374</v>
      </c>
      <c r="F746" s="3">
        <v>1760471.0</v>
      </c>
      <c r="G746" s="4">
        <v>46016.0</v>
      </c>
      <c r="H746" s="4">
        <v>46111.0</v>
      </c>
      <c r="I746" s="3" t="s">
        <v>2173</v>
      </c>
      <c r="J746" s="3" t="s">
        <v>2174</v>
      </c>
      <c r="K746" s="3" t="s">
        <v>2175</v>
      </c>
      <c r="L746" s="3">
        <v>0.1152</v>
      </c>
      <c r="M746" s="3">
        <v>2304.0</v>
      </c>
      <c r="N746" s="3">
        <v>4.0</v>
      </c>
      <c r="O746" s="3">
        <v>480868.0</v>
      </c>
      <c r="P746" s="3" t="s">
        <v>2176</v>
      </c>
      <c r="Q746" s="3">
        <v>1321465.0</v>
      </c>
      <c r="R746" s="3"/>
      <c r="S746" s="3">
        <v>1843.2</v>
      </c>
      <c r="T746" s="3" t="s">
        <v>56</v>
      </c>
      <c r="U746" s="3">
        <v>1843.2</v>
      </c>
      <c r="V746" s="5">
        <f>(DATE(2026,2,3)-'RICE_Insured Farms_with PPI Pol'!$G746)+IF('RICE_Insured Farms_with PPI Pol'!$H746&lt;&gt;'RICE_Insured Farms_with PPI Pol'!$G746,18,0)</f>
        <v>58</v>
      </c>
      <c r="W746" s="3" t="str">
        <f t="array" ref="W746">IFS(V746&gt;120, "Harvested", V746&gt;=113, "Yellow Ripening", V746&gt;=101, "Dough Stage", V746&gt;=93, "Milking Stage", V746&gt;=86, "Flowering", V746&gt;=56, "Panicle Initiation/Booting", V746&lt;56, "Vegetative/Tillering")</f>
        <v>Panicle Initiation/Booting</v>
      </c>
    </row>
    <row r="747" ht="15.75" hidden="1" customHeight="1">
      <c r="A747" s="3">
        <v>746.0</v>
      </c>
      <c r="B747" s="3" t="s">
        <v>23</v>
      </c>
      <c r="C747" s="3" t="s">
        <v>68</v>
      </c>
      <c r="D747" s="3" t="s">
        <v>289</v>
      </c>
      <c r="E747" s="3" t="s">
        <v>1246</v>
      </c>
      <c r="F747" s="3">
        <v>1760020.0</v>
      </c>
      <c r="G747" s="4">
        <v>46027.0</v>
      </c>
      <c r="H747" s="4">
        <v>46129.0</v>
      </c>
      <c r="I747" s="3" t="s">
        <v>2177</v>
      </c>
      <c r="J747" s="3" t="s">
        <v>2178</v>
      </c>
      <c r="K747" s="3" t="s">
        <v>2179</v>
      </c>
      <c r="L747" s="3">
        <v>0.691</v>
      </c>
      <c r="M747" s="3">
        <v>17275.0</v>
      </c>
      <c r="N747" s="3">
        <v>2.0</v>
      </c>
      <c r="O747" s="3">
        <v>123677.0</v>
      </c>
      <c r="P747" s="3" t="s">
        <v>2180</v>
      </c>
      <c r="Q747" s="3">
        <v>1280634.0</v>
      </c>
      <c r="R747" s="3"/>
      <c r="S747" s="3">
        <v>12092.5</v>
      </c>
      <c r="T747" s="3" t="s">
        <v>31</v>
      </c>
      <c r="U747" s="3">
        <v>12092.5</v>
      </c>
      <c r="V747" s="5">
        <f>(DATE(2026,2,3)-'RICE_Insured Farms_with PPI Pol'!$G747)+IF('RICE_Insured Farms_with PPI Pol'!$H747&lt;&gt;'RICE_Insured Farms_with PPI Pol'!$G747,18,0)</f>
        <v>47</v>
      </c>
      <c r="W747" s="3" t="str">
        <f t="array" ref="W747">IFS(V747&gt;120, "Harvested", V747&gt;=113, "Yellow Ripening", V747&gt;=101, "Dough Stage", V747&gt;=93, "Milking Stage", V747&gt;=86, "Flowering", V747&gt;=56, "Panicle Initiation/Booting", V747&lt;56, "Vegetative/Tillering")</f>
        <v>Vegetative/Tillering</v>
      </c>
    </row>
    <row r="748" ht="15.75" customHeight="1">
      <c r="A748" s="3">
        <v>747.0</v>
      </c>
      <c r="B748" s="3" t="s">
        <v>23</v>
      </c>
      <c r="C748" s="3" t="s">
        <v>68</v>
      </c>
      <c r="D748" s="3" t="s">
        <v>289</v>
      </c>
      <c r="E748" s="3" t="s">
        <v>685</v>
      </c>
      <c r="F748" s="3">
        <v>1760004.0</v>
      </c>
      <c r="G748" s="4">
        <v>46017.0</v>
      </c>
      <c r="H748" s="4">
        <v>46119.0</v>
      </c>
      <c r="I748" s="3" t="s">
        <v>884</v>
      </c>
      <c r="J748" s="3" t="s">
        <v>2181</v>
      </c>
      <c r="K748" s="3" t="s">
        <v>2182</v>
      </c>
      <c r="L748" s="3">
        <v>1.2004</v>
      </c>
      <c r="M748" s="3">
        <v>30010.0</v>
      </c>
      <c r="N748" s="3">
        <v>3.0</v>
      </c>
      <c r="O748" s="3">
        <v>192941.0</v>
      </c>
      <c r="P748" s="3" t="s">
        <v>2183</v>
      </c>
      <c r="Q748" s="3">
        <v>1141256.0</v>
      </c>
      <c r="R748" s="3"/>
      <c r="S748" s="3">
        <v>24008.0</v>
      </c>
      <c r="T748" s="3" t="s">
        <v>37</v>
      </c>
      <c r="U748" s="3">
        <v>24008.0</v>
      </c>
      <c r="V748" s="5">
        <f>(DATE(2026,2,3)-'RICE_Insured Farms_with PPI Pol'!$G748)+IF('RICE_Insured Farms_with PPI Pol'!$H748&lt;&gt;'RICE_Insured Farms_with PPI Pol'!$G748,18,0)</f>
        <v>57</v>
      </c>
      <c r="W748" s="3" t="str">
        <f t="array" ref="W748">IFS(V748&gt;120, "Harvested", V748&gt;=113, "Yellow Ripening", V748&gt;=101, "Dough Stage", V748&gt;=93, "Milking Stage", V748&gt;=86, "Flowering", V748&gt;=56, "Panicle Initiation/Booting", V748&lt;56, "Vegetative/Tillering")</f>
        <v>Panicle Initiation/Booting</v>
      </c>
    </row>
    <row r="749" ht="15.75" customHeight="1">
      <c r="A749" s="3">
        <v>748.0</v>
      </c>
      <c r="B749" s="3" t="s">
        <v>23</v>
      </c>
      <c r="C749" s="3" t="s">
        <v>68</v>
      </c>
      <c r="D749" s="3" t="s">
        <v>69</v>
      </c>
      <c r="E749" s="3" t="s">
        <v>131</v>
      </c>
      <c r="F749" s="3">
        <v>1739639.0</v>
      </c>
      <c r="G749" s="4">
        <v>46019.0</v>
      </c>
      <c r="H749" s="4">
        <v>46121.0</v>
      </c>
      <c r="I749" s="3" t="s">
        <v>2184</v>
      </c>
      <c r="J749" s="3" t="s">
        <v>2185</v>
      </c>
      <c r="K749" s="3" t="s">
        <v>163</v>
      </c>
      <c r="L749" s="3">
        <v>0.2438</v>
      </c>
      <c r="M749" s="3">
        <v>6095.0</v>
      </c>
      <c r="N749" s="3">
        <v>3.0</v>
      </c>
      <c r="O749" s="3">
        <v>294638.0</v>
      </c>
      <c r="P749" s="3"/>
      <c r="Q749" s="3">
        <v>1136890.0</v>
      </c>
      <c r="R749" s="3"/>
      <c r="S749" s="3">
        <v>4876.0</v>
      </c>
      <c r="T749" s="3" t="s">
        <v>37</v>
      </c>
      <c r="U749" s="3">
        <v>4876.0</v>
      </c>
      <c r="V749" s="5">
        <f>(DATE(2026,2,3)-'RICE_Insured Farms_with PPI Pol'!$G749)+IF('RICE_Insured Farms_with PPI Pol'!$H749&lt;&gt;'RICE_Insured Farms_with PPI Pol'!$G749,18,0)</f>
        <v>55</v>
      </c>
      <c r="W749" s="3" t="str">
        <f t="array" ref="W749">IFS(V749&gt;120, "Harvested", V749&gt;=113, "Yellow Ripening", V749&gt;=101, "Dough Stage", V749&gt;=93, "Milking Stage", V749&gt;=86, "Flowering", V749&gt;=56, "Panicle Initiation/Booting", V749&lt;56, "Vegetative/Tillering")</f>
        <v>Vegetative/Tillering</v>
      </c>
    </row>
    <row r="750" ht="15.75" hidden="1" customHeight="1">
      <c r="A750" s="3">
        <v>749.0</v>
      </c>
      <c r="B750" s="3" t="s">
        <v>23</v>
      </c>
      <c r="C750" s="3" t="s">
        <v>68</v>
      </c>
      <c r="D750" s="3" t="s">
        <v>289</v>
      </c>
      <c r="E750" s="3" t="s">
        <v>431</v>
      </c>
      <c r="F750" s="3">
        <v>1760038.0</v>
      </c>
      <c r="G750" s="4">
        <v>46027.0</v>
      </c>
      <c r="H750" s="4">
        <v>46129.0</v>
      </c>
      <c r="I750" s="3" t="s">
        <v>2186</v>
      </c>
      <c r="J750" s="3" t="s">
        <v>2187</v>
      </c>
      <c r="K750" s="3" t="s">
        <v>2188</v>
      </c>
      <c r="L750" s="3">
        <v>0.7235</v>
      </c>
      <c r="M750" s="3">
        <v>18087.5</v>
      </c>
      <c r="N750" s="3">
        <v>2.0</v>
      </c>
      <c r="O750" s="3">
        <v>128045.0</v>
      </c>
      <c r="P750" s="3" t="s">
        <v>2189</v>
      </c>
      <c r="Q750" s="3">
        <v>953860.0</v>
      </c>
      <c r="R750" s="3"/>
      <c r="S750" s="3">
        <v>12661.25</v>
      </c>
      <c r="T750" s="3" t="s">
        <v>31</v>
      </c>
      <c r="U750" s="3">
        <v>12661.25</v>
      </c>
      <c r="V750" s="5">
        <f>(DATE(2026,2,3)-'RICE_Insured Farms_with PPI Pol'!$G750)+IF('RICE_Insured Farms_with PPI Pol'!$H750&lt;&gt;'RICE_Insured Farms_with PPI Pol'!$G750,18,0)</f>
        <v>47</v>
      </c>
      <c r="W750" s="3" t="str">
        <f t="array" ref="W750">IFS(V750&gt;120, "Harvested", V750&gt;=113, "Yellow Ripening", V750&gt;=101, "Dough Stage", V750&gt;=93, "Milking Stage", V750&gt;=86, "Flowering", V750&gt;=56, "Panicle Initiation/Booting", V750&lt;56, "Vegetative/Tillering")</f>
        <v>Vegetative/Tillering</v>
      </c>
    </row>
    <row r="751" ht="15.75" hidden="1" customHeight="1">
      <c r="A751" s="3">
        <v>750.0</v>
      </c>
      <c r="B751" s="3" t="s">
        <v>23</v>
      </c>
      <c r="C751" s="3" t="s">
        <v>68</v>
      </c>
      <c r="D751" s="3" t="s">
        <v>679</v>
      </c>
      <c r="E751" s="3" t="s">
        <v>680</v>
      </c>
      <c r="F751" s="3">
        <v>1175382.0</v>
      </c>
      <c r="G751" s="4">
        <v>46041.0</v>
      </c>
      <c r="H751" s="4">
        <v>46143.0</v>
      </c>
      <c r="I751" s="3" t="s">
        <v>2190</v>
      </c>
      <c r="J751" s="3" t="s">
        <v>2191</v>
      </c>
      <c r="K751" s="3" t="s">
        <v>2192</v>
      </c>
      <c r="L751" s="3">
        <v>0.3323</v>
      </c>
      <c r="M751" s="3">
        <v>8307.5</v>
      </c>
      <c r="N751" s="3">
        <v>2.0</v>
      </c>
      <c r="O751" s="3">
        <v>200365.0</v>
      </c>
      <c r="P751" s="3" t="s">
        <v>2193</v>
      </c>
      <c r="Q751" s="3">
        <v>1143121.0</v>
      </c>
      <c r="R751" s="3"/>
      <c r="S751" s="3">
        <v>5815.25</v>
      </c>
      <c r="T751" s="3" t="s">
        <v>31</v>
      </c>
      <c r="U751" s="3">
        <v>5815.25</v>
      </c>
      <c r="V751" s="5">
        <f>(DATE(2026,2,3)-'RICE_Insured Farms_with PPI Pol'!$G751)+IF('RICE_Insured Farms_with PPI Pol'!$H751&lt;&gt;'RICE_Insured Farms_with PPI Pol'!$G751,18,0)</f>
        <v>33</v>
      </c>
      <c r="W751" s="3" t="str">
        <f t="array" ref="W751">IFS(V751&gt;120, "Harvested", V751&gt;=113, "Yellow Ripening", V751&gt;=101, "Dough Stage", V751&gt;=93, "Milking Stage", V751&gt;=86, "Flowering", V751&gt;=56, "Panicle Initiation/Booting", V751&lt;56, "Vegetative/Tillering")</f>
        <v>Vegetative/Tillering</v>
      </c>
    </row>
    <row r="752" ht="15.75" customHeight="1">
      <c r="A752" s="3">
        <v>751.0</v>
      </c>
      <c r="B752" s="3" t="s">
        <v>23</v>
      </c>
      <c r="C752" s="3" t="s">
        <v>1453</v>
      </c>
      <c r="D752" s="3" t="s">
        <v>1454</v>
      </c>
      <c r="E752" s="3" t="s">
        <v>1455</v>
      </c>
      <c r="F752" s="3">
        <v>1742042.0</v>
      </c>
      <c r="G752" s="4">
        <v>46019.0</v>
      </c>
      <c r="H752" s="4">
        <v>46121.0</v>
      </c>
      <c r="I752" s="3" t="s">
        <v>2194</v>
      </c>
      <c r="J752" s="3" t="s">
        <v>2195</v>
      </c>
      <c r="K752" s="3" t="s">
        <v>1768</v>
      </c>
      <c r="L752" s="3">
        <v>0.1966</v>
      </c>
      <c r="M752" s="3">
        <v>4915.0</v>
      </c>
      <c r="N752" s="3">
        <v>3.0</v>
      </c>
      <c r="O752" s="3">
        <v>388322.0</v>
      </c>
      <c r="P752" s="3"/>
      <c r="Q752" s="3">
        <v>1318687.0</v>
      </c>
      <c r="R752" s="3"/>
      <c r="S752" s="3">
        <v>3932.0</v>
      </c>
      <c r="T752" s="3" t="s">
        <v>37</v>
      </c>
      <c r="U752" s="3">
        <v>3932.0</v>
      </c>
      <c r="V752" s="5">
        <f>(DATE(2026,2,3)-'RICE_Insured Farms_with PPI Pol'!$G752)+IF('RICE_Insured Farms_with PPI Pol'!$H752&lt;&gt;'RICE_Insured Farms_with PPI Pol'!$G752,18,0)</f>
        <v>55</v>
      </c>
      <c r="W752" s="3" t="str">
        <f t="array" ref="W752">IFS(V752&gt;120, "Harvested", V752&gt;=113, "Yellow Ripening", V752&gt;=101, "Dough Stage", V752&gt;=93, "Milking Stage", V752&gt;=86, "Flowering", V752&gt;=56, "Panicle Initiation/Booting", V752&lt;56, "Vegetative/Tillering")</f>
        <v>Vegetative/Tillering</v>
      </c>
    </row>
    <row r="753" ht="15.75" customHeight="1">
      <c r="A753" s="3">
        <v>752.0</v>
      </c>
      <c r="B753" s="3" t="s">
        <v>23</v>
      </c>
      <c r="C753" s="3" t="s">
        <v>68</v>
      </c>
      <c r="D753" s="3" t="s">
        <v>289</v>
      </c>
      <c r="E753" s="3" t="s">
        <v>1535</v>
      </c>
      <c r="F753" s="3">
        <v>1760009.0</v>
      </c>
      <c r="G753" s="4">
        <v>46018.0</v>
      </c>
      <c r="H753" s="4">
        <v>46120.0</v>
      </c>
      <c r="I753" s="3" t="s">
        <v>2196</v>
      </c>
      <c r="J753" s="3" t="s">
        <v>544</v>
      </c>
      <c r="K753" s="3" t="s">
        <v>2197</v>
      </c>
      <c r="L753" s="3">
        <v>0.992</v>
      </c>
      <c r="M753" s="3">
        <v>24800.0</v>
      </c>
      <c r="N753" s="3">
        <v>3.0</v>
      </c>
      <c r="O753" s="3">
        <v>94496.0</v>
      </c>
      <c r="P753" s="3"/>
      <c r="Q753" s="3">
        <v>1188385.0</v>
      </c>
      <c r="R753" s="3"/>
      <c r="S753" s="3">
        <v>19840.0</v>
      </c>
      <c r="T753" s="3" t="s">
        <v>37</v>
      </c>
      <c r="U753" s="3">
        <v>19840.0</v>
      </c>
      <c r="V753" s="5">
        <f>(DATE(2026,2,3)-'RICE_Insured Farms_with PPI Pol'!$G753)+IF('RICE_Insured Farms_with PPI Pol'!$H753&lt;&gt;'RICE_Insured Farms_with PPI Pol'!$G753,18,0)</f>
        <v>56</v>
      </c>
      <c r="W753" s="3" t="str">
        <f t="array" ref="W753">IFS(V753&gt;120, "Harvested", V753&gt;=113, "Yellow Ripening", V753&gt;=101, "Dough Stage", V753&gt;=93, "Milking Stage", V753&gt;=86, "Flowering", V753&gt;=56, "Panicle Initiation/Booting", V753&lt;56, "Vegetative/Tillering")</f>
        <v>Panicle Initiation/Booting</v>
      </c>
    </row>
    <row r="754" ht="15.75" customHeight="1">
      <c r="A754" s="3">
        <v>753.0</v>
      </c>
      <c r="B754" s="3" t="s">
        <v>23</v>
      </c>
      <c r="C754" s="3" t="s">
        <v>68</v>
      </c>
      <c r="D754" s="3" t="s">
        <v>289</v>
      </c>
      <c r="E754" s="3" t="s">
        <v>507</v>
      </c>
      <c r="F754" s="3">
        <v>1760025.0</v>
      </c>
      <c r="G754" s="4">
        <v>46023.0</v>
      </c>
      <c r="H754" s="4">
        <v>46125.0</v>
      </c>
      <c r="I754" s="3" t="s">
        <v>2198</v>
      </c>
      <c r="J754" s="3" t="s">
        <v>2199</v>
      </c>
      <c r="K754" s="3" t="s">
        <v>1263</v>
      </c>
      <c r="L754" s="3">
        <v>0.1528</v>
      </c>
      <c r="M754" s="3">
        <v>3820.0</v>
      </c>
      <c r="N754" s="3">
        <v>3.0</v>
      </c>
      <c r="O754" s="3">
        <v>388933.0</v>
      </c>
      <c r="P754" s="3" t="s">
        <v>2200</v>
      </c>
      <c r="Q754" s="3">
        <v>1148095.0</v>
      </c>
      <c r="R754" s="3"/>
      <c r="S754" s="3">
        <v>3056.0</v>
      </c>
      <c r="T754" s="3" t="s">
        <v>37</v>
      </c>
      <c r="U754" s="3">
        <v>3056.0</v>
      </c>
      <c r="V754" s="5">
        <f>(DATE(2026,2,3)-'RICE_Insured Farms_with PPI Pol'!$G754)+IF('RICE_Insured Farms_with PPI Pol'!$H754&lt;&gt;'RICE_Insured Farms_with PPI Pol'!$G754,18,0)</f>
        <v>51</v>
      </c>
      <c r="W754" s="3" t="str">
        <f t="array" ref="W754">IFS(V754&gt;120, "Harvested", V754&gt;=113, "Yellow Ripening", V754&gt;=101, "Dough Stage", V754&gt;=93, "Milking Stage", V754&gt;=86, "Flowering", V754&gt;=56, "Panicle Initiation/Booting", V754&lt;56, "Vegetative/Tillering")</f>
        <v>Vegetative/Tillering</v>
      </c>
    </row>
    <row r="755" ht="15.75" hidden="1" customHeight="1">
      <c r="A755" s="3">
        <v>754.0</v>
      </c>
      <c r="B755" s="3" t="s">
        <v>23</v>
      </c>
      <c r="C755" s="3" t="s">
        <v>68</v>
      </c>
      <c r="D755" s="3" t="s">
        <v>289</v>
      </c>
      <c r="E755" s="3" t="s">
        <v>571</v>
      </c>
      <c r="F755" s="3">
        <v>1760010.0</v>
      </c>
      <c r="G755" s="4">
        <v>46029.0</v>
      </c>
      <c r="H755" s="4">
        <v>46131.0</v>
      </c>
      <c r="I755" s="3" t="s">
        <v>2201</v>
      </c>
      <c r="J755" s="3" t="s">
        <v>1368</v>
      </c>
      <c r="K755" s="3" t="s">
        <v>2202</v>
      </c>
      <c r="L755" s="3">
        <v>0.6608</v>
      </c>
      <c r="M755" s="3">
        <v>16520.0</v>
      </c>
      <c r="N755" s="3">
        <v>2.0</v>
      </c>
      <c r="O755" s="3">
        <v>236343.0</v>
      </c>
      <c r="P755" s="3"/>
      <c r="Q755" s="3">
        <v>1140946.0</v>
      </c>
      <c r="R755" s="3"/>
      <c r="S755" s="3">
        <v>11564.0</v>
      </c>
      <c r="T755" s="3" t="s">
        <v>31</v>
      </c>
      <c r="U755" s="3">
        <v>11564.0</v>
      </c>
      <c r="V755" s="5">
        <f>(DATE(2026,2,3)-'RICE_Insured Farms_with PPI Pol'!$G755)+IF('RICE_Insured Farms_with PPI Pol'!$H755&lt;&gt;'RICE_Insured Farms_with PPI Pol'!$G755,18,0)</f>
        <v>45</v>
      </c>
      <c r="W755" s="3" t="str">
        <f t="array" ref="W755">IFS(V755&gt;120, "Harvested", V755&gt;=113, "Yellow Ripening", V755&gt;=101, "Dough Stage", V755&gt;=93, "Milking Stage", V755&gt;=86, "Flowering", V755&gt;=56, "Panicle Initiation/Booting", V755&lt;56, "Vegetative/Tillering")</f>
        <v>Vegetative/Tillering</v>
      </c>
    </row>
    <row r="756" ht="15.75" hidden="1" customHeight="1">
      <c r="A756" s="3">
        <v>755.0</v>
      </c>
      <c r="B756" s="3" t="s">
        <v>23</v>
      </c>
      <c r="C756" s="3" t="s">
        <v>68</v>
      </c>
      <c r="D756" s="3" t="s">
        <v>289</v>
      </c>
      <c r="E756" s="3" t="s">
        <v>571</v>
      </c>
      <c r="F756" s="3">
        <v>1760010.0</v>
      </c>
      <c r="G756" s="4">
        <v>46029.0</v>
      </c>
      <c r="H756" s="4">
        <v>46131.0</v>
      </c>
      <c r="I756" s="3" t="s">
        <v>2201</v>
      </c>
      <c r="J756" s="3" t="s">
        <v>2203</v>
      </c>
      <c r="K756" s="3" t="s">
        <v>2202</v>
      </c>
      <c r="L756" s="3">
        <v>0.3414</v>
      </c>
      <c r="M756" s="3">
        <v>8535.0</v>
      </c>
      <c r="N756" s="3">
        <v>2.0</v>
      </c>
      <c r="O756" s="3">
        <v>293902.0</v>
      </c>
      <c r="P756" s="3"/>
      <c r="Q756" s="3">
        <v>1150903.0</v>
      </c>
      <c r="R756" s="3"/>
      <c r="S756" s="3">
        <v>5974.5</v>
      </c>
      <c r="T756" s="3" t="s">
        <v>31</v>
      </c>
      <c r="U756" s="3">
        <v>5974.5</v>
      </c>
      <c r="V756" s="5">
        <f>(DATE(2026,2,3)-'RICE_Insured Farms_with PPI Pol'!$G756)+IF('RICE_Insured Farms_with PPI Pol'!$H756&lt;&gt;'RICE_Insured Farms_with PPI Pol'!$G756,18,0)</f>
        <v>45</v>
      </c>
      <c r="W756" s="3" t="str">
        <f t="array" ref="W756">IFS(V756&gt;120, "Harvested", V756&gt;=113, "Yellow Ripening", V756&gt;=101, "Dough Stage", V756&gt;=93, "Milking Stage", V756&gt;=86, "Flowering", V756&gt;=56, "Panicle Initiation/Booting", V756&lt;56, "Vegetative/Tillering")</f>
        <v>Vegetative/Tillering</v>
      </c>
    </row>
    <row r="757" ht="15.75" customHeight="1">
      <c r="A757" s="3">
        <v>756.0</v>
      </c>
      <c r="B757" s="3" t="s">
        <v>23</v>
      </c>
      <c r="C757" s="3" t="s">
        <v>68</v>
      </c>
      <c r="D757" s="3" t="s">
        <v>289</v>
      </c>
      <c r="E757" s="3" t="s">
        <v>702</v>
      </c>
      <c r="F757" s="3">
        <v>1760026.0</v>
      </c>
      <c r="G757" s="4">
        <v>46019.0</v>
      </c>
      <c r="H757" s="4">
        <v>46121.0</v>
      </c>
      <c r="I757" s="3" t="s">
        <v>2204</v>
      </c>
      <c r="J757" s="3" t="s">
        <v>933</v>
      </c>
      <c r="K757" s="3" t="s">
        <v>1964</v>
      </c>
      <c r="L757" s="3">
        <v>0.8871</v>
      </c>
      <c r="M757" s="3">
        <v>22177.5</v>
      </c>
      <c r="N757" s="3">
        <v>3.0</v>
      </c>
      <c r="O757" s="3">
        <v>357092.0</v>
      </c>
      <c r="P757" s="3"/>
      <c r="Q757" s="3">
        <v>1033809.0</v>
      </c>
      <c r="R757" s="3"/>
      <c r="S757" s="3">
        <v>17742.0</v>
      </c>
      <c r="T757" s="3" t="s">
        <v>37</v>
      </c>
      <c r="U757" s="3">
        <v>17742.0</v>
      </c>
      <c r="V757" s="5">
        <f>(DATE(2026,2,3)-'RICE_Insured Farms_with PPI Pol'!$G757)+IF('RICE_Insured Farms_with PPI Pol'!$H757&lt;&gt;'RICE_Insured Farms_with PPI Pol'!$G757,18,0)</f>
        <v>55</v>
      </c>
      <c r="W757" s="3" t="str">
        <f t="array" ref="W757">IFS(V757&gt;120, "Harvested", V757&gt;=113, "Yellow Ripening", V757&gt;=101, "Dough Stage", V757&gt;=93, "Milking Stage", V757&gt;=86, "Flowering", V757&gt;=56, "Panicle Initiation/Booting", V757&lt;56, "Vegetative/Tillering")</f>
        <v>Vegetative/Tillering</v>
      </c>
    </row>
    <row r="758" ht="15.75" customHeight="1">
      <c r="A758" s="3">
        <v>757.0</v>
      </c>
      <c r="B758" s="3" t="s">
        <v>23</v>
      </c>
      <c r="C758" s="3" t="s">
        <v>68</v>
      </c>
      <c r="D758" s="3" t="s">
        <v>289</v>
      </c>
      <c r="E758" s="3" t="s">
        <v>774</v>
      </c>
      <c r="F758" s="3">
        <v>1760033.0</v>
      </c>
      <c r="G758" s="4">
        <v>46024.0</v>
      </c>
      <c r="H758" s="4">
        <v>46126.0</v>
      </c>
      <c r="I758" s="3" t="s">
        <v>882</v>
      </c>
      <c r="J758" s="3" t="s">
        <v>2205</v>
      </c>
      <c r="K758" s="3" t="s">
        <v>2206</v>
      </c>
      <c r="L758" s="3">
        <v>0.5669</v>
      </c>
      <c r="M758" s="3">
        <v>14172.5</v>
      </c>
      <c r="N758" s="3">
        <v>3.0</v>
      </c>
      <c r="O758" s="3">
        <v>236846.0</v>
      </c>
      <c r="P758" s="3"/>
      <c r="Q758" s="3">
        <v>1323018.0</v>
      </c>
      <c r="R758" s="3"/>
      <c r="S758" s="3">
        <v>11338.0</v>
      </c>
      <c r="T758" s="3" t="s">
        <v>37</v>
      </c>
      <c r="U758" s="3">
        <v>11338.0</v>
      </c>
      <c r="V758" s="5">
        <f>(DATE(2026,2,3)-'RICE_Insured Farms_with PPI Pol'!$G758)+IF('RICE_Insured Farms_with PPI Pol'!$H758&lt;&gt;'RICE_Insured Farms_with PPI Pol'!$G758,18,0)</f>
        <v>50</v>
      </c>
      <c r="W758" s="3" t="str">
        <f t="array" ref="W758">IFS(V758&gt;120, "Harvested", V758&gt;=113, "Yellow Ripening", V758&gt;=101, "Dough Stage", V758&gt;=93, "Milking Stage", V758&gt;=86, "Flowering", V758&gt;=56, "Panicle Initiation/Booting", V758&lt;56, "Vegetative/Tillering")</f>
        <v>Vegetative/Tillering</v>
      </c>
    </row>
    <row r="759" ht="15.75" hidden="1" customHeight="1">
      <c r="A759" s="3">
        <v>758.0</v>
      </c>
      <c r="B759" s="3" t="s">
        <v>23</v>
      </c>
      <c r="C759" s="3" t="s">
        <v>68</v>
      </c>
      <c r="D759" s="3" t="s">
        <v>289</v>
      </c>
      <c r="E759" s="3" t="s">
        <v>352</v>
      </c>
      <c r="F759" s="3">
        <v>1760050.0</v>
      </c>
      <c r="G759" s="4">
        <v>46034.0</v>
      </c>
      <c r="H759" s="4">
        <v>46136.0</v>
      </c>
      <c r="I759" s="3" t="s">
        <v>882</v>
      </c>
      <c r="J759" s="3" t="s">
        <v>2207</v>
      </c>
      <c r="K759" s="3" t="s">
        <v>1917</v>
      </c>
      <c r="L759" s="3">
        <v>0.5584</v>
      </c>
      <c r="M759" s="3">
        <v>13960.0</v>
      </c>
      <c r="N759" s="3">
        <v>2.0</v>
      </c>
      <c r="O759" s="3">
        <v>331423.0</v>
      </c>
      <c r="P759" s="3" t="s">
        <v>2208</v>
      </c>
      <c r="Q759" s="3">
        <v>1286186.0</v>
      </c>
      <c r="R759" s="3"/>
      <c r="S759" s="3">
        <v>9772.0</v>
      </c>
      <c r="T759" s="3" t="s">
        <v>31</v>
      </c>
      <c r="U759" s="3">
        <v>9772.0</v>
      </c>
      <c r="V759" s="5">
        <f>(DATE(2026,2,3)-'RICE_Insured Farms_with PPI Pol'!$G759)+IF('RICE_Insured Farms_with PPI Pol'!$H759&lt;&gt;'RICE_Insured Farms_with PPI Pol'!$G759,18,0)</f>
        <v>40</v>
      </c>
      <c r="W759" s="3" t="str">
        <f t="array" ref="W759">IFS(V759&gt;120, "Harvested", V759&gt;=113, "Yellow Ripening", V759&gt;=101, "Dough Stage", V759&gt;=93, "Milking Stage", V759&gt;=86, "Flowering", V759&gt;=56, "Panicle Initiation/Booting", V759&lt;56, "Vegetative/Tillering")</f>
        <v>Vegetative/Tillering</v>
      </c>
    </row>
    <row r="760" ht="15.75" customHeight="1">
      <c r="A760" s="3">
        <v>759.0</v>
      </c>
      <c r="B760" s="3" t="s">
        <v>23</v>
      </c>
      <c r="C760" s="3" t="s">
        <v>68</v>
      </c>
      <c r="D760" s="3" t="s">
        <v>289</v>
      </c>
      <c r="E760" s="3" t="s">
        <v>774</v>
      </c>
      <c r="F760" s="3">
        <v>1760013.0</v>
      </c>
      <c r="G760" s="4">
        <v>46011.0</v>
      </c>
      <c r="H760" s="4">
        <v>46113.0</v>
      </c>
      <c r="I760" s="3" t="s">
        <v>882</v>
      </c>
      <c r="J760" s="3" t="s">
        <v>596</v>
      </c>
      <c r="K760" s="3" t="s">
        <v>2209</v>
      </c>
      <c r="L760" s="3">
        <v>0.6123</v>
      </c>
      <c r="M760" s="3">
        <v>15307.5</v>
      </c>
      <c r="N760" s="3">
        <v>3.0</v>
      </c>
      <c r="O760" s="3">
        <v>486801.0</v>
      </c>
      <c r="P760" s="3"/>
      <c r="Q760" s="3">
        <v>1276758.0</v>
      </c>
      <c r="R760" s="3"/>
      <c r="S760" s="3">
        <v>12246.0</v>
      </c>
      <c r="T760" s="3" t="s">
        <v>37</v>
      </c>
      <c r="U760" s="3">
        <v>12246.0</v>
      </c>
      <c r="V760" s="5">
        <f>(DATE(2026,2,3)-'RICE_Insured Farms_with PPI Pol'!$G760)+IF('RICE_Insured Farms_with PPI Pol'!$H760&lt;&gt;'RICE_Insured Farms_with PPI Pol'!$G760,18,0)</f>
        <v>63</v>
      </c>
      <c r="W760" s="3" t="str">
        <f t="array" ref="W760">IFS(V760&gt;120, "Harvested", V760&gt;=113, "Yellow Ripening", V760&gt;=101, "Dough Stage", V760&gt;=93, "Milking Stage", V760&gt;=86, "Flowering", V760&gt;=56, "Panicle Initiation/Booting", V760&lt;56, "Vegetative/Tillering")</f>
        <v>Panicle Initiation/Booting</v>
      </c>
    </row>
    <row r="761" ht="15.75" hidden="1" customHeight="1">
      <c r="A761" s="3">
        <v>760.0</v>
      </c>
      <c r="B761" s="3" t="s">
        <v>23</v>
      </c>
      <c r="C761" s="3" t="s">
        <v>68</v>
      </c>
      <c r="D761" s="3" t="s">
        <v>289</v>
      </c>
      <c r="E761" s="3" t="s">
        <v>774</v>
      </c>
      <c r="F761" s="3">
        <v>1760033.0</v>
      </c>
      <c r="G761" s="4">
        <v>46036.0</v>
      </c>
      <c r="H761" s="4">
        <v>46138.0</v>
      </c>
      <c r="I761" s="3" t="s">
        <v>882</v>
      </c>
      <c r="J761" s="3" t="s">
        <v>2210</v>
      </c>
      <c r="K761" s="3" t="s">
        <v>1228</v>
      </c>
      <c r="L761" s="3">
        <v>1.3</v>
      </c>
      <c r="M761" s="3">
        <v>32500.0</v>
      </c>
      <c r="N761" s="3">
        <v>2.0</v>
      </c>
      <c r="O761" s="3">
        <v>204551.0</v>
      </c>
      <c r="P761" s="3" t="s">
        <v>2211</v>
      </c>
      <c r="Q761" s="3">
        <v>1138027.0</v>
      </c>
      <c r="R761" s="3"/>
      <c r="S761" s="3">
        <v>22750.0</v>
      </c>
      <c r="T761" s="3" t="s">
        <v>31</v>
      </c>
      <c r="U761" s="3">
        <v>22750.0</v>
      </c>
      <c r="V761" s="5">
        <f>(DATE(2026,2,3)-'RICE_Insured Farms_with PPI Pol'!$G761)+IF('RICE_Insured Farms_with PPI Pol'!$H761&lt;&gt;'RICE_Insured Farms_with PPI Pol'!$G761,18,0)</f>
        <v>38</v>
      </c>
      <c r="W761" s="3" t="str">
        <f t="array" ref="W761">IFS(V761&gt;120, "Harvested", V761&gt;=113, "Yellow Ripening", V761&gt;=101, "Dough Stage", V761&gt;=93, "Milking Stage", V761&gt;=86, "Flowering", V761&gt;=56, "Panicle Initiation/Booting", V761&lt;56, "Vegetative/Tillering")</f>
        <v>Vegetative/Tillering</v>
      </c>
    </row>
    <row r="762" ht="15.75" hidden="1" customHeight="1">
      <c r="A762" s="3">
        <v>1166.0</v>
      </c>
      <c r="B762" s="3" t="s">
        <v>1776</v>
      </c>
      <c r="C762" s="3" t="s">
        <v>24</v>
      </c>
      <c r="D762" s="3" t="s">
        <v>25</v>
      </c>
      <c r="E762" s="3" t="s">
        <v>1374</v>
      </c>
      <c r="F762" s="3">
        <v>1760471.0</v>
      </c>
      <c r="G762" s="4">
        <v>46016.0</v>
      </c>
      <c r="H762" s="4">
        <v>46111.0</v>
      </c>
      <c r="I762" s="3" t="s">
        <v>2173</v>
      </c>
      <c r="J762" s="3" t="s">
        <v>2174</v>
      </c>
      <c r="K762" s="3" t="s">
        <v>2175</v>
      </c>
      <c r="L762" s="3">
        <v>0.1992</v>
      </c>
      <c r="M762" s="3">
        <v>3984.0</v>
      </c>
      <c r="N762" s="3">
        <v>4.0</v>
      </c>
      <c r="O762" s="3">
        <v>480868.0</v>
      </c>
      <c r="P762" s="3" t="s">
        <v>2176</v>
      </c>
      <c r="Q762" s="3">
        <v>1321466.0</v>
      </c>
      <c r="R762" s="3"/>
      <c r="S762" s="3">
        <v>3187.2</v>
      </c>
      <c r="T762" s="3" t="s">
        <v>56</v>
      </c>
      <c r="U762" s="3">
        <v>3187.2</v>
      </c>
      <c r="V762" s="5">
        <f>(DATE(2026,2,3)-'RICE_Insured Farms_with PPI Pol'!$G762)+IF('RICE_Insured Farms_with PPI Pol'!$H762&lt;&gt;'RICE_Insured Farms_with PPI Pol'!$G762,18,0)</f>
        <v>58</v>
      </c>
      <c r="W762" s="3" t="str">
        <f t="array" ref="W762">IFS(V762&gt;120, "Harvested", V762&gt;=113, "Yellow Ripening", V762&gt;=101, "Dough Stage", V762&gt;=93, "Milking Stage", V762&gt;=86, "Flowering", V762&gt;=56, "Panicle Initiation/Booting", V762&lt;56, "Vegetative/Tillering")</f>
        <v>Panicle Initiation/Booting</v>
      </c>
    </row>
    <row r="763" ht="15.75" customHeight="1">
      <c r="A763" s="3">
        <v>762.0</v>
      </c>
      <c r="B763" s="3" t="s">
        <v>23</v>
      </c>
      <c r="C763" s="3" t="s">
        <v>24</v>
      </c>
      <c r="D763" s="3" t="s">
        <v>25</v>
      </c>
      <c r="E763" s="3" t="s">
        <v>1164</v>
      </c>
      <c r="F763" s="3">
        <v>1761008.0</v>
      </c>
      <c r="G763" s="4">
        <v>46018.0</v>
      </c>
      <c r="H763" s="4">
        <v>46118.0</v>
      </c>
      <c r="I763" s="3" t="s">
        <v>2212</v>
      </c>
      <c r="J763" s="3" t="s">
        <v>1014</v>
      </c>
      <c r="K763" s="3" t="s">
        <v>2213</v>
      </c>
      <c r="L763" s="3">
        <v>0.4071</v>
      </c>
      <c r="M763" s="3">
        <v>10177.5</v>
      </c>
      <c r="N763" s="3">
        <v>3.0</v>
      </c>
      <c r="O763" s="3">
        <v>304020.0</v>
      </c>
      <c r="P763" s="3" t="s">
        <v>2214</v>
      </c>
      <c r="Q763" s="3">
        <v>1329150.0</v>
      </c>
      <c r="R763" s="3"/>
      <c r="S763" s="3">
        <v>8142.0</v>
      </c>
      <c r="T763" s="3" t="s">
        <v>37</v>
      </c>
      <c r="U763" s="3">
        <v>8142.0</v>
      </c>
      <c r="V763" s="5">
        <f>(DATE(2026,2,3)-'RICE_Insured Farms_with PPI Pol'!$G763)+IF('RICE_Insured Farms_with PPI Pol'!$H763&lt;&gt;'RICE_Insured Farms_with PPI Pol'!$G763,18,0)</f>
        <v>56</v>
      </c>
      <c r="W763" s="3" t="str">
        <f t="array" ref="W763">IFS(V763&gt;120, "Harvested", V763&gt;=113, "Yellow Ripening", V763&gt;=101, "Dough Stage", V763&gt;=93, "Milking Stage", V763&gt;=86, "Flowering", V763&gt;=56, "Panicle Initiation/Booting", V763&lt;56, "Vegetative/Tillering")</f>
        <v>Panicle Initiation/Booting</v>
      </c>
    </row>
    <row r="764" ht="15.75" hidden="1" customHeight="1">
      <c r="A764" s="3">
        <v>763.0</v>
      </c>
      <c r="B764" s="3" t="s">
        <v>23</v>
      </c>
      <c r="C764" s="3" t="s">
        <v>1453</v>
      </c>
      <c r="D764" s="3" t="s">
        <v>1454</v>
      </c>
      <c r="E764" s="3" t="s">
        <v>1455</v>
      </c>
      <c r="F764" s="3">
        <v>1742045.0</v>
      </c>
      <c r="G764" s="4">
        <v>46026.0</v>
      </c>
      <c r="H764" s="4">
        <v>46128.0</v>
      </c>
      <c r="I764" s="3" t="s">
        <v>2215</v>
      </c>
      <c r="J764" s="3" t="s">
        <v>2216</v>
      </c>
      <c r="K764" s="3" t="s">
        <v>2217</v>
      </c>
      <c r="L764" s="3">
        <v>0.8433</v>
      </c>
      <c r="M764" s="3">
        <v>21082.5</v>
      </c>
      <c r="N764" s="3">
        <v>2.0</v>
      </c>
      <c r="O764" s="3">
        <v>83992.0</v>
      </c>
      <c r="P764" s="3"/>
      <c r="Q764" s="3">
        <v>1135693.0</v>
      </c>
      <c r="R764" s="3"/>
      <c r="S764" s="3">
        <v>14757.75</v>
      </c>
      <c r="T764" s="3" t="s">
        <v>31</v>
      </c>
      <c r="U764" s="3">
        <v>14757.75</v>
      </c>
      <c r="V764" s="5">
        <f>(DATE(2026,2,3)-'RICE_Insured Farms_with PPI Pol'!$G764)+IF('RICE_Insured Farms_with PPI Pol'!$H764&lt;&gt;'RICE_Insured Farms_with PPI Pol'!$G764,18,0)</f>
        <v>48</v>
      </c>
      <c r="W764" s="3" t="str">
        <f t="array" ref="W764">IFS(V764&gt;120, "Harvested", V764&gt;=113, "Yellow Ripening", V764&gt;=101, "Dough Stage", V764&gt;=93, "Milking Stage", V764&gt;=86, "Flowering", V764&gt;=56, "Panicle Initiation/Booting", V764&lt;56, "Vegetative/Tillering")</f>
        <v>Vegetative/Tillering</v>
      </c>
    </row>
    <row r="765" ht="15.75" customHeight="1">
      <c r="A765" s="3">
        <v>764.0</v>
      </c>
      <c r="B765" s="3" t="s">
        <v>23</v>
      </c>
      <c r="C765" s="3" t="s">
        <v>68</v>
      </c>
      <c r="D765" s="3" t="s">
        <v>289</v>
      </c>
      <c r="E765" s="3" t="s">
        <v>743</v>
      </c>
      <c r="F765" s="3">
        <v>1760011.0</v>
      </c>
      <c r="G765" s="4">
        <v>46024.0</v>
      </c>
      <c r="H765" s="4">
        <v>46126.0</v>
      </c>
      <c r="I765" s="3" t="s">
        <v>2218</v>
      </c>
      <c r="J765" s="3" t="s">
        <v>2219</v>
      </c>
      <c r="K765" s="3" t="s">
        <v>1443</v>
      </c>
      <c r="L765" s="3">
        <v>0.92</v>
      </c>
      <c r="M765" s="3">
        <v>23000.0</v>
      </c>
      <c r="N765" s="3">
        <v>3.0</v>
      </c>
      <c r="O765" s="3">
        <v>161055.0</v>
      </c>
      <c r="P765" s="3" t="s">
        <v>2220</v>
      </c>
      <c r="Q765" s="3">
        <v>1186286.0</v>
      </c>
      <c r="R765" s="3"/>
      <c r="S765" s="3">
        <v>18400.0</v>
      </c>
      <c r="T765" s="3" t="s">
        <v>37</v>
      </c>
      <c r="U765" s="3">
        <v>18400.0</v>
      </c>
      <c r="V765" s="5">
        <f>(DATE(2026,2,3)-'RICE_Insured Farms_with PPI Pol'!$G765)+IF('RICE_Insured Farms_with PPI Pol'!$H765&lt;&gt;'RICE_Insured Farms_with PPI Pol'!$G765,18,0)</f>
        <v>50</v>
      </c>
      <c r="W765" s="3" t="str">
        <f t="array" ref="W765">IFS(V765&gt;120, "Harvested", V765&gt;=113, "Yellow Ripening", V765&gt;=101, "Dough Stage", V765&gt;=93, "Milking Stage", V765&gt;=86, "Flowering", V765&gt;=56, "Panicle Initiation/Booting", V765&lt;56, "Vegetative/Tillering")</f>
        <v>Vegetative/Tillering</v>
      </c>
    </row>
    <row r="766" ht="15.75" hidden="1" customHeight="1">
      <c r="A766" s="3">
        <v>765.0</v>
      </c>
      <c r="B766" s="3" t="s">
        <v>23</v>
      </c>
      <c r="C766" s="3" t="s">
        <v>68</v>
      </c>
      <c r="D766" s="3" t="s">
        <v>289</v>
      </c>
      <c r="E766" s="3" t="s">
        <v>702</v>
      </c>
      <c r="F766" s="3">
        <v>1760039.0</v>
      </c>
      <c r="G766" s="4">
        <v>46032.0</v>
      </c>
      <c r="H766" s="4">
        <v>46134.0</v>
      </c>
      <c r="I766" s="3" t="s">
        <v>2218</v>
      </c>
      <c r="J766" s="3" t="s">
        <v>544</v>
      </c>
      <c r="K766" s="3" t="s">
        <v>2221</v>
      </c>
      <c r="L766" s="3">
        <v>0.7511</v>
      </c>
      <c r="M766" s="3">
        <v>18777.5</v>
      </c>
      <c r="N766" s="3">
        <v>2.0</v>
      </c>
      <c r="O766" s="3">
        <v>160905.0</v>
      </c>
      <c r="P766" s="3" t="s">
        <v>2222</v>
      </c>
      <c r="Q766" s="3">
        <v>1140779.0</v>
      </c>
      <c r="R766" s="3"/>
      <c r="S766" s="3">
        <v>13144.25</v>
      </c>
      <c r="T766" s="3" t="s">
        <v>31</v>
      </c>
      <c r="U766" s="3">
        <v>13144.25</v>
      </c>
      <c r="V766" s="5">
        <f>(DATE(2026,2,3)-'RICE_Insured Farms_with PPI Pol'!$G766)+IF('RICE_Insured Farms_with PPI Pol'!$H766&lt;&gt;'RICE_Insured Farms_with PPI Pol'!$G766,18,0)</f>
        <v>42</v>
      </c>
      <c r="W766" s="3" t="str">
        <f t="array" ref="W766">IFS(V766&gt;120, "Harvested", V766&gt;=113, "Yellow Ripening", V766&gt;=101, "Dough Stage", V766&gt;=93, "Milking Stage", V766&gt;=86, "Flowering", V766&gt;=56, "Panicle Initiation/Booting", V766&lt;56, "Vegetative/Tillering")</f>
        <v>Vegetative/Tillering</v>
      </c>
    </row>
    <row r="767" ht="15.75" hidden="1" customHeight="1">
      <c r="A767" s="3">
        <v>766.0</v>
      </c>
      <c r="B767" s="3" t="s">
        <v>23</v>
      </c>
      <c r="C767" s="3" t="s">
        <v>68</v>
      </c>
      <c r="D767" s="3" t="s">
        <v>289</v>
      </c>
      <c r="E767" s="3" t="s">
        <v>702</v>
      </c>
      <c r="F767" s="3">
        <v>1760039.0</v>
      </c>
      <c r="G767" s="4">
        <v>46032.0</v>
      </c>
      <c r="H767" s="4">
        <v>46134.0</v>
      </c>
      <c r="I767" s="3" t="s">
        <v>2218</v>
      </c>
      <c r="J767" s="3" t="s">
        <v>544</v>
      </c>
      <c r="K767" s="3" t="s">
        <v>2221</v>
      </c>
      <c r="L767" s="3">
        <v>0.1577</v>
      </c>
      <c r="M767" s="3">
        <v>3942.5</v>
      </c>
      <c r="N767" s="3">
        <v>2.0</v>
      </c>
      <c r="O767" s="3">
        <v>160905.0</v>
      </c>
      <c r="P767" s="3" t="s">
        <v>2222</v>
      </c>
      <c r="Q767" s="3">
        <v>1284316.0</v>
      </c>
      <c r="R767" s="3"/>
      <c r="S767" s="3">
        <v>2759.75</v>
      </c>
      <c r="T767" s="3" t="s">
        <v>31</v>
      </c>
      <c r="U767" s="3">
        <v>2759.75</v>
      </c>
      <c r="V767" s="5">
        <f>(DATE(2026,2,3)-'RICE_Insured Farms_with PPI Pol'!$G767)+IF('RICE_Insured Farms_with PPI Pol'!$H767&lt;&gt;'RICE_Insured Farms_with PPI Pol'!$G767,18,0)</f>
        <v>42</v>
      </c>
      <c r="W767" s="3" t="str">
        <f t="array" ref="W767">IFS(V767&gt;120, "Harvested", V767&gt;=113, "Yellow Ripening", V767&gt;=101, "Dough Stage", V767&gt;=93, "Milking Stage", V767&gt;=86, "Flowering", V767&gt;=56, "Panicle Initiation/Booting", V767&lt;56, "Vegetative/Tillering")</f>
        <v>Vegetative/Tillering</v>
      </c>
    </row>
    <row r="768" ht="15.75" customHeight="1">
      <c r="A768" s="3">
        <v>767.0</v>
      </c>
      <c r="B768" s="3" t="s">
        <v>23</v>
      </c>
      <c r="C768" s="3" t="s">
        <v>68</v>
      </c>
      <c r="D768" s="3" t="s">
        <v>289</v>
      </c>
      <c r="E768" s="3" t="s">
        <v>743</v>
      </c>
      <c r="F768" s="3">
        <v>1760014.0</v>
      </c>
      <c r="G768" s="4">
        <v>46024.0</v>
      </c>
      <c r="H768" s="4">
        <v>46126.0</v>
      </c>
      <c r="I768" s="3" t="s">
        <v>2218</v>
      </c>
      <c r="J768" s="3" t="s">
        <v>2223</v>
      </c>
      <c r="K768" s="3" t="s">
        <v>1443</v>
      </c>
      <c r="L768" s="3">
        <v>0.8881</v>
      </c>
      <c r="M768" s="3">
        <v>22202.5</v>
      </c>
      <c r="N768" s="3">
        <v>3.0</v>
      </c>
      <c r="O768" s="3">
        <v>49600.0</v>
      </c>
      <c r="P768" s="3"/>
      <c r="Q768" s="3">
        <v>1186284.0</v>
      </c>
      <c r="R768" s="3"/>
      <c r="S768" s="3">
        <v>17762.0</v>
      </c>
      <c r="T768" s="3" t="s">
        <v>37</v>
      </c>
      <c r="U768" s="3">
        <v>17762.0</v>
      </c>
      <c r="V768" s="5">
        <f>(DATE(2026,2,3)-'RICE_Insured Farms_with PPI Pol'!$G768)+IF('RICE_Insured Farms_with PPI Pol'!$H768&lt;&gt;'RICE_Insured Farms_with PPI Pol'!$G768,18,0)</f>
        <v>50</v>
      </c>
      <c r="W768" s="3" t="str">
        <f t="array" ref="W768">IFS(V768&gt;120, "Harvested", V768&gt;=113, "Yellow Ripening", V768&gt;=101, "Dough Stage", V768&gt;=93, "Milking Stage", V768&gt;=86, "Flowering", V768&gt;=56, "Panicle Initiation/Booting", V768&lt;56, "Vegetative/Tillering")</f>
        <v>Vegetative/Tillering</v>
      </c>
    </row>
    <row r="769" ht="15.75" hidden="1" customHeight="1">
      <c r="A769" s="3">
        <v>768.0</v>
      </c>
      <c r="B769" s="3" t="s">
        <v>23</v>
      </c>
      <c r="C769" s="3" t="s">
        <v>68</v>
      </c>
      <c r="D769" s="3" t="s">
        <v>289</v>
      </c>
      <c r="E769" s="3" t="s">
        <v>743</v>
      </c>
      <c r="F769" s="3">
        <v>1760041.0</v>
      </c>
      <c r="G769" s="4">
        <v>46037.0</v>
      </c>
      <c r="H769" s="4">
        <v>46139.0</v>
      </c>
      <c r="I769" s="3" t="s">
        <v>2218</v>
      </c>
      <c r="J769" s="3" t="s">
        <v>2224</v>
      </c>
      <c r="K769" s="3" t="s">
        <v>1443</v>
      </c>
      <c r="L769" s="3">
        <v>0.2787</v>
      </c>
      <c r="M769" s="3">
        <v>6967.5</v>
      </c>
      <c r="N769" s="3">
        <v>2.0</v>
      </c>
      <c r="O769" s="3">
        <v>221298.0</v>
      </c>
      <c r="P769" s="3"/>
      <c r="Q769" s="3">
        <v>1138408.0</v>
      </c>
      <c r="R769" s="3"/>
      <c r="S769" s="3">
        <v>4877.25</v>
      </c>
      <c r="T769" s="3" t="s">
        <v>31</v>
      </c>
      <c r="U769" s="3">
        <v>4877.25</v>
      </c>
      <c r="V769" s="5">
        <f>(DATE(2026,2,3)-'RICE_Insured Farms_with PPI Pol'!$G769)+IF('RICE_Insured Farms_with PPI Pol'!$H769&lt;&gt;'RICE_Insured Farms_with PPI Pol'!$G769,18,0)</f>
        <v>37</v>
      </c>
      <c r="W769" s="3" t="str">
        <f t="array" ref="W769">IFS(V769&gt;120, "Harvested", V769&gt;=113, "Yellow Ripening", V769&gt;=101, "Dough Stage", V769&gt;=93, "Milking Stage", V769&gt;=86, "Flowering", V769&gt;=56, "Panicle Initiation/Booting", V769&lt;56, "Vegetative/Tillering")</f>
        <v>Vegetative/Tillering</v>
      </c>
    </row>
    <row r="770" ht="15.75" hidden="1" customHeight="1">
      <c r="A770" s="3">
        <v>769.0</v>
      </c>
      <c r="B770" s="3" t="s">
        <v>23</v>
      </c>
      <c r="C770" s="3" t="s">
        <v>68</v>
      </c>
      <c r="D770" s="3" t="s">
        <v>289</v>
      </c>
      <c r="E770" s="3" t="s">
        <v>743</v>
      </c>
      <c r="F770" s="3">
        <v>1760041.0</v>
      </c>
      <c r="G770" s="4">
        <v>46035.0</v>
      </c>
      <c r="H770" s="4">
        <v>46137.0</v>
      </c>
      <c r="I770" s="3" t="s">
        <v>2218</v>
      </c>
      <c r="J770" s="3" t="s">
        <v>2225</v>
      </c>
      <c r="K770" s="3" t="s">
        <v>1443</v>
      </c>
      <c r="L770" s="3">
        <v>0.582</v>
      </c>
      <c r="M770" s="3">
        <v>14550.0</v>
      </c>
      <c r="N770" s="3">
        <v>2.0</v>
      </c>
      <c r="O770" s="3">
        <v>419417.0</v>
      </c>
      <c r="P770" s="3" t="s">
        <v>2226</v>
      </c>
      <c r="Q770" s="3">
        <v>1035247.0</v>
      </c>
      <c r="R770" s="3"/>
      <c r="S770" s="3">
        <v>10185.0</v>
      </c>
      <c r="T770" s="3" t="s">
        <v>31</v>
      </c>
      <c r="U770" s="3">
        <v>10185.0</v>
      </c>
      <c r="V770" s="5">
        <f>(DATE(2026,2,3)-'RICE_Insured Farms_with PPI Pol'!$G770)+IF('RICE_Insured Farms_with PPI Pol'!$H770&lt;&gt;'RICE_Insured Farms_with PPI Pol'!$G770,18,0)</f>
        <v>39</v>
      </c>
      <c r="W770" s="3" t="str">
        <f t="array" ref="W770">IFS(V770&gt;120, "Harvested", V770&gt;=113, "Yellow Ripening", V770&gt;=101, "Dough Stage", V770&gt;=93, "Milking Stage", V770&gt;=86, "Flowering", V770&gt;=56, "Panicle Initiation/Booting", V770&lt;56, "Vegetative/Tillering")</f>
        <v>Vegetative/Tillering</v>
      </c>
    </row>
    <row r="771" ht="15.75" hidden="1" customHeight="1">
      <c r="A771" s="3">
        <v>770.0</v>
      </c>
      <c r="B771" s="3" t="s">
        <v>23</v>
      </c>
      <c r="C771" s="3" t="s">
        <v>68</v>
      </c>
      <c r="D771" s="3" t="s">
        <v>289</v>
      </c>
      <c r="E771" s="3" t="s">
        <v>895</v>
      </c>
      <c r="F771" s="3">
        <v>1760020.0</v>
      </c>
      <c r="G771" s="4">
        <v>46027.0</v>
      </c>
      <c r="H771" s="4">
        <v>46129.0</v>
      </c>
      <c r="I771" s="3" t="s">
        <v>2227</v>
      </c>
      <c r="J771" s="3" t="s">
        <v>2228</v>
      </c>
      <c r="K771" s="3" t="s">
        <v>2229</v>
      </c>
      <c r="L771" s="3">
        <v>0.4234</v>
      </c>
      <c r="M771" s="3">
        <v>10585.0</v>
      </c>
      <c r="N771" s="3">
        <v>2.0</v>
      </c>
      <c r="O771" s="3">
        <v>294126.0</v>
      </c>
      <c r="P771" s="3" t="s">
        <v>2230</v>
      </c>
      <c r="Q771" s="3">
        <v>1280632.0</v>
      </c>
      <c r="R771" s="3"/>
      <c r="S771" s="3">
        <v>7409.5</v>
      </c>
      <c r="T771" s="3" t="s">
        <v>31</v>
      </c>
      <c r="U771" s="3">
        <v>7409.5</v>
      </c>
      <c r="V771" s="5">
        <f>(DATE(2026,2,3)-'RICE_Insured Farms_with PPI Pol'!$G771)+IF('RICE_Insured Farms_with PPI Pol'!$H771&lt;&gt;'RICE_Insured Farms_with PPI Pol'!$G771,18,0)</f>
        <v>47</v>
      </c>
      <c r="W771" s="3" t="str">
        <f t="array" ref="W771">IFS(V771&gt;120, "Harvested", V771&gt;=113, "Yellow Ripening", V771&gt;=101, "Dough Stage", V771&gt;=93, "Milking Stage", V771&gt;=86, "Flowering", V771&gt;=56, "Panicle Initiation/Booting", V771&lt;56, "Vegetative/Tillering")</f>
        <v>Vegetative/Tillering</v>
      </c>
    </row>
    <row r="772" ht="15.75" customHeight="1">
      <c r="A772" s="3">
        <v>771.0</v>
      </c>
      <c r="B772" s="3" t="s">
        <v>23</v>
      </c>
      <c r="C772" s="3" t="s">
        <v>1453</v>
      </c>
      <c r="D772" s="3" t="s">
        <v>1454</v>
      </c>
      <c r="E772" s="3" t="s">
        <v>1455</v>
      </c>
      <c r="F772" s="3">
        <v>1742023.0</v>
      </c>
      <c r="G772" s="4">
        <v>46021.0</v>
      </c>
      <c r="H772" s="4">
        <v>46123.0</v>
      </c>
      <c r="I772" s="3" t="s">
        <v>1640</v>
      </c>
      <c r="J772" s="3" t="s">
        <v>2231</v>
      </c>
      <c r="K772" s="3" t="s">
        <v>2232</v>
      </c>
      <c r="L772" s="3">
        <v>0.25</v>
      </c>
      <c r="M772" s="3">
        <v>6250.0</v>
      </c>
      <c r="N772" s="3">
        <v>3.0</v>
      </c>
      <c r="O772" s="3">
        <v>166963.0</v>
      </c>
      <c r="P772" s="3"/>
      <c r="Q772" s="3">
        <v>1318566.0</v>
      </c>
      <c r="R772" s="3"/>
      <c r="S772" s="3">
        <v>5000.0</v>
      </c>
      <c r="T772" s="3" t="s">
        <v>37</v>
      </c>
      <c r="U772" s="3">
        <v>5000.0</v>
      </c>
      <c r="V772" s="5">
        <f>(DATE(2026,2,3)-'RICE_Insured Farms_with PPI Pol'!$G772)+IF('RICE_Insured Farms_with PPI Pol'!$H772&lt;&gt;'RICE_Insured Farms_with PPI Pol'!$G772,18,0)</f>
        <v>53</v>
      </c>
      <c r="W772" s="3" t="str">
        <f t="array" ref="W772">IFS(V772&gt;120, "Harvested", V772&gt;=113, "Yellow Ripening", V772&gt;=101, "Dough Stage", V772&gt;=93, "Milking Stage", V772&gt;=86, "Flowering", V772&gt;=56, "Panicle Initiation/Booting", V772&lt;56, "Vegetative/Tillering")</f>
        <v>Vegetative/Tillering</v>
      </c>
    </row>
    <row r="773" ht="15.75" customHeight="1">
      <c r="A773" s="3">
        <v>772.0</v>
      </c>
      <c r="B773" s="3" t="s">
        <v>23</v>
      </c>
      <c r="C773" s="3" t="s">
        <v>68</v>
      </c>
      <c r="D773" s="3" t="s">
        <v>289</v>
      </c>
      <c r="E773" s="3" t="s">
        <v>507</v>
      </c>
      <c r="F773" s="3">
        <v>1760022.0</v>
      </c>
      <c r="G773" s="4">
        <v>46018.0</v>
      </c>
      <c r="H773" s="4">
        <v>46120.0</v>
      </c>
      <c r="I773" s="3" t="s">
        <v>335</v>
      </c>
      <c r="J773" s="3" t="s">
        <v>2233</v>
      </c>
      <c r="K773" s="3" t="s">
        <v>1263</v>
      </c>
      <c r="L773" s="3">
        <v>0.2901</v>
      </c>
      <c r="M773" s="3">
        <v>7252.5</v>
      </c>
      <c r="N773" s="3">
        <v>3.0</v>
      </c>
      <c r="O773" s="3">
        <v>50054.0</v>
      </c>
      <c r="P773" s="3" t="s">
        <v>2234</v>
      </c>
      <c r="Q773" s="3">
        <v>1140531.0</v>
      </c>
      <c r="R773" s="3"/>
      <c r="S773" s="3">
        <v>5802.0</v>
      </c>
      <c r="T773" s="3" t="s">
        <v>37</v>
      </c>
      <c r="U773" s="3">
        <v>5802.0</v>
      </c>
      <c r="V773" s="5">
        <f>(DATE(2026,2,3)-'RICE_Insured Farms_with PPI Pol'!$G773)+IF('RICE_Insured Farms_with PPI Pol'!$H773&lt;&gt;'RICE_Insured Farms_with PPI Pol'!$G773,18,0)</f>
        <v>56</v>
      </c>
      <c r="W773" s="3" t="str">
        <f t="array" ref="W773">IFS(V773&gt;120, "Harvested", V773&gt;=113, "Yellow Ripening", V773&gt;=101, "Dough Stage", V773&gt;=93, "Milking Stage", V773&gt;=86, "Flowering", V773&gt;=56, "Panicle Initiation/Booting", V773&lt;56, "Vegetative/Tillering")</f>
        <v>Panicle Initiation/Booting</v>
      </c>
    </row>
    <row r="774" ht="15.75" hidden="1" customHeight="1">
      <c r="A774" s="3">
        <v>773.0</v>
      </c>
      <c r="B774" s="3" t="s">
        <v>23</v>
      </c>
      <c r="C774" s="3" t="s">
        <v>68</v>
      </c>
      <c r="D774" s="3" t="s">
        <v>289</v>
      </c>
      <c r="E774" s="3" t="s">
        <v>743</v>
      </c>
      <c r="F774" s="3">
        <v>1760039.0</v>
      </c>
      <c r="G774" s="4">
        <v>46036.0</v>
      </c>
      <c r="H774" s="4">
        <v>46138.0</v>
      </c>
      <c r="I774" s="3" t="s">
        <v>2235</v>
      </c>
      <c r="J774" s="3" t="s">
        <v>2236</v>
      </c>
      <c r="K774" s="3" t="s">
        <v>2237</v>
      </c>
      <c r="L774" s="3">
        <v>0.9511</v>
      </c>
      <c r="M774" s="3">
        <v>23777.5</v>
      </c>
      <c r="N774" s="3">
        <v>2.0</v>
      </c>
      <c r="O774" s="3">
        <v>478120.0</v>
      </c>
      <c r="P774" s="3" t="s">
        <v>2238</v>
      </c>
      <c r="Q774" s="3">
        <v>1191543.0</v>
      </c>
      <c r="R774" s="3"/>
      <c r="S774" s="3">
        <v>16644.25</v>
      </c>
      <c r="T774" s="3" t="s">
        <v>31</v>
      </c>
      <c r="U774" s="3">
        <v>16644.25</v>
      </c>
      <c r="V774" s="5">
        <f>(DATE(2026,2,3)-'RICE_Insured Farms_with PPI Pol'!$G774)+IF('RICE_Insured Farms_with PPI Pol'!$H774&lt;&gt;'RICE_Insured Farms_with PPI Pol'!$G774,18,0)</f>
        <v>38</v>
      </c>
      <c r="W774" s="3" t="str">
        <f t="array" ref="W774">IFS(V774&gt;120, "Harvested", V774&gt;=113, "Yellow Ripening", V774&gt;=101, "Dough Stage", V774&gt;=93, "Milking Stage", V774&gt;=86, "Flowering", V774&gt;=56, "Panicle Initiation/Booting", V774&lt;56, "Vegetative/Tillering")</f>
        <v>Vegetative/Tillering</v>
      </c>
    </row>
    <row r="775" ht="15.75" hidden="1" customHeight="1">
      <c r="A775" s="3">
        <v>1170.0</v>
      </c>
      <c r="B775" s="3" t="s">
        <v>23</v>
      </c>
      <c r="C775" s="3" t="s">
        <v>24</v>
      </c>
      <c r="D775" s="3" t="s">
        <v>25</v>
      </c>
      <c r="E775" s="3" t="s">
        <v>1164</v>
      </c>
      <c r="F775" s="3">
        <v>1760492.0</v>
      </c>
      <c r="G775" s="4">
        <v>46011.0</v>
      </c>
      <c r="H775" s="4">
        <v>46106.0</v>
      </c>
      <c r="I775" s="3" t="s">
        <v>2239</v>
      </c>
      <c r="J775" s="3" t="s">
        <v>722</v>
      </c>
      <c r="K775" s="3" t="s">
        <v>1563</v>
      </c>
      <c r="L775" s="3">
        <v>0.3185</v>
      </c>
      <c r="M775" s="3">
        <v>7962.5</v>
      </c>
      <c r="N775" s="3">
        <v>4.0</v>
      </c>
      <c r="O775" s="3">
        <v>473254.0</v>
      </c>
      <c r="P775" s="3" t="s">
        <v>2240</v>
      </c>
      <c r="Q775" s="3">
        <v>1328106.0</v>
      </c>
      <c r="R775" s="3"/>
      <c r="S775" s="3">
        <v>6370.0</v>
      </c>
      <c r="T775" s="3" t="s">
        <v>56</v>
      </c>
      <c r="U775" s="3">
        <v>6370.0</v>
      </c>
      <c r="V775" s="5">
        <f>(DATE(2026,2,3)-'RICE_Insured Farms_with PPI Pol'!$G775)+IF('RICE_Insured Farms_with PPI Pol'!$H775&lt;&gt;'RICE_Insured Farms_with PPI Pol'!$G775,18,0)</f>
        <v>63</v>
      </c>
      <c r="W775" s="3" t="str">
        <f t="array" ref="W775">IFS(V775&gt;120, "Harvested", V775&gt;=113, "Yellow Ripening", V775&gt;=101, "Dough Stage", V775&gt;=93, "Milking Stage", V775&gt;=86, "Flowering", V775&gt;=56, "Panicle Initiation/Booting", V775&lt;56, "Vegetative/Tillering")</f>
        <v>Panicle Initiation/Booting</v>
      </c>
    </row>
    <row r="776" ht="15.75" hidden="1" customHeight="1">
      <c r="A776" s="3">
        <v>775.0</v>
      </c>
      <c r="B776" s="3" t="s">
        <v>23</v>
      </c>
      <c r="C776" s="3" t="s">
        <v>68</v>
      </c>
      <c r="D776" s="3" t="s">
        <v>289</v>
      </c>
      <c r="E776" s="3" t="s">
        <v>431</v>
      </c>
      <c r="F776" s="3">
        <v>1760048.0</v>
      </c>
      <c r="G776" s="4">
        <v>46035.0</v>
      </c>
      <c r="H776" s="4">
        <v>46137.0</v>
      </c>
      <c r="I776" s="3" t="s">
        <v>2241</v>
      </c>
      <c r="J776" s="3" t="s">
        <v>807</v>
      </c>
      <c r="K776" s="3" t="s">
        <v>1502</v>
      </c>
      <c r="L776" s="3">
        <v>0.2822</v>
      </c>
      <c r="M776" s="3">
        <v>7055.0</v>
      </c>
      <c r="N776" s="3">
        <v>2.0</v>
      </c>
      <c r="O776" s="3">
        <v>199473.0</v>
      </c>
      <c r="P776" s="3" t="s">
        <v>2242</v>
      </c>
      <c r="Q776" s="3">
        <v>1226403.0</v>
      </c>
      <c r="R776" s="3"/>
      <c r="S776" s="3">
        <v>4938.5</v>
      </c>
      <c r="T776" s="3" t="s">
        <v>31</v>
      </c>
      <c r="U776" s="3">
        <v>4938.5</v>
      </c>
      <c r="V776" s="5">
        <f>(DATE(2026,2,3)-'RICE_Insured Farms_with PPI Pol'!$G776)+IF('RICE_Insured Farms_with PPI Pol'!$H776&lt;&gt;'RICE_Insured Farms_with PPI Pol'!$G776,18,0)</f>
        <v>39</v>
      </c>
      <c r="W776" s="3" t="str">
        <f t="array" ref="W776">IFS(V776&gt;120, "Harvested", V776&gt;=113, "Yellow Ripening", V776&gt;=101, "Dough Stage", V776&gt;=93, "Milking Stage", V776&gt;=86, "Flowering", V776&gt;=56, "Panicle Initiation/Booting", V776&lt;56, "Vegetative/Tillering")</f>
        <v>Vegetative/Tillering</v>
      </c>
    </row>
    <row r="777" ht="15.75" hidden="1" customHeight="1">
      <c r="A777" s="3">
        <v>776.0</v>
      </c>
      <c r="B777" s="3" t="s">
        <v>23</v>
      </c>
      <c r="C777" s="3" t="s">
        <v>50</v>
      </c>
      <c r="D777" s="3" t="s">
        <v>51</v>
      </c>
      <c r="E777" s="3" t="s">
        <v>52</v>
      </c>
      <c r="F777" s="3">
        <v>1741852.0</v>
      </c>
      <c r="G777" s="4">
        <v>46026.0</v>
      </c>
      <c r="H777" s="4">
        <v>46130.0</v>
      </c>
      <c r="I777" s="3" t="s">
        <v>2243</v>
      </c>
      <c r="J777" s="3" t="s">
        <v>2244</v>
      </c>
      <c r="K777" s="3" t="s">
        <v>2245</v>
      </c>
      <c r="L777" s="3">
        <v>0.5143</v>
      </c>
      <c r="M777" s="3">
        <v>12857.5</v>
      </c>
      <c r="N777" s="3">
        <v>2.0</v>
      </c>
      <c r="O777" s="3">
        <v>34840.0</v>
      </c>
      <c r="P777" s="3" t="s">
        <v>2246</v>
      </c>
      <c r="Q777" s="3">
        <v>1279411.0</v>
      </c>
      <c r="R777" s="3"/>
      <c r="S777" s="3">
        <v>9000.25</v>
      </c>
      <c r="T777" s="3" t="s">
        <v>31</v>
      </c>
      <c r="U777" s="3">
        <v>9000.25</v>
      </c>
      <c r="V777" s="5">
        <f>(DATE(2026,2,3)-'RICE_Insured Farms_with PPI Pol'!$G777)+IF('RICE_Insured Farms_with PPI Pol'!$H777&lt;&gt;'RICE_Insured Farms_with PPI Pol'!$G777,18,0)</f>
        <v>48</v>
      </c>
      <c r="W777" s="3" t="str">
        <f t="array" ref="W777">IFS(V777&gt;120, "Harvested", V777&gt;=113, "Yellow Ripening", V777&gt;=101, "Dough Stage", V777&gt;=93, "Milking Stage", V777&gt;=86, "Flowering", V777&gt;=56, "Panicle Initiation/Booting", V777&lt;56, "Vegetative/Tillering")</f>
        <v>Vegetative/Tillering</v>
      </c>
    </row>
    <row r="778" ht="15.75" customHeight="1">
      <c r="A778" s="3">
        <v>777.0</v>
      </c>
      <c r="B778" s="3" t="s">
        <v>23</v>
      </c>
      <c r="C778" s="3" t="s">
        <v>68</v>
      </c>
      <c r="D778" s="3" t="s">
        <v>69</v>
      </c>
      <c r="E778" s="3" t="s">
        <v>131</v>
      </c>
      <c r="F778" s="3">
        <v>1739642.0</v>
      </c>
      <c r="G778" s="4">
        <v>46017.0</v>
      </c>
      <c r="H778" s="4">
        <v>46119.0</v>
      </c>
      <c r="I778" s="3" t="s">
        <v>209</v>
      </c>
      <c r="J778" s="3" t="s">
        <v>210</v>
      </c>
      <c r="K778" s="3" t="s">
        <v>211</v>
      </c>
      <c r="L778" s="3">
        <v>0.1711</v>
      </c>
      <c r="M778" s="3">
        <v>4277.5</v>
      </c>
      <c r="N778" s="3">
        <v>3.0</v>
      </c>
      <c r="O778" s="3">
        <v>127353.0</v>
      </c>
      <c r="P778" s="3"/>
      <c r="Q778" s="3">
        <v>1137724.0</v>
      </c>
      <c r="R778" s="3"/>
      <c r="S778" s="3">
        <v>3422.0</v>
      </c>
      <c r="T778" s="3" t="s">
        <v>37</v>
      </c>
      <c r="U778" s="3">
        <v>3422.0</v>
      </c>
      <c r="V778" s="5">
        <f>(DATE(2026,2,3)-'RICE_Insured Farms_with PPI Pol'!$G778)+IF('RICE_Insured Farms_with PPI Pol'!$H778&lt;&gt;'RICE_Insured Farms_with PPI Pol'!$G778,18,0)</f>
        <v>57</v>
      </c>
      <c r="W778" s="3" t="str">
        <f t="array" ref="W778">IFS(V778&gt;120, "Harvested", V778&gt;=113, "Yellow Ripening", V778&gt;=101, "Dough Stage", V778&gt;=93, "Milking Stage", V778&gt;=86, "Flowering", V778&gt;=56, "Panicle Initiation/Booting", V778&lt;56, "Vegetative/Tillering")</f>
        <v>Panicle Initiation/Booting</v>
      </c>
    </row>
    <row r="779" ht="15.75" customHeight="1">
      <c r="A779" s="3">
        <v>778.0</v>
      </c>
      <c r="B779" s="3" t="s">
        <v>23</v>
      </c>
      <c r="C779" s="3" t="s">
        <v>68</v>
      </c>
      <c r="D779" s="3" t="s">
        <v>69</v>
      </c>
      <c r="E779" s="3" t="s">
        <v>131</v>
      </c>
      <c r="F779" s="3">
        <v>1739642.0</v>
      </c>
      <c r="G779" s="4">
        <v>46017.0</v>
      </c>
      <c r="H779" s="4">
        <v>46119.0</v>
      </c>
      <c r="I779" s="3" t="s">
        <v>209</v>
      </c>
      <c r="J779" s="3" t="s">
        <v>210</v>
      </c>
      <c r="K779" s="3" t="s">
        <v>211</v>
      </c>
      <c r="L779" s="3">
        <v>0.2868</v>
      </c>
      <c r="M779" s="3">
        <v>7170.0</v>
      </c>
      <c r="N779" s="3">
        <v>3.0</v>
      </c>
      <c r="O779" s="3">
        <v>127353.0</v>
      </c>
      <c r="P779" s="3"/>
      <c r="Q779" s="3">
        <v>1137725.0</v>
      </c>
      <c r="R779" s="3"/>
      <c r="S779" s="3">
        <v>5736.0</v>
      </c>
      <c r="T779" s="3" t="s">
        <v>37</v>
      </c>
      <c r="U779" s="3">
        <v>5736.0</v>
      </c>
      <c r="V779" s="5">
        <f>(DATE(2026,2,3)-'RICE_Insured Farms_with PPI Pol'!$G779)+IF('RICE_Insured Farms_with PPI Pol'!$H779&lt;&gt;'RICE_Insured Farms_with PPI Pol'!$G779,18,0)</f>
        <v>57</v>
      </c>
      <c r="W779" s="3" t="str">
        <f t="array" ref="W779">IFS(V779&gt;120, "Harvested", V779&gt;=113, "Yellow Ripening", V779&gt;=101, "Dough Stage", V779&gt;=93, "Milking Stage", V779&gt;=86, "Flowering", V779&gt;=56, "Panicle Initiation/Booting", V779&lt;56, "Vegetative/Tillering")</f>
        <v>Panicle Initiation/Booting</v>
      </c>
    </row>
    <row r="780" ht="15.75" hidden="1" customHeight="1">
      <c r="A780" s="3">
        <v>1171.0</v>
      </c>
      <c r="B780" s="3" t="s">
        <v>23</v>
      </c>
      <c r="C780" s="3" t="s">
        <v>24</v>
      </c>
      <c r="D780" s="3" t="s">
        <v>25</v>
      </c>
      <c r="E780" s="3" t="s">
        <v>1164</v>
      </c>
      <c r="F780" s="3">
        <v>1760492.0</v>
      </c>
      <c r="G780" s="4">
        <v>46011.0</v>
      </c>
      <c r="H780" s="4">
        <v>46106.0</v>
      </c>
      <c r="I780" s="3" t="s">
        <v>2239</v>
      </c>
      <c r="J780" s="3" t="s">
        <v>722</v>
      </c>
      <c r="K780" s="3" t="s">
        <v>1563</v>
      </c>
      <c r="L780" s="3">
        <v>0.3403</v>
      </c>
      <c r="M780" s="3">
        <v>8507.5</v>
      </c>
      <c r="N780" s="3">
        <v>4.0</v>
      </c>
      <c r="O780" s="3">
        <v>473254.0</v>
      </c>
      <c r="P780" s="3" t="s">
        <v>2240</v>
      </c>
      <c r="Q780" s="3">
        <v>1328108.0</v>
      </c>
      <c r="R780" s="3"/>
      <c r="S780" s="3">
        <v>6806.0</v>
      </c>
      <c r="T780" s="3" t="s">
        <v>56</v>
      </c>
      <c r="U780" s="3">
        <v>6806.0</v>
      </c>
      <c r="V780" s="5">
        <f>(DATE(2026,2,3)-'RICE_Insured Farms_with PPI Pol'!$G780)+IF('RICE_Insured Farms_with PPI Pol'!$H780&lt;&gt;'RICE_Insured Farms_with PPI Pol'!$G780,18,0)</f>
        <v>63</v>
      </c>
      <c r="W780" s="3" t="str">
        <f t="array" ref="W780">IFS(V780&gt;120, "Harvested", V780&gt;=113, "Yellow Ripening", V780&gt;=101, "Dough Stage", V780&gt;=93, "Milking Stage", V780&gt;=86, "Flowering", V780&gt;=56, "Panicle Initiation/Booting", V780&lt;56, "Vegetative/Tillering")</f>
        <v>Panicle Initiation/Booting</v>
      </c>
    </row>
    <row r="781" ht="15.75" customHeight="1">
      <c r="A781" s="3">
        <v>780.0</v>
      </c>
      <c r="B781" s="3" t="s">
        <v>23</v>
      </c>
      <c r="C781" s="3" t="s">
        <v>68</v>
      </c>
      <c r="D781" s="3" t="s">
        <v>69</v>
      </c>
      <c r="E781" s="3" t="s">
        <v>131</v>
      </c>
      <c r="F781" s="3">
        <v>1739646.0</v>
      </c>
      <c r="G781" s="4">
        <v>46014.0</v>
      </c>
      <c r="H781" s="4">
        <v>46116.0</v>
      </c>
      <c r="I781" s="3" t="s">
        <v>2247</v>
      </c>
      <c r="J781" s="3" t="s">
        <v>2248</v>
      </c>
      <c r="K781" s="3" t="s">
        <v>2249</v>
      </c>
      <c r="L781" s="3">
        <v>0.6659</v>
      </c>
      <c r="M781" s="3">
        <v>16647.5</v>
      </c>
      <c r="N781" s="3">
        <v>3.0</v>
      </c>
      <c r="O781" s="3">
        <v>162294.0</v>
      </c>
      <c r="P781" s="3" t="s">
        <v>2250</v>
      </c>
      <c r="Q781" s="3">
        <v>1137696.0</v>
      </c>
      <c r="R781" s="3"/>
      <c r="S781" s="3">
        <v>13318.0</v>
      </c>
      <c r="T781" s="3" t="s">
        <v>37</v>
      </c>
      <c r="U781" s="3">
        <v>13318.0</v>
      </c>
      <c r="V781" s="5">
        <f>(DATE(2026,2,3)-'RICE_Insured Farms_with PPI Pol'!$G781)+IF('RICE_Insured Farms_with PPI Pol'!$H781&lt;&gt;'RICE_Insured Farms_with PPI Pol'!$G781,18,0)</f>
        <v>60</v>
      </c>
      <c r="W781" s="3" t="str">
        <f t="array" ref="W781">IFS(V781&gt;120, "Harvested", V781&gt;=113, "Yellow Ripening", V781&gt;=101, "Dough Stage", V781&gt;=93, "Milking Stage", V781&gt;=86, "Flowering", V781&gt;=56, "Panicle Initiation/Booting", V781&lt;56, "Vegetative/Tillering")</f>
        <v>Panicle Initiation/Booting</v>
      </c>
    </row>
    <row r="782" ht="15.75" customHeight="1">
      <c r="A782" s="3">
        <v>781.0</v>
      </c>
      <c r="B782" s="3" t="s">
        <v>23</v>
      </c>
      <c r="C782" s="3" t="s">
        <v>68</v>
      </c>
      <c r="D782" s="3" t="s">
        <v>69</v>
      </c>
      <c r="E782" s="3" t="s">
        <v>131</v>
      </c>
      <c r="F782" s="3">
        <v>1739646.0</v>
      </c>
      <c r="G782" s="4">
        <v>46014.0</v>
      </c>
      <c r="H782" s="4">
        <v>46116.0</v>
      </c>
      <c r="I782" s="3" t="s">
        <v>2247</v>
      </c>
      <c r="J782" s="3" t="s">
        <v>2248</v>
      </c>
      <c r="K782" s="3" t="s">
        <v>2249</v>
      </c>
      <c r="L782" s="3">
        <v>0.4043</v>
      </c>
      <c r="M782" s="3">
        <v>10107.5</v>
      </c>
      <c r="N782" s="3">
        <v>3.0</v>
      </c>
      <c r="O782" s="3">
        <v>162294.0</v>
      </c>
      <c r="P782" s="3" t="s">
        <v>2250</v>
      </c>
      <c r="Q782" s="3">
        <v>1137698.0</v>
      </c>
      <c r="R782" s="3"/>
      <c r="S782" s="3">
        <v>8086.0</v>
      </c>
      <c r="T782" s="3" t="s">
        <v>37</v>
      </c>
      <c r="U782" s="3">
        <v>8086.0</v>
      </c>
      <c r="V782" s="5">
        <f>(DATE(2026,2,3)-'RICE_Insured Farms_with PPI Pol'!$G782)+IF('RICE_Insured Farms_with PPI Pol'!$H782&lt;&gt;'RICE_Insured Farms_with PPI Pol'!$G782,18,0)</f>
        <v>60</v>
      </c>
      <c r="W782" s="3" t="str">
        <f t="array" ref="W782">IFS(V782&gt;120, "Harvested", V782&gt;=113, "Yellow Ripening", V782&gt;=101, "Dough Stage", V782&gt;=93, "Milking Stage", V782&gt;=86, "Flowering", V782&gt;=56, "Panicle Initiation/Booting", V782&lt;56, "Vegetative/Tillering")</f>
        <v>Panicle Initiation/Booting</v>
      </c>
    </row>
    <row r="783" ht="15.75" customHeight="1">
      <c r="A783" s="3">
        <v>782.0</v>
      </c>
      <c r="B783" s="3" t="s">
        <v>23</v>
      </c>
      <c r="C783" s="3" t="s">
        <v>68</v>
      </c>
      <c r="D783" s="3" t="s">
        <v>262</v>
      </c>
      <c r="E783" s="3" t="s">
        <v>810</v>
      </c>
      <c r="F783" s="3">
        <v>1739646.0</v>
      </c>
      <c r="G783" s="4">
        <v>46015.0</v>
      </c>
      <c r="H783" s="4">
        <v>46117.0</v>
      </c>
      <c r="I783" s="3" t="s">
        <v>2247</v>
      </c>
      <c r="J783" s="3" t="s">
        <v>2251</v>
      </c>
      <c r="K783" s="3" t="s">
        <v>2252</v>
      </c>
      <c r="L783" s="3">
        <v>1.5219</v>
      </c>
      <c r="M783" s="3">
        <v>38047.5</v>
      </c>
      <c r="N783" s="3">
        <v>3.0</v>
      </c>
      <c r="O783" s="3">
        <v>187865.0</v>
      </c>
      <c r="P783" s="3"/>
      <c r="Q783" s="3">
        <v>1137819.0</v>
      </c>
      <c r="R783" s="3"/>
      <c r="S783" s="3">
        <v>30438.0</v>
      </c>
      <c r="T783" s="3" t="s">
        <v>37</v>
      </c>
      <c r="U783" s="3">
        <v>30438.0</v>
      </c>
      <c r="V783" s="5">
        <f>(DATE(2026,2,3)-'RICE_Insured Farms_with PPI Pol'!$G783)+IF('RICE_Insured Farms_with PPI Pol'!$H783&lt;&gt;'RICE_Insured Farms_with PPI Pol'!$G783,18,0)</f>
        <v>59</v>
      </c>
      <c r="W783" s="3" t="str">
        <f t="array" ref="W783">IFS(V783&gt;120, "Harvested", V783&gt;=113, "Yellow Ripening", V783&gt;=101, "Dough Stage", V783&gt;=93, "Milking Stage", V783&gt;=86, "Flowering", V783&gt;=56, "Panicle Initiation/Booting", V783&lt;56, "Vegetative/Tillering")</f>
        <v>Panicle Initiation/Booting</v>
      </c>
    </row>
    <row r="784" ht="15.75" hidden="1" customHeight="1">
      <c r="A784" s="3">
        <v>783.0</v>
      </c>
      <c r="B784" s="3" t="s">
        <v>23</v>
      </c>
      <c r="C784" s="3" t="s">
        <v>121</v>
      </c>
      <c r="D784" s="3" t="s">
        <v>1368</v>
      </c>
      <c r="E784" s="3" t="s">
        <v>1815</v>
      </c>
      <c r="F784" s="3">
        <v>1742653.0</v>
      </c>
      <c r="G784" s="4">
        <v>46022.0</v>
      </c>
      <c r="H784" s="4">
        <v>46142.0</v>
      </c>
      <c r="I784" s="3" t="s">
        <v>2253</v>
      </c>
      <c r="J784" s="3" t="s">
        <v>2254</v>
      </c>
      <c r="K784" s="3" t="s">
        <v>1818</v>
      </c>
      <c r="L784" s="3">
        <v>0.6626</v>
      </c>
      <c r="M784" s="3">
        <v>16565.0</v>
      </c>
      <c r="N784" s="3">
        <v>2.0</v>
      </c>
      <c r="O784" s="3">
        <v>454700.0</v>
      </c>
      <c r="P784" s="3" t="s">
        <v>2255</v>
      </c>
      <c r="Q784" s="3">
        <v>1279172.0</v>
      </c>
      <c r="R784" s="3"/>
      <c r="S784" s="3">
        <v>11595.5</v>
      </c>
      <c r="T784" s="3" t="s">
        <v>31</v>
      </c>
      <c r="U784" s="3">
        <v>11595.5</v>
      </c>
      <c r="V784" s="5">
        <f>(DATE(2026,2,3)-'RICE_Insured Farms_with PPI Pol'!$G784)+IF('RICE_Insured Farms_with PPI Pol'!$H784&lt;&gt;'RICE_Insured Farms_with PPI Pol'!$G784,18,0)</f>
        <v>52</v>
      </c>
      <c r="W784" s="3" t="str">
        <f t="array" ref="W784">IFS(V784&gt;120, "Harvested", V784&gt;=113, "Yellow Ripening", V784&gt;=101, "Dough Stage", V784&gt;=93, "Milking Stage", V784&gt;=86, "Flowering", V784&gt;=56, "Panicle Initiation/Booting", V784&lt;56, "Vegetative/Tillering")</f>
        <v>Vegetative/Tillering</v>
      </c>
    </row>
    <row r="785" ht="15.75" hidden="1" customHeight="1">
      <c r="A785" s="3">
        <v>784.0</v>
      </c>
      <c r="B785" s="3" t="s">
        <v>23</v>
      </c>
      <c r="C785" s="3" t="s">
        <v>68</v>
      </c>
      <c r="D785" s="3" t="s">
        <v>289</v>
      </c>
      <c r="E785" s="3" t="s">
        <v>290</v>
      </c>
      <c r="F785" s="3">
        <v>1760034.0</v>
      </c>
      <c r="G785" s="4">
        <v>46031.0</v>
      </c>
      <c r="H785" s="4">
        <v>46133.0</v>
      </c>
      <c r="I785" s="3" t="s">
        <v>908</v>
      </c>
      <c r="J785" s="3" t="s">
        <v>933</v>
      </c>
      <c r="K785" s="3" t="s">
        <v>1756</v>
      </c>
      <c r="L785" s="3">
        <v>0.5601</v>
      </c>
      <c r="M785" s="3">
        <v>14002.5</v>
      </c>
      <c r="N785" s="3">
        <v>2.0</v>
      </c>
      <c r="O785" s="3">
        <v>358325.0</v>
      </c>
      <c r="P785" s="3"/>
      <c r="Q785" s="3">
        <v>1318046.0</v>
      </c>
      <c r="R785" s="3"/>
      <c r="S785" s="3">
        <v>9801.75</v>
      </c>
      <c r="T785" s="3" t="s">
        <v>31</v>
      </c>
      <c r="U785" s="3">
        <v>9801.75</v>
      </c>
      <c r="V785" s="5">
        <f>(DATE(2026,2,3)-'RICE_Insured Farms_with PPI Pol'!$G785)+IF('RICE_Insured Farms_with PPI Pol'!$H785&lt;&gt;'RICE_Insured Farms_with PPI Pol'!$G785,18,0)</f>
        <v>43</v>
      </c>
      <c r="W785" s="3" t="str">
        <f t="array" ref="W785">IFS(V785&gt;120, "Harvested", V785&gt;=113, "Yellow Ripening", V785&gt;=101, "Dough Stage", V785&gt;=93, "Milking Stage", V785&gt;=86, "Flowering", V785&gt;=56, "Panicle Initiation/Booting", V785&lt;56, "Vegetative/Tillering")</f>
        <v>Vegetative/Tillering</v>
      </c>
    </row>
    <row r="786" ht="15.75" hidden="1" customHeight="1">
      <c r="A786" s="3">
        <v>785.0</v>
      </c>
      <c r="B786" s="3" t="s">
        <v>23</v>
      </c>
      <c r="C786" s="3" t="s">
        <v>68</v>
      </c>
      <c r="D786" s="3" t="s">
        <v>679</v>
      </c>
      <c r="E786" s="3" t="s">
        <v>299</v>
      </c>
      <c r="F786" s="3">
        <v>1175376.0</v>
      </c>
      <c r="G786" s="4">
        <v>46015.0</v>
      </c>
      <c r="H786" s="4">
        <v>46135.0</v>
      </c>
      <c r="I786" s="3" t="s">
        <v>2256</v>
      </c>
      <c r="J786" s="3" t="s">
        <v>1471</v>
      </c>
      <c r="K786" s="3" t="s">
        <v>2257</v>
      </c>
      <c r="L786" s="3">
        <v>0.5294</v>
      </c>
      <c r="M786" s="3">
        <v>13235.0</v>
      </c>
      <c r="N786" s="3">
        <v>2.0</v>
      </c>
      <c r="O786" s="3">
        <v>295616.0</v>
      </c>
      <c r="P786" s="3"/>
      <c r="Q786" s="3">
        <v>1138399.0</v>
      </c>
      <c r="R786" s="3"/>
      <c r="S786" s="3">
        <v>9264.5</v>
      </c>
      <c r="T786" s="3" t="s">
        <v>31</v>
      </c>
      <c r="U786" s="3">
        <v>9264.5</v>
      </c>
      <c r="V786" s="5">
        <f>(DATE(2026,2,3)-'RICE_Insured Farms_with PPI Pol'!$G786)+IF('RICE_Insured Farms_with PPI Pol'!$H786&lt;&gt;'RICE_Insured Farms_with PPI Pol'!$G786,18,0)</f>
        <v>59</v>
      </c>
      <c r="W786" s="3" t="str">
        <f t="array" ref="W786">IFS(V786&gt;120, "Harvested", V786&gt;=113, "Yellow Ripening", V786&gt;=101, "Dough Stage", V786&gt;=93, "Milking Stage", V786&gt;=86, "Flowering", V786&gt;=56, "Panicle Initiation/Booting", V786&lt;56, "Vegetative/Tillering")</f>
        <v>Panicle Initiation/Booting</v>
      </c>
    </row>
    <row r="787" ht="15.75" hidden="1" customHeight="1">
      <c r="A787" s="3">
        <v>786.0</v>
      </c>
      <c r="B787" s="3" t="s">
        <v>23</v>
      </c>
      <c r="C787" s="3" t="s">
        <v>68</v>
      </c>
      <c r="D787" s="3" t="s">
        <v>289</v>
      </c>
      <c r="E787" s="3" t="s">
        <v>895</v>
      </c>
      <c r="F787" s="3">
        <v>1760048.0</v>
      </c>
      <c r="G787" s="4">
        <v>46040.0</v>
      </c>
      <c r="H787" s="4">
        <v>46142.0</v>
      </c>
      <c r="I787" s="3" t="s">
        <v>2258</v>
      </c>
      <c r="J787" s="3" t="s">
        <v>1034</v>
      </c>
      <c r="K787" s="3" t="s">
        <v>2259</v>
      </c>
      <c r="L787" s="3">
        <v>0.0874</v>
      </c>
      <c r="M787" s="3">
        <v>2185.0</v>
      </c>
      <c r="N787" s="3">
        <v>2.0</v>
      </c>
      <c r="O787" s="3">
        <v>260154.0</v>
      </c>
      <c r="P787" s="3"/>
      <c r="Q787" s="3">
        <v>1280464.0</v>
      </c>
      <c r="R787" s="3"/>
      <c r="S787" s="3">
        <v>1529.5</v>
      </c>
      <c r="T787" s="3" t="s">
        <v>31</v>
      </c>
      <c r="U787" s="3">
        <v>1529.5</v>
      </c>
      <c r="V787" s="5">
        <f>(DATE(2026,2,3)-'RICE_Insured Farms_with PPI Pol'!$G787)+IF('RICE_Insured Farms_with PPI Pol'!$H787&lt;&gt;'RICE_Insured Farms_with PPI Pol'!$G787,18,0)</f>
        <v>34</v>
      </c>
      <c r="W787" s="3" t="str">
        <f t="array" ref="W787">IFS(V787&gt;120, "Harvested", V787&gt;=113, "Yellow Ripening", V787&gt;=101, "Dough Stage", V787&gt;=93, "Milking Stage", V787&gt;=86, "Flowering", V787&gt;=56, "Panicle Initiation/Booting", V787&lt;56, "Vegetative/Tillering")</f>
        <v>Vegetative/Tillering</v>
      </c>
    </row>
    <row r="788" ht="15.75" customHeight="1">
      <c r="A788" s="3">
        <v>787.0</v>
      </c>
      <c r="B788" s="3" t="s">
        <v>23</v>
      </c>
      <c r="C788" s="3" t="s">
        <v>121</v>
      </c>
      <c r="D788" s="3" t="s">
        <v>2002</v>
      </c>
      <c r="E788" s="3" t="s">
        <v>2003</v>
      </c>
      <c r="F788" s="3">
        <v>1760607.0</v>
      </c>
      <c r="G788" s="4">
        <v>46022.0</v>
      </c>
      <c r="H788" s="4">
        <v>46117.0</v>
      </c>
      <c r="I788" s="3" t="s">
        <v>349</v>
      </c>
      <c r="J788" s="3" t="s">
        <v>2260</v>
      </c>
      <c r="K788" s="3" t="s">
        <v>2261</v>
      </c>
      <c r="L788" s="3">
        <v>2.0</v>
      </c>
      <c r="M788" s="3">
        <v>50000.0</v>
      </c>
      <c r="N788" s="3">
        <v>3.0</v>
      </c>
      <c r="O788" s="3">
        <v>510092.0</v>
      </c>
      <c r="P788" s="3"/>
      <c r="Q788" s="3">
        <v>1277896.0</v>
      </c>
      <c r="R788" s="3"/>
      <c r="S788" s="3">
        <v>40000.0</v>
      </c>
      <c r="T788" s="3" t="s">
        <v>37</v>
      </c>
      <c r="U788" s="3">
        <v>40000.0</v>
      </c>
      <c r="V788" s="5">
        <f>(DATE(2026,2,3)-'RICE_Insured Farms_with PPI Pol'!$G788)+IF('RICE_Insured Farms_with PPI Pol'!$H788&lt;&gt;'RICE_Insured Farms_with PPI Pol'!$G788,18,0)</f>
        <v>52</v>
      </c>
      <c r="W788" s="3" t="str">
        <f t="array" ref="W788">IFS(V788&gt;120, "Harvested", V788&gt;=113, "Yellow Ripening", V788&gt;=101, "Dough Stage", V788&gt;=93, "Milking Stage", V788&gt;=86, "Flowering", V788&gt;=56, "Panicle Initiation/Booting", V788&lt;56, "Vegetative/Tillering")</f>
        <v>Vegetative/Tillering</v>
      </c>
    </row>
    <row r="789" ht="15.75" customHeight="1">
      <c r="A789" s="3">
        <v>788.0</v>
      </c>
      <c r="B789" s="3" t="s">
        <v>23</v>
      </c>
      <c r="C789" s="3" t="s">
        <v>68</v>
      </c>
      <c r="D789" s="3" t="s">
        <v>289</v>
      </c>
      <c r="E789" s="3" t="s">
        <v>352</v>
      </c>
      <c r="F789" s="3">
        <v>1760048.0</v>
      </c>
      <c r="G789" s="4">
        <v>46022.0</v>
      </c>
      <c r="H789" s="4">
        <v>46124.0</v>
      </c>
      <c r="I789" s="3" t="s">
        <v>2262</v>
      </c>
      <c r="J789" s="3" t="s">
        <v>234</v>
      </c>
      <c r="K789" s="3" t="s">
        <v>2263</v>
      </c>
      <c r="L789" s="3">
        <v>0.2251</v>
      </c>
      <c r="M789" s="3">
        <v>5627.5</v>
      </c>
      <c r="N789" s="3">
        <v>3.0</v>
      </c>
      <c r="O789" s="3">
        <v>294000.0</v>
      </c>
      <c r="P789" s="3" t="s">
        <v>2264</v>
      </c>
      <c r="Q789" s="3">
        <v>971679.0</v>
      </c>
      <c r="R789" s="3"/>
      <c r="S789" s="3">
        <v>4502.0</v>
      </c>
      <c r="T789" s="3" t="s">
        <v>37</v>
      </c>
      <c r="U789" s="3">
        <v>4502.0</v>
      </c>
      <c r="V789" s="5">
        <f>(DATE(2026,2,3)-'RICE_Insured Farms_with PPI Pol'!$G789)+IF('RICE_Insured Farms_with PPI Pol'!$H789&lt;&gt;'RICE_Insured Farms_with PPI Pol'!$G789,18,0)</f>
        <v>52</v>
      </c>
      <c r="W789" s="3" t="str">
        <f t="array" ref="W789">IFS(V789&gt;120, "Harvested", V789&gt;=113, "Yellow Ripening", V789&gt;=101, "Dough Stage", V789&gt;=93, "Milking Stage", V789&gt;=86, "Flowering", V789&gt;=56, "Panicle Initiation/Booting", V789&lt;56, "Vegetative/Tillering")</f>
        <v>Vegetative/Tillering</v>
      </c>
    </row>
    <row r="790" ht="15.75" hidden="1" customHeight="1">
      <c r="A790" s="3">
        <v>1173.0</v>
      </c>
      <c r="B790" s="3" t="s">
        <v>23</v>
      </c>
      <c r="C790" s="3" t="s">
        <v>24</v>
      </c>
      <c r="D790" s="3" t="s">
        <v>25</v>
      </c>
      <c r="E790" s="3" t="s">
        <v>1164</v>
      </c>
      <c r="F790" s="3">
        <v>1760492.0</v>
      </c>
      <c r="G790" s="4">
        <v>46011.0</v>
      </c>
      <c r="H790" s="4">
        <v>46106.0</v>
      </c>
      <c r="I790" s="3" t="s">
        <v>2239</v>
      </c>
      <c r="J790" s="3" t="s">
        <v>174</v>
      </c>
      <c r="K790" s="3" t="s">
        <v>2265</v>
      </c>
      <c r="L790" s="3">
        <v>0.4051</v>
      </c>
      <c r="M790" s="3">
        <v>10127.5</v>
      </c>
      <c r="N790" s="3">
        <v>4.0</v>
      </c>
      <c r="O790" s="3">
        <v>370035.0</v>
      </c>
      <c r="P790" s="3" t="s">
        <v>2266</v>
      </c>
      <c r="Q790" s="3">
        <v>1159016.0</v>
      </c>
      <c r="R790" s="3"/>
      <c r="S790" s="3">
        <v>8102.0</v>
      </c>
      <c r="T790" s="3" t="s">
        <v>56</v>
      </c>
      <c r="U790" s="3">
        <v>8102.0</v>
      </c>
      <c r="V790" s="5">
        <f>(DATE(2026,2,3)-'RICE_Insured Farms_with PPI Pol'!$G790)+IF('RICE_Insured Farms_with PPI Pol'!$H790&lt;&gt;'RICE_Insured Farms_with PPI Pol'!$G790,18,0)</f>
        <v>63</v>
      </c>
      <c r="W790" s="3" t="str">
        <f t="array" ref="W790">IFS(V790&gt;120, "Harvested", V790&gt;=113, "Yellow Ripening", V790&gt;=101, "Dough Stage", V790&gt;=93, "Milking Stage", V790&gt;=86, "Flowering", V790&gt;=56, "Panicle Initiation/Booting", V790&lt;56, "Vegetative/Tillering")</f>
        <v>Panicle Initiation/Booting</v>
      </c>
    </row>
    <row r="791" ht="15.75" customHeight="1">
      <c r="A791" s="3">
        <v>790.0</v>
      </c>
      <c r="B791" s="3" t="s">
        <v>23</v>
      </c>
      <c r="C791" s="3" t="s">
        <v>1453</v>
      </c>
      <c r="D791" s="3" t="s">
        <v>1454</v>
      </c>
      <c r="E791" s="3" t="s">
        <v>1455</v>
      </c>
      <c r="F791" s="3">
        <v>1742042.0</v>
      </c>
      <c r="G791" s="4">
        <v>46021.0</v>
      </c>
      <c r="H791" s="4">
        <v>46123.0</v>
      </c>
      <c r="I791" s="3" t="s">
        <v>2267</v>
      </c>
      <c r="J791" s="3" t="s">
        <v>213</v>
      </c>
      <c r="K791" s="3" t="s">
        <v>2268</v>
      </c>
      <c r="L791" s="3">
        <v>0.7123</v>
      </c>
      <c r="M791" s="3">
        <v>17807.5</v>
      </c>
      <c r="N791" s="3">
        <v>3.0</v>
      </c>
      <c r="O791" s="3">
        <v>97946.0</v>
      </c>
      <c r="P791" s="3" t="s">
        <v>2269</v>
      </c>
      <c r="Q791" s="3">
        <v>1318702.0</v>
      </c>
      <c r="R791" s="3"/>
      <c r="S791" s="3">
        <v>14246.0</v>
      </c>
      <c r="T791" s="3" t="s">
        <v>37</v>
      </c>
      <c r="U791" s="3">
        <v>14246.0</v>
      </c>
      <c r="V791" s="5">
        <f>(DATE(2026,2,3)-'RICE_Insured Farms_with PPI Pol'!$G791)+IF('RICE_Insured Farms_with PPI Pol'!$H791&lt;&gt;'RICE_Insured Farms_with PPI Pol'!$G791,18,0)</f>
        <v>53</v>
      </c>
      <c r="W791" s="3" t="str">
        <f t="array" ref="W791">IFS(V791&gt;120, "Harvested", V791&gt;=113, "Yellow Ripening", V791&gt;=101, "Dough Stage", V791&gt;=93, "Milking Stage", V791&gt;=86, "Flowering", V791&gt;=56, "Panicle Initiation/Booting", V791&lt;56, "Vegetative/Tillering")</f>
        <v>Vegetative/Tillering</v>
      </c>
    </row>
    <row r="792" ht="15.75" customHeight="1">
      <c r="A792" s="3">
        <v>791.0</v>
      </c>
      <c r="B792" s="3" t="s">
        <v>23</v>
      </c>
      <c r="C792" s="3" t="s">
        <v>1453</v>
      </c>
      <c r="D792" s="3" t="s">
        <v>1454</v>
      </c>
      <c r="E792" s="3" t="s">
        <v>1455</v>
      </c>
      <c r="F792" s="3">
        <v>1742042.0</v>
      </c>
      <c r="G792" s="4">
        <v>46021.0</v>
      </c>
      <c r="H792" s="4">
        <v>46123.0</v>
      </c>
      <c r="I792" s="3" t="s">
        <v>2267</v>
      </c>
      <c r="J792" s="3" t="s">
        <v>213</v>
      </c>
      <c r="K792" s="3" t="s">
        <v>2268</v>
      </c>
      <c r="L792" s="3">
        <v>0.25</v>
      </c>
      <c r="M792" s="3">
        <v>6250.0</v>
      </c>
      <c r="N792" s="3">
        <v>3.0</v>
      </c>
      <c r="O792" s="3">
        <v>97946.0</v>
      </c>
      <c r="P792" s="3" t="s">
        <v>2269</v>
      </c>
      <c r="Q792" s="3">
        <v>1318703.0</v>
      </c>
      <c r="R792" s="3"/>
      <c r="S792" s="3">
        <v>5000.0</v>
      </c>
      <c r="T792" s="3" t="s">
        <v>37</v>
      </c>
      <c r="U792" s="3">
        <v>5000.0</v>
      </c>
      <c r="V792" s="5">
        <f>(DATE(2026,2,3)-'RICE_Insured Farms_with PPI Pol'!$G792)+IF('RICE_Insured Farms_with PPI Pol'!$H792&lt;&gt;'RICE_Insured Farms_with PPI Pol'!$G792,18,0)</f>
        <v>53</v>
      </c>
      <c r="W792" s="3" t="str">
        <f t="array" ref="W792">IFS(V792&gt;120, "Harvested", V792&gt;=113, "Yellow Ripening", V792&gt;=101, "Dough Stage", V792&gt;=93, "Milking Stage", V792&gt;=86, "Flowering", V792&gt;=56, "Panicle Initiation/Booting", V792&lt;56, "Vegetative/Tillering")</f>
        <v>Vegetative/Tillering</v>
      </c>
    </row>
    <row r="793" ht="15.75" hidden="1" customHeight="1">
      <c r="A793" s="3">
        <v>792.0</v>
      </c>
      <c r="B793" s="3" t="s">
        <v>23</v>
      </c>
      <c r="C793" s="3" t="s">
        <v>1453</v>
      </c>
      <c r="D793" s="3" t="s">
        <v>1454</v>
      </c>
      <c r="E793" s="3" t="s">
        <v>219</v>
      </c>
      <c r="F793" s="3">
        <v>1742043.0</v>
      </c>
      <c r="G793" s="4">
        <v>46030.0</v>
      </c>
      <c r="H793" s="4">
        <v>46132.0</v>
      </c>
      <c r="I793" s="3" t="s">
        <v>2270</v>
      </c>
      <c r="J793" s="3" t="s">
        <v>2271</v>
      </c>
      <c r="K793" s="3" t="s">
        <v>1979</v>
      </c>
      <c r="L793" s="3">
        <v>0.326</v>
      </c>
      <c r="M793" s="3">
        <v>8150.0</v>
      </c>
      <c r="N793" s="3">
        <v>2.0</v>
      </c>
      <c r="O793" s="3">
        <v>226399.0</v>
      </c>
      <c r="P793" s="3" t="s">
        <v>2272</v>
      </c>
      <c r="Q793" s="3">
        <v>1317799.0</v>
      </c>
      <c r="R793" s="3"/>
      <c r="S793" s="3">
        <v>5705.0</v>
      </c>
      <c r="T793" s="3" t="s">
        <v>31</v>
      </c>
      <c r="U793" s="3">
        <v>5705.0</v>
      </c>
      <c r="V793" s="5">
        <f>(DATE(2026,2,3)-'RICE_Insured Farms_with PPI Pol'!$G793)+IF('RICE_Insured Farms_with PPI Pol'!$H793&lt;&gt;'RICE_Insured Farms_with PPI Pol'!$G793,18,0)</f>
        <v>44</v>
      </c>
      <c r="W793" s="3" t="str">
        <f t="array" ref="W793">IFS(V793&gt;120, "Harvested", V793&gt;=113, "Yellow Ripening", V793&gt;=101, "Dough Stage", V793&gt;=93, "Milking Stage", V793&gt;=86, "Flowering", V793&gt;=56, "Panicle Initiation/Booting", V793&lt;56, "Vegetative/Tillering")</f>
        <v>Vegetative/Tillering</v>
      </c>
    </row>
    <row r="794" ht="15.75" hidden="1" customHeight="1">
      <c r="A794" s="3">
        <v>793.0</v>
      </c>
      <c r="B794" s="3" t="s">
        <v>23</v>
      </c>
      <c r="C794" s="3" t="s">
        <v>68</v>
      </c>
      <c r="D794" s="3" t="s">
        <v>289</v>
      </c>
      <c r="E794" s="3" t="s">
        <v>571</v>
      </c>
      <c r="F794" s="3">
        <v>1760010.0</v>
      </c>
      <c r="G794" s="4">
        <v>46028.0</v>
      </c>
      <c r="H794" s="4">
        <v>46130.0</v>
      </c>
      <c r="I794" s="3" t="s">
        <v>574</v>
      </c>
      <c r="J794" s="3" t="s">
        <v>2273</v>
      </c>
      <c r="K794" s="3" t="s">
        <v>563</v>
      </c>
      <c r="L794" s="3">
        <v>0.4819</v>
      </c>
      <c r="M794" s="3">
        <v>12047.5</v>
      </c>
      <c r="N794" s="3">
        <v>2.0</v>
      </c>
      <c r="O794" s="3">
        <v>23521.0</v>
      </c>
      <c r="P794" s="3" t="s">
        <v>2274</v>
      </c>
      <c r="Q794" s="3">
        <v>1282957.0</v>
      </c>
      <c r="R794" s="3"/>
      <c r="S794" s="3">
        <v>8433.25</v>
      </c>
      <c r="T794" s="3" t="s">
        <v>31</v>
      </c>
      <c r="U794" s="3">
        <v>8433.25</v>
      </c>
      <c r="V794" s="5">
        <f>(DATE(2026,2,3)-'RICE_Insured Farms_with PPI Pol'!$G794)+IF('RICE_Insured Farms_with PPI Pol'!$H794&lt;&gt;'RICE_Insured Farms_with PPI Pol'!$G794,18,0)</f>
        <v>46</v>
      </c>
      <c r="W794" s="3" t="str">
        <f t="array" ref="W794">IFS(V794&gt;120, "Harvested", V794&gt;=113, "Yellow Ripening", V794&gt;=101, "Dough Stage", V794&gt;=93, "Milking Stage", V794&gt;=86, "Flowering", V794&gt;=56, "Panicle Initiation/Booting", V794&lt;56, "Vegetative/Tillering")</f>
        <v>Vegetative/Tillering</v>
      </c>
    </row>
    <row r="795" ht="15.75" hidden="1" customHeight="1">
      <c r="A795" s="3">
        <v>794.0</v>
      </c>
      <c r="B795" s="3" t="s">
        <v>23</v>
      </c>
      <c r="C795" s="3" t="s">
        <v>68</v>
      </c>
      <c r="D795" s="3" t="s">
        <v>289</v>
      </c>
      <c r="E795" s="3" t="s">
        <v>571</v>
      </c>
      <c r="F795" s="3">
        <v>1760010.0</v>
      </c>
      <c r="G795" s="4">
        <v>46029.0</v>
      </c>
      <c r="H795" s="4">
        <v>46131.0</v>
      </c>
      <c r="I795" s="3" t="s">
        <v>574</v>
      </c>
      <c r="J795" s="3" t="s">
        <v>2275</v>
      </c>
      <c r="K795" s="3" t="s">
        <v>2276</v>
      </c>
      <c r="L795" s="3">
        <v>0.5</v>
      </c>
      <c r="M795" s="3">
        <v>12500.0</v>
      </c>
      <c r="N795" s="3">
        <v>2.0</v>
      </c>
      <c r="O795" s="3">
        <v>31251.0</v>
      </c>
      <c r="P795" s="3" t="s">
        <v>2277</v>
      </c>
      <c r="Q795" s="3">
        <v>1280647.0</v>
      </c>
      <c r="R795" s="3"/>
      <c r="S795" s="3">
        <v>8750.0</v>
      </c>
      <c r="T795" s="3" t="s">
        <v>31</v>
      </c>
      <c r="U795" s="3">
        <v>8750.0</v>
      </c>
      <c r="V795" s="5">
        <f>(DATE(2026,2,3)-'RICE_Insured Farms_with PPI Pol'!$G795)+IF('RICE_Insured Farms_with PPI Pol'!$H795&lt;&gt;'RICE_Insured Farms_with PPI Pol'!$G795,18,0)</f>
        <v>45</v>
      </c>
      <c r="W795" s="3" t="str">
        <f t="array" ref="W795">IFS(V795&gt;120, "Harvested", V795&gt;=113, "Yellow Ripening", V795&gt;=101, "Dough Stage", V795&gt;=93, "Milking Stage", V795&gt;=86, "Flowering", V795&gt;=56, "Panicle Initiation/Booting", V795&lt;56, "Vegetative/Tillering")</f>
        <v>Vegetative/Tillering</v>
      </c>
    </row>
    <row r="796" ht="15.75" hidden="1" customHeight="1">
      <c r="A796" s="3">
        <v>795.0</v>
      </c>
      <c r="B796" s="3" t="s">
        <v>23</v>
      </c>
      <c r="C796" s="3" t="s">
        <v>68</v>
      </c>
      <c r="D796" s="3" t="s">
        <v>289</v>
      </c>
      <c r="E796" s="3" t="s">
        <v>571</v>
      </c>
      <c r="F796" s="3">
        <v>1760010.0</v>
      </c>
      <c r="G796" s="4">
        <v>46028.0</v>
      </c>
      <c r="H796" s="4">
        <v>46130.0</v>
      </c>
      <c r="I796" s="3" t="s">
        <v>574</v>
      </c>
      <c r="J796" s="3" t="s">
        <v>2278</v>
      </c>
      <c r="K796" s="3" t="s">
        <v>563</v>
      </c>
      <c r="L796" s="3">
        <v>0.6164</v>
      </c>
      <c r="M796" s="3">
        <v>15410.0</v>
      </c>
      <c r="N796" s="3">
        <v>2.0</v>
      </c>
      <c r="O796" s="3">
        <v>31250.0</v>
      </c>
      <c r="P796" s="3" t="s">
        <v>2279</v>
      </c>
      <c r="Q796" s="3">
        <v>1141027.0</v>
      </c>
      <c r="R796" s="3"/>
      <c r="S796" s="3">
        <v>10787.0</v>
      </c>
      <c r="T796" s="3" t="s">
        <v>31</v>
      </c>
      <c r="U796" s="3">
        <v>10787.0</v>
      </c>
      <c r="V796" s="5">
        <f>(DATE(2026,2,3)-'RICE_Insured Farms_with PPI Pol'!$G796)+IF('RICE_Insured Farms_with PPI Pol'!$H796&lt;&gt;'RICE_Insured Farms_with PPI Pol'!$G796,18,0)</f>
        <v>46</v>
      </c>
      <c r="W796" s="3" t="str">
        <f t="array" ref="W796">IFS(V796&gt;120, "Harvested", V796&gt;=113, "Yellow Ripening", V796&gt;=101, "Dough Stage", V796&gt;=93, "Milking Stage", V796&gt;=86, "Flowering", V796&gt;=56, "Panicle Initiation/Booting", V796&lt;56, "Vegetative/Tillering")</f>
        <v>Vegetative/Tillering</v>
      </c>
    </row>
    <row r="797" ht="15.75" hidden="1" customHeight="1">
      <c r="A797" s="3">
        <v>796.0</v>
      </c>
      <c r="B797" s="3" t="s">
        <v>23</v>
      </c>
      <c r="C797" s="3" t="s">
        <v>68</v>
      </c>
      <c r="D797" s="3" t="s">
        <v>289</v>
      </c>
      <c r="E797" s="3" t="s">
        <v>848</v>
      </c>
      <c r="F797" s="3">
        <v>1760002.0</v>
      </c>
      <c r="G797" s="4">
        <v>46035.0</v>
      </c>
      <c r="H797" s="4">
        <v>46137.0</v>
      </c>
      <c r="I797" s="3" t="s">
        <v>353</v>
      </c>
      <c r="J797" s="3" t="s">
        <v>470</v>
      </c>
      <c r="K797" s="3" t="s">
        <v>319</v>
      </c>
      <c r="L797" s="3">
        <v>0.4934</v>
      </c>
      <c r="M797" s="3">
        <v>12335.0</v>
      </c>
      <c r="N797" s="3">
        <v>2.0</v>
      </c>
      <c r="O797" s="3">
        <v>152745.0</v>
      </c>
      <c r="P797" s="3" t="s">
        <v>2280</v>
      </c>
      <c r="Q797" s="3">
        <v>1190373.0</v>
      </c>
      <c r="R797" s="3"/>
      <c r="S797" s="3">
        <v>8634.5</v>
      </c>
      <c r="T797" s="3" t="s">
        <v>31</v>
      </c>
      <c r="U797" s="3">
        <v>8634.5</v>
      </c>
      <c r="V797" s="5">
        <f>(DATE(2026,2,3)-'RICE_Insured Farms_with PPI Pol'!$G797)+IF('RICE_Insured Farms_with PPI Pol'!$H797&lt;&gt;'RICE_Insured Farms_with PPI Pol'!$G797,18,0)</f>
        <v>39</v>
      </c>
      <c r="W797" s="3" t="str">
        <f t="array" ref="W797">IFS(V797&gt;120, "Harvested", V797&gt;=113, "Yellow Ripening", V797&gt;=101, "Dough Stage", V797&gt;=93, "Milking Stage", V797&gt;=86, "Flowering", V797&gt;=56, "Panicle Initiation/Booting", V797&lt;56, "Vegetative/Tillering")</f>
        <v>Vegetative/Tillering</v>
      </c>
    </row>
    <row r="798" ht="15.75" hidden="1" customHeight="1">
      <c r="A798" s="3">
        <v>797.0</v>
      </c>
      <c r="B798" s="3" t="s">
        <v>23</v>
      </c>
      <c r="C798" s="3" t="s">
        <v>68</v>
      </c>
      <c r="D798" s="3" t="s">
        <v>289</v>
      </c>
      <c r="E798" s="3" t="s">
        <v>685</v>
      </c>
      <c r="F798" s="3">
        <v>1760004.0</v>
      </c>
      <c r="G798" s="4">
        <v>46032.0</v>
      </c>
      <c r="H798" s="4">
        <v>46134.0</v>
      </c>
      <c r="I798" s="3" t="s">
        <v>353</v>
      </c>
      <c r="J798" s="3" t="s">
        <v>2281</v>
      </c>
      <c r="K798" s="3" t="s">
        <v>834</v>
      </c>
      <c r="L798" s="3">
        <v>0.6904</v>
      </c>
      <c r="M798" s="3">
        <v>17260.0</v>
      </c>
      <c r="N798" s="3">
        <v>2.0</v>
      </c>
      <c r="O798" s="3">
        <v>388041.0</v>
      </c>
      <c r="P798" s="3"/>
      <c r="Q798" s="3">
        <v>1141244.0</v>
      </c>
      <c r="R798" s="3"/>
      <c r="S798" s="3">
        <v>12082.0</v>
      </c>
      <c r="T798" s="3" t="s">
        <v>31</v>
      </c>
      <c r="U798" s="3">
        <v>12082.0</v>
      </c>
      <c r="V798" s="5">
        <f>(DATE(2026,2,3)-'RICE_Insured Farms_with PPI Pol'!$G798)+IF('RICE_Insured Farms_with PPI Pol'!$H798&lt;&gt;'RICE_Insured Farms_with PPI Pol'!$G798,18,0)</f>
        <v>42</v>
      </c>
      <c r="W798" s="3" t="str">
        <f t="array" ref="W798">IFS(V798&gt;120, "Harvested", V798&gt;=113, "Yellow Ripening", V798&gt;=101, "Dough Stage", V798&gt;=93, "Milking Stage", V798&gt;=86, "Flowering", V798&gt;=56, "Panicle Initiation/Booting", V798&lt;56, "Vegetative/Tillering")</f>
        <v>Vegetative/Tillering</v>
      </c>
    </row>
    <row r="799" ht="15.75" customHeight="1">
      <c r="A799" s="3">
        <v>798.0</v>
      </c>
      <c r="B799" s="3" t="s">
        <v>23</v>
      </c>
      <c r="C799" s="3" t="s">
        <v>68</v>
      </c>
      <c r="D799" s="3" t="s">
        <v>289</v>
      </c>
      <c r="E799" s="3" t="s">
        <v>352</v>
      </c>
      <c r="F799" s="3">
        <v>1760043.0</v>
      </c>
      <c r="G799" s="4">
        <v>46017.0</v>
      </c>
      <c r="H799" s="4">
        <v>46119.0</v>
      </c>
      <c r="I799" s="3" t="s">
        <v>353</v>
      </c>
      <c r="J799" s="3" t="s">
        <v>2282</v>
      </c>
      <c r="K799" s="3" t="s">
        <v>688</v>
      </c>
      <c r="L799" s="3">
        <v>1.0431</v>
      </c>
      <c r="M799" s="3">
        <v>26077.5</v>
      </c>
      <c r="N799" s="3">
        <v>3.0</v>
      </c>
      <c r="O799" s="3">
        <v>299626.0</v>
      </c>
      <c r="P799" s="3" t="s">
        <v>2283</v>
      </c>
      <c r="Q799" s="3">
        <v>1284361.0</v>
      </c>
      <c r="R799" s="3"/>
      <c r="S799" s="3">
        <v>20862.0</v>
      </c>
      <c r="T799" s="3" t="s">
        <v>37</v>
      </c>
      <c r="U799" s="3">
        <v>20862.0</v>
      </c>
      <c r="V799" s="5">
        <f>(DATE(2026,2,3)-'RICE_Insured Farms_with PPI Pol'!$G799)+IF('RICE_Insured Farms_with PPI Pol'!$H799&lt;&gt;'RICE_Insured Farms_with PPI Pol'!$G799,18,0)</f>
        <v>57</v>
      </c>
      <c r="W799" s="3" t="str">
        <f t="array" ref="W799">IFS(V799&gt;120, "Harvested", V799&gt;=113, "Yellow Ripening", V799&gt;=101, "Dough Stage", V799&gt;=93, "Milking Stage", V799&gt;=86, "Flowering", V799&gt;=56, "Panicle Initiation/Booting", V799&lt;56, "Vegetative/Tillering")</f>
        <v>Panicle Initiation/Booting</v>
      </c>
    </row>
    <row r="800" ht="15.75" hidden="1" customHeight="1">
      <c r="A800" s="3">
        <v>799.0</v>
      </c>
      <c r="B800" s="3" t="s">
        <v>23</v>
      </c>
      <c r="C800" s="3" t="s">
        <v>68</v>
      </c>
      <c r="D800" s="3" t="s">
        <v>289</v>
      </c>
      <c r="E800" s="3" t="s">
        <v>352</v>
      </c>
      <c r="F800" s="3">
        <v>1760053.0</v>
      </c>
      <c r="G800" s="4">
        <v>46030.0</v>
      </c>
      <c r="H800" s="4">
        <v>46132.0</v>
      </c>
      <c r="I800" s="3" t="s">
        <v>353</v>
      </c>
      <c r="J800" s="3" t="s">
        <v>1542</v>
      </c>
      <c r="K800" s="3" t="s">
        <v>873</v>
      </c>
      <c r="L800" s="3">
        <v>0.5629</v>
      </c>
      <c r="M800" s="3">
        <v>14072.5</v>
      </c>
      <c r="N800" s="3">
        <v>2.0</v>
      </c>
      <c r="O800" s="3">
        <v>437407.0</v>
      </c>
      <c r="P800" s="3"/>
      <c r="Q800" s="3">
        <v>1281036.0</v>
      </c>
      <c r="R800" s="3"/>
      <c r="S800" s="3">
        <v>9850.75</v>
      </c>
      <c r="T800" s="3" t="s">
        <v>31</v>
      </c>
      <c r="U800" s="3">
        <v>9850.75</v>
      </c>
      <c r="V800" s="5">
        <f>(DATE(2026,2,3)-'RICE_Insured Farms_with PPI Pol'!$G800)+IF('RICE_Insured Farms_with PPI Pol'!$H800&lt;&gt;'RICE_Insured Farms_with PPI Pol'!$G800,18,0)</f>
        <v>44</v>
      </c>
      <c r="W800" s="3" t="str">
        <f t="array" ref="W800">IFS(V800&gt;120, "Harvested", V800&gt;=113, "Yellow Ripening", V800&gt;=101, "Dough Stage", V800&gt;=93, "Milking Stage", V800&gt;=86, "Flowering", V800&gt;=56, "Panicle Initiation/Booting", V800&lt;56, "Vegetative/Tillering")</f>
        <v>Vegetative/Tillering</v>
      </c>
    </row>
    <row r="801" ht="15.75" customHeight="1">
      <c r="A801" s="3">
        <v>800.0</v>
      </c>
      <c r="B801" s="3" t="s">
        <v>23</v>
      </c>
      <c r="C801" s="3" t="s">
        <v>68</v>
      </c>
      <c r="D801" s="3" t="s">
        <v>289</v>
      </c>
      <c r="E801" s="3" t="s">
        <v>290</v>
      </c>
      <c r="F801" s="3">
        <v>1760017.0</v>
      </c>
      <c r="G801" s="4">
        <v>46021.0</v>
      </c>
      <c r="H801" s="4">
        <v>46123.0</v>
      </c>
      <c r="I801" s="3" t="s">
        <v>2284</v>
      </c>
      <c r="J801" s="3" t="s">
        <v>2285</v>
      </c>
      <c r="K801" s="3" t="s">
        <v>2286</v>
      </c>
      <c r="L801" s="3">
        <v>1.0856</v>
      </c>
      <c r="M801" s="3">
        <v>27140.0</v>
      </c>
      <c r="N801" s="3">
        <v>3.0</v>
      </c>
      <c r="O801" s="3">
        <v>511271.0</v>
      </c>
      <c r="P801" s="3"/>
      <c r="Q801" s="3">
        <v>1283631.0</v>
      </c>
      <c r="R801" s="3"/>
      <c r="S801" s="3">
        <v>21712.0</v>
      </c>
      <c r="T801" s="3" t="s">
        <v>37</v>
      </c>
      <c r="U801" s="3">
        <v>21712.0</v>
      </c>
      <c r="V801" s="5">
        <f>(DATE(2026,2,3)-'RICE_Insured Farms_with PPI Pol'!$G801)+IF('RICE_Insured Farms_with PPI Pol'!$H801&lt;&gt;'RICE_Insured Farms_with PPI Pol'!$G801,18,0)</f>
        <v>53</v>
      </c>
      <c r="W801" s="3" t="str">
        <f t="array" ref="W801">IFS(V801&gt;120, "Harvested", V801&gt;=113, "Yellow Ripening", V801&gt;=101, "Dough Stage", V801&gt;=93, "Milking Stage", V801&gt;=86, "Flowering", V801&gt;=56, "Panicle Initiation/Booting", V801&lt;56, "Vegetative/Tillering")</f>
        <v>Vegetative/Tillering</v>
      </c>
    </row>
    <row r="802" ht="15.75" hidden="1" customHeight="1">
      <c r="A802" s="3">
        <v>1181.0</v>
      </c>
      <c r="B802" s="3" t="s">
        <v>23</v>
      </c>
      <c r="C802" s="3" t="s">
        <v>24</v>
      </c>
      <c r="D802" s="3" t="s">
        <v>25</v>
      </c>
      <c r="E802" s="3" t="s">
        <v>1826</v>
      </c>
      <c r="F802" s="3">
        <v>1761007.0</v>
      </c>
      <c r="G802" s="4">
        <v>46012.0</v>
      </c>
      <c r="H802" s="4">
        <v>46107.0</v>
      </c>
      <c r="I802" s="3" t="s">
        <v>671</v>
      </c>
      <c r="J802" s="3" t="s">
        <v>2287</v>
      </c>
      <c r="K802" s="3" t="s">
        <v>2288</v>
      </c>
      <c r="L802" s="3">
        <v>1.3053</v>
      </c>
      <c r="M802" s="3">
        <v>32632.5</v>
      </c>
      <c r="N802" s="3">
        <v>4.0</v>
      </c>
      <c r="O802" s="3">
        <v>195336.0</v>
      </c>
      <c r="P802" s="3"/>
      <c r="Q802" s="3">
        <v>1319155.0</v>
      </c>
      <c r="R802" s="3"/>
      <c r="S802" s="3">
        <v>26106.0</v>
      </c>
      <c r="T802" s="3" t="s">
        <v>56</v>
      </c>
      <c r="U802" s="3">
        <v>26106.0</v>
      </c>
      <c r="V802" s="5">
        <f>(DATE(2026,2,3)-'RICE_Insured Farms_with PPI Pol'!$G802)+IF('RICE_Insured Farms_with PPI Pol'!$H802&lt;&gt;'RICE_Insured Farms_with PPI Pol'!$G802,18,0)</f>
        <v>62</v>
      </c>
      <c r="W802" s="3" t="str">
        <f t="array" ref="W802">IFS(V802&gt;120, "Harvested", V802&gt;=113, "Yellow Ripening", V802&gt;=101, "Dough Stage", V802&gt;=93, "Milking Stage", V802&gt;=86, "Flowering", V802&gt;=56, "Panicle Initiation/Booting", V802&lt;56, "Vegetative/Tillering")</f>
        <v>Panicle Initiation/Booting</v>
      </c>
    </row>
    <row r="803" ht="15.75" customHeight="1">
      <c r="A803" s="3">
        <v>802.0</v>
      </c>
      <c r="B803" s="3" t="s">
        <v>23</v>
      </c>
      <c r="C803" s="3" t="s">
        <v>68</v>
      </c>
      <c r="D803" s="3" t="s">
        <v>289</v>
      </c>
      <c r="E803" s="3" t="s">
        <v>774</v>
      </c>
      <c r="F803" s="3">
        <v>1760013.0</v>
      </c>
      <c r="G803" s="4">
        <v>46015.0</v>
      </c>
      <c r="H803" s="4">
        <v>46117.0</v>
      </c>
      <c r="I803" s="3" t="s">
        <v>257</v>
      </c>
      <c r="J803" s="3" t="s">
        <v>2289</v>
      </c>
      <c r="K803" s="3" t="s">
        <v>1239</v>
      </c>
      <c r="L803" s="3">
        <v>0.5177</v>
      </c>
      <c r="M803" s="3">
        <v>12942.5</v>
      </c>
      <c r="N803" s="3">
        <v>3.0</v>
      </c>
      <c r="O803" s="3">
        <v>431314.0</v>
      </c>
      <c r="P803" s="3" t="s">
        <v>2290</v>
      </c>
      <c r="Q803" s="3">
        <v>1280477.0</v>
      </c>
      <c r="R803" s="3"/>
      <c r="S803" s="3">
        <v>10354.0</v>
      </c>
      <c r="T803" s="3" t="s">
        <v>37</v>
      </c>
      <c r="U803" s="3">
        <v>10354.0</v>
      </c>
      <c r="V803" s="5">
        <f>(DATE(2026,2,3)-'RICE_Insured Farms_with PPI Pol'!$G803)+IF('RICE_Insured Farms_with PPI Pol'!$H803&lt;&gt;'RICE_Insured Farms_with PPI Pol'!$G803,18,0)</f>
        <v>59</v>
      </c>
      <c r="W803" s="3" t="str">
        <f t="array" ref="W803">IFS(V803&gt;120, "Harvested", V803&gt;=113, "Yellow Ripening", V803&gt;=101, "Dough Stage", V803&gt;=93, "Milking Stage", V803&gt;=86, "Flowering", V803&gt;=56, "Panicle Initiation/Booting", V803&lt;56, "Vegetative/Tillering")</f>
        <v>Panicle Initiation/Booting</v>
      </c>
    </row>
    <row r="804" ht="15.75" customHeight="1">
      <c r="A804" s="3">
        <v>803.0</v>
      </c>
      <c r="B804" s="3" t="s">
        <v>23</v>
      </c>
      <c r="C804" s="3" t="s">
        <v>68</v>
      </c>
      <c r="D804" s="3" t="s">
        <v>289</v>
      </c>
      <c r="E804" s="3" t="s">
        <v>2291</v>
      </c>
      <c r="F804" s="3">
        <v>1760017.0</v>
      </c>
      <c r="G804" s="4">
        <v>46018.0</v>
      </c>
      <c r="H804" s="4">
        <v>46120.0</v>
      </c>
      <c r="I804" s="3" t="s">
        <v>257</v>
      </c>
      <c r="J804" s="3" t="s">
        <v>2292</v>
      </c>
      <c r="K804" s="3" t="s">
        <v>242</v>
      </c>
      <c r="L804" s="3">
        <v>0.37</v>
      </c>
      <c r="M804" s="3">
        <v>9250.0</v>
      </c>
      <c r="N804" s="3">
        <v>3.0</v>
      </c>
      <c r="O804" s="3">
        <v>151256.0</v>
      </c>
      <c r="P804" s="3" t="s">
        <v>2293</v>
      </c>
      <c r="Q804" s="3">
        <v>1134651.0</v>
      </c>
      <c r="R804" s="3"/>
      <c r="S804" s="3">
        <v>7400.0</v>
      </c>
      <c r="T804" s="3" t="s">
        <v>37</v>
      </c>
      <c r="U804" s="3">
        <v>7400.0</v>
      </c>
      <c r="V804" s="5">
        <f>(DATE(2026,2,3)-'RICE_Insured Farms_with PPI Pol'!$G804)+IF('RICE_Insured Farms_with PPI Pol'!$H804&lt;&gt;'RICE_Insured Farms_with PPI Pol'!$G804,18,0)</f>
        <v>56</v>
      </c>
      <c r="W804" s="3" t="str">
        <f t="array" ref="W804">IFS(V804&gt;120, "Harvested", V804&gt;=113, "Yellow Ripening", V804&gt;=101, "Dough Stage", V804&gt;=93, "Milking Stage", V804&gt;=86, "Flowering", V804&gt;=56, "Panicle Initiation/Booting", V804&lt;56, "Vegetative/Tillering")</f>
        <v>Panicle Initiation/Booting</v>
      </c>
    </row>
    <row r="805" ht="15.75" hidden="1" customHeight="1">
      <c r="A805" s="3">
        <v>804.0</v>
      </c>
      <c r="B805" s="3" t="s">
        <v>23</v>
      </c>
      <c r="C805" s="3" t="s">
        <v>68</v>
      </c>
      <c r="D805" s="3" t="s">
        <v>289</v>
      </c>
      <c r="E805" s="3" t="s">
        <v>290</v>
      </c>
      <c r="F805" s="3">
        <v>1760042.0</v>
      </c>
      <c r="G805" s="4">
        <v>46035.0</v>
      </c>
      <c r="H805" s="4">
        <v>46137.0</v>
      </c>
      <c r="I805" s="3" t="s">
        <v>2010</v>
      </c>
      <c r="J805" s="3" t="s">
        <v>1893</v>
      </c>
      <c r="K805" s="3" t="s">
        <v>293</v>
      </c>
      <c r="L805" s="3">
        <v>0.9909</v>
      </c>
      <c r="M805" s="3">
        <v>24772.5</v>
      </c>
      <c r="N805" s="3">
        <v>2.0</v>
      </c>
      <c r="O805" s="3">
        <v>298724.0</v>
      </c>
      <c r="P805" s="3" t="s">
        <v>2294</v>
      </c>
      <c r="Q805" s="3">
        <v>1143364.0</v>
      </c>
      <c r="R805" s="3"/>
      <c r="S805" s="3">
        <v>17340.75</v>
      </c>
      <c r="T805" s="3" t="s">
        <v>31</v>
      </c>
      <c r="U805" s="3">
        <v>17340.75</v>
      </c>
      <c r="V805" s="5">
        <f>(DATE(2026,2,3)-'RICE_Insured Farms_with PPI Pol'!$G805)+IF('RICE_Insured Farms_with PPI Pol'!$H805&lt;&gt;'RICE_Insured Farms_with PPI Pol'!$G805,18,0)</f>
        <v>39</v>
      </c>
      <c r="W805" s="3" t="str">
        <f t="array" ref="W805">IFS(V805&gt;120, "Harvested", V805&gt;=113, "Yellow Ripening", V805&gt;=101, "Dough Stage", V805&gt;=93, "Milking Stage", V805&gt;=86, "Flowering", V805&gt;=56, "Panicle Initiation/Booting", V805&lt;56, "Vegetative/Tillering")</f>
        <v>Vegetative/Tillering</v>
      </c>
    </row>
    <row r="806" ht="15.75" hidden="1" customHeight="1">
      <c r="A806" s="3">
        <v>805.0</v>
      </c>
      <c r="B806" s="3" t="s">
        <v>23</v>
      </c>
      <c r="C806" s="3" t="s">
        <v>68</v>
      </c>
      <c r="D806" s="3" t="s">
        <v>289</v>
      </c>
      <c r="E806" s="3" t="s">
        <v>702</v>
      </c>
      <c r="F806" s="3">
        <v>1760046.0</v>
      </c>
      <c r="G806" s="4">
        <v>46042.0</v>
      </c>
      <c r="H806" s="4">
        <v>46144.0</v>
      </c>
      <c r="I806" s="3" t="s">
        <v>2295</v>
      </c>
      <c r="J806" s="3" t="s">
        <v>2296</v>
      </c>
      <c r="K806" s="3" t="s">
        <v>2297</v>
      </c>
      <c r="L806" s="3">
        <v>0.1203</v>
      </c>
      <c r="M806" s="3">
        <v>3007.5</v>
      </c>
      <c r="N806" s="3">
        <v>2.0</v>
      </c>
      <c r="O806" s="3">
        <v>221309.0</v>
      </c>
      <c r="P806" s="3" t="s">
        <v>2298</v>
      </c>
      <c r="Q806" s="3">
        <v>1287330.0</v>
      </c>
      <c r="R806" s="3"/>
      <c r="S806" s="3">
        <v>2105.25</v>
      </c>
      <c r="T806" s="3" t="s">
        <v>31</v>
      </c>
      <c r="U806" s="3">
        <v>2105.25</v>
      </c>
      <c r="V806" s="5">
        <f>(DATE(2026,2,3)-'RICE_Insured Farms_with PPI Pol'!$G806)+IF('RICE_Insured Farms_with PPI Pol'!$H806&lt;&gt;'RICE_Insured Farms_with PPI Pol'!$G806,18,0)</f>
        <v>32</v>
      </c>
      <c r="W806" s="3" t="str">
        <f t="array" ref="W806">IFS(V806&gt;120, "Harvested", V806&gt;=113, "Yellow Ripening", V806&gt;=101, "Dough Stage", V806&gt;=93, "Milking Stage", V806&gt;=86, "Flowering", V806&gt;=56, "Panicle Initiation/Booting", V806&lt;56, "Vegetative/Tillering")</f>
        <v>Vegetative/Tillering</v>
      </c>
    </row>
    <row r="807" ht="15.75" hidden="1" customHeight="1">
      <c r="A807" s="3">
        <v>806.0</v>
      </c>
      <c r="B807" s="3" t="s">
        <v>23</v>
      </c>
      <c r="C807" s="3" t="s">
        <v>68</v>
      </c>
      <c r="D807" s="3" t="s">
        <v>1208</v>
      </c>
      <c r="E807" s="3" t="s">
        <v>2299</v>
      </c>
      <c r="F807" s="3">
        <v>1742123.0</v>
      </c>
      <c r="G807" s="4">
        <v>46037.0</v>
      </c>
      <c r="H807" s="4">
        <v>46139.0</v>
      </c>
      <c r="I807" s="3" t="s">
        <v>2300</v>
      </c>
      <c r="J807" s="3" t="s">
        <v>2301</v>
      </c>
      <c r="K807" s="3" t="s">
        <v>982</v>
      </c>
      <c r="L807" s="3">
        <v>0.9716</v>
      </c>
      <c r="M807" s="3">
        <v>24290.0</v>
      </c>
      <c r="N807" s="3">
        <v>2.0</v>
      </c>
      <c r="O807" s="3">
        <v>177062.0</v>
      </c>
      <c r="P807" s="3" t="s">
        <v>2302</v>
      </c>
      <c r="Q807" s="3">
        <v>865722.0</v>
      </c>
      <c r="R807" s="3"/>
      <c r="S807" s="3">
        <v>17003.0</v>
      </c>
      <c r="T807" s="3" t="s">
        <v>31</v>
      </c>
      <c r="U807" s="3">
        <v>17003.0</v>
      </c>
      <c r="V807" s="5">
        <f>(DATE(2026,2,3)-'RICE_Insured Farms_with PPI Pol'!$G807)+IF('RICE_Insured Farms_with PPI Pol'!$H807&lt;&gt;'RICE_Insured Farms_with PPI Pol'!$G807,18,0)</f>
        <v>37</v>
      </c>
      <c r="W807" s="3" t="str">
        <f t="array" ref="W807">IFS(V807&gt;120, "Harvested", V807&gt;=113, "Yellow Ripening", V807&gt;=101, "Dough Stage", V807&gt;=93, "Milking Stage", V807&gt;=86, "Flowering", V807&gt;=56, "Panicle Initiation/Booting", V807&lt;56, "Vegetative/Tillering")</f>
        <v>Vegetative/Tillering</v>
      </c>
    </row>
    <row r="808" ht="15.75" hidden="1" customHeight="1">
      <c r="A808" s="3">
        <v>807.0</v>
      </c>
      <c r="B808" s="3" t="s">
        <v>23</v>
      </c>
      <c r="C808" s="3" t="s">
        <v>68</v>
      </c>
      <c r="D808" s="3" t="s">
        <v>289</v>
      </c>
      <c r="E808" s="3" t="s">
        <v>507</v>
      </c>
      <c r="F808" s="3">
        <v>1760026.0</v>
      </c>
      <c r="G808" s="4">
        <v>46026.0</v>
      </c>
      <c r="H808" s="4">
        <v>46128.0</v>
      </c>
      <c r="I808" s="3" t="s">
        <v>2303</v>
      </c>
      <c r="J808" s="3" t="s">
        <v>79</v>
      </c>
      <c r="K808" s="3" t="s">
        <v>2304</v>
      </c>
      <c r="L808" s="3">
        <v>0.0917</v>
      </c>
      <c r="M808" s="3">
        <v>2292.5</v>
      </c>
      <c r="N808" s="3">
        <v>2.0</v>
      </c>
      <c r="O808" s="3">
        <v>419953.0</v>
      </c>
      <c r="P808" s="3" t="s">
        <v>2305</v>
      </c>
      <c r="Q808" s="3">
        <v>1194289.0</v>
      </c>
      <c r="R808" s="3"/>
      <c r="S808" s="3">
        <v>1604.75</v>
      </c>
      <c r="T808" s="3" t="s">
        <v>31</v>
      </c>
      <c r="U808" s="3">
        <v>1604.75</v>
      </c>
      <c r="V808" s="5">
        <f>(DATE(2026,2,3)-'RICE_Insured Farms_with PPI Pol'!$G808)+IF('RICE_Insured Farms_with PPI Pol'!$H808&lt;&gt;'RICE_Insured Farms_with PPI Pol'!$G808,18,0)</f>
        <v>48</v>
      </c>
      <c r="W808" s="3" t="str">
        <f t="array" ref="W808">IFS(V808&gt;120, "Harvested", V808&gt;=113, "Yellow Ripening", V808&gt;=101, "Dough Stage", V808&gt;=93, "Milking Stage", V808&gt;=86, "Flowering", V808&gt;=56, "Panicle Initiation/Booting", V808&lt;56, "Vegetative/Tillering")</f>
        <v>Vegetative/Tillering</v>
      </c>
    </row>
    <row r="809" ht="15.75" hidden="1" customHeight="1">
      <c r="A809" s="3">
        <v>808.0</v>
      </c>
      <c r="B809" s="3" t="s">
        <v>23</v>
      </c>
      <c r="C809" s="3" t="s">
        <v>121</v>
      </c>
      <c r="D809" s="3" t="s">
        <v>1492</v>
      </c>
      <c r="E809" s="3" t="s">
        <v>2306</v>
      </c>
      <c r="F809" s="3">
        <v>1740652.0</v>
      </c>
      <c r="G809" s="4">
        <v>46040.0</v>
      </c>
      <c r="H809" s="4">
        <v>46160.0</v>
      </c>
      <c r="I809" s="3" t="s">
        <v>2307</v>
      </c>
      <c r="J809" s="3" t="s">
        <v>2308</v>
      </c>
      <c r="K809" s="3" t="s">
        <v>2309</v>
      </c>
      <c r="L809" s="3">
        <v>2.5778</v>
      </c>
      <c r="M809" s="3">
        <v>64445.0</v>
      </c>
      <c r="N809" s="3">
        <v>1.0</v>
      </c>
      <c r="O809" s="3">
        <v>173961.0</v>
      </c>
      <c r="P809" s="3"/>
      <c r="Q809" s="3">
        <v>1136555.0</v>
      </c>
      <c r="R809" s="3"/>
      <c r="S809" s="3">
        <v>38667.0</v>
      </c>
      <c r="T809" s="3" t="s">
        <v>62</v>
      </c>
      <c r="U809" s="3">
        <v>38667.0</v>
      </c>
      <c r="V809" s="5">
        <f>(DATE(2026,2,3)-'RICE_Insured Farms_with PPI Pol'!$G809)+IF('RICE_Insured Farms_with PPI Pol'!$H809&lt;&gt;'RICE_Insured Farms_with PPI Pol'!$G809,18,0)</f>
        <v>34</v>
      </c>
      <c r="W809" s="3" t="str">
        <f t="array" ref="W809">IFS(V809&gt;120, "Harvested", V809&gt;=113, "Yellow Ripening", V809&gt;=101, "Dough Stage", V809&gt;=93, "Milking Stage", V809&gt;=86, "Flowering", V809&gt;=56, "Panicle Initiation/Booting", V809&lt;56, "Vegetative/Tillering")</f>
        <v>Vegetative/Tillering</v>
      </c>
    </row>
    <row r="810" ht="15.75" hidden="1" customHeight="1">
      <c r="A810" s="3">
        <v>809.0</v>
      </c>
      <c r="B810" s="3" t="s">
        <v>23</v>
      </c>
      <c r="C810" s="3" t="s">
        <v>68</v>
      </c>
      <c r="D810" s="3" t="s">
        <v>289</v>
      </c>
      <c r="E810" s="3" t="s">
        <v>743</v>
      </c>
      <c r="F810" s="3">
        <v>1760047.0</v>
      </c>
      <c r="G810" s="4">
        <v>46034.0</v>
      </c>
      <c r="H810" s="4">
        <v>46136.0</v>
      </c>
      <c r="I810" s="3" t="s">
        <v>2310</v>
      </c>
      <c r="J810" s="3" t="s">
        <v>2311</v>
      </c>
      <c r="K810" s="3" t="s">
        <v>1650</v>
      </c>
      <c r="L810" s="3">
        <v>1.0204</v>
      </c>
      <c r="M810" s="3">
        <v>25510.0</v>
      </c>
      <c r="N810" s="3">
        <v>2.0</v>
      </c>
      <c r="O810" s="3">
        <v>161048.0</v>
      </c>
      <c r="P810" s="3"/>
      <c r="Q810" s="3">
        <v>1028442.0</v>
      </c>
      <c r="R810" s="3"/>
      <c r="S810" s="3">
        <v>17857.0</v>
      </c>
      <c r="T810" s="3" t="s">
        <v>31</v>
      </c>
      <c r="U810" s="3">
        <v>17857.0</v>
      </c>
      <c r="V810" s="5">
        <f>(DATE(2026,2,3)-'RICE_Insured Farms_with PPI Pol'!$G810)+IF('RICE_Insured Farms_with PPI Pol'!$H810&lt;&gt;'RICE_Insured Farms_with PPI Pol'!$G810,18,0)</f>
        <v>40</v>
      </c>
      <c r="W810" s="3" t="str">
        <f t="array" ref="W810">IFS(V810&gt;120, "Harvested", V810&gt;=113, "Yellow Ripening", V810&gt;=101, "Dough Stage", V810&gt;=93, "Milking Stage", V810&gt;=86, "Flowering", V810&gt;=56, "Panicle Initiation/Booting", V810&lt;56, "Vegetative/Tillering")</f>
        <v>Vegetative/Tillering</v>
      </c>
    </row>
    <row r="811" ht="15.75" hidden="1" customHeight="1">
      <c r="A811" s="3">
        <v>810.0</v>
      </c>
      <c r="B811" s="3" t="s">
        <v>23</v>
      </c>
      <c r="C811" s="3" t="s">
        <v>68</v>
      </c>
      <c r="D811" s="3" t="s">
        <v>122</v>
      </c>
      <c r="E811" s="3" t="s">
        <v>321</v>
      </c>
      <c r="F811" s="3">
        <v>1196930.0</v>
      </c>
      <c r="G811" s="4">
        <v>46029.0</v>
      </c>
      <c r="H811" s="4">
        <v>46131.0</v>
      </c>
      <c r="I811" s="3" t="s">
        <v>376</v>
      </c>
      <c r="J811" s="3" t="s">
        <v>2312</v>
      </c>
      <c r="K811" s="3" t="s">
        <v>2313</v>
      </c>
      <c r="L811" s="3">
        <v>0.1457</v>
      </c>
      <c r="M811" s="3">
        <v>3642.5</v>
      </c>
      <c r="N811" s="3">
        <v>2.0</v>
      </c>
      <c r="O811" s="3">
        <v>334809.0</v>
      </c>
      <c r="P811" s="3" t="s">
        <v>2314</v>
      </c>
      <c r="Q811" s="3">
        <v>1165595.0</v>
      </c>
      <c r="R811" s="3"/>
      <c r="S811" s="3">
        <v>2549.75</v>
      </c>
      <c r="T811" s="3" t="s">
        <v>31</v>
      </c>
      <c r="U811" s="3">
        <v>2549.75</v>
      </c>
      <c r="V811" s="5">
        <f>(DATE(2026,2,3)-'RICE_Insured Farms_with PPI Pol'!$G811)+IF('RICE_Insured Farms_with PPI Pol'!$H811&lt;&gt;'RICE_Insured Farms_with PPI Pol'!$G811,18,0)</f>
        <v>45</v>
      </c>
      <c r="W811" s="3" t="str">
        <f t="array" ref="W811">IFS(V811&gt;120, "Harvested", V811&gt;=113, "Yellow Ripening", V811&gt;=101, "Dough Stage", V811&gt;=93, "Milking Stage", V811&gt;=86, "Flowering", V811&gt;=56, "Panicle Initiation/Booting", V811&lt;56, "Vegetative/Tillering")</f>
        <v>Vegetative/Tillering</v>
      </c>
    </row>
    <row r="812" ht="15.75" customHeight="1">
      <c r="A812" s="3">
        <v>811.0</v>
      </c>
      <c r="B812" s="3" t="s">
        <v>23</v>
      </c>
      <c r="C812" s="3" t="s">
        <v>311</v>
      </c>
      <c r="D812" s="3" t="s">
        <v>329</v>
      </c>
      <c r="E812" s="3" t="s">
        <v>330</v>
      </c>
      <c r="F812" s="3">
        <v>1740205.0</v>
      </c>
      <c r="G812" s="4">
        <v>46030.0</v>
      </c>
      <c r="H812" s="4">
        <v>46125.0</v>
      </c>
      <c r="I812" s="3" t="s">
        <v>380</v>
      </c>
      <c r="J812" s="3" t="s">
        <v>381</v>
      </c>
      <c r="K812" s="3" t="s">
        <v>382</v>
      </c>
      <c r="L812" s="3">
        <v>1.3</v>
      </c>
      <c r="M812" s="3">
        <v>32500.0</v>
      </c>
      <c r="N812" s="3">
        <v>3.0</v>
      </c>
      <c r="O812" s="3">
        <v>206993.0</v>
      </c>
      <c r="P812" s="3" t="s">
        <v>383</v>
      </c>
      <c r="Q812" s="3">
        <v>1034934.0</v>
      </c>
      <c r="R812" s="3"/>
      <c r="S812" s="3">
        <v>26000.0</v>
      </c>
      <c r="T812" s="3" t="s">
        <v>37</v>
      </c>
      <c r="U812" s="3">
        <v>26000.0</v>
      </c>
      <c r="V812" s="5">
        <f>(DATE(2026,2,3)-'RICE_Insured Farms_with PPI Pol'!$G812)+IF('RICE_Insured Farms_with PPI Pol'!$H812&lt;&gt;'RICE_Insured Farms_with PPI Pol'!$G812,18,0)</f>
        <v>44</v>
      </c>
      <c r="W812" s="3" t="str">
        <f t="array" ref="W812">IFS(V812&gt;120, "Harvested", V812&gt;=113, "Yellow Ripening", V812&gt;=101, "Dough Stage", V812&gt;=93, "Milking Stage", V812&gt;=86, "Flowering", V812&gt;=56, "Panicle Initiation/Booting", V812&lt;56, "Vegetative/Tillering")</f>
        <v>Vegetative/Tillering</v>
      </c>
    </row>
    <row r="813" ht="15.75" hidden="1" customHeight="1">
      <c r="A813" s="3">
        <v>812.0</v>
      </c>
      <c r="B813" s="3" t="s">
        <v>23</v>
      </c>
      <c r="C813" s="3" t="s">
        <v>68</v>
      </c>
      <c r="D813" s="3" t="s">
        <v>289</v>
      </c>
      <c r="E813" s="3" t="s">
        <v>290</v>
      </c>
      <c r="F813" s="3">
        <v>1760035.0</v>
      </c>
      <c r="G813" s="4">
        <v>46035.0</v>
      </c>
      <c r="H813" s="4">
        <v>46137.0</v>
      </c>
      <c r="I813" s="3" t="s">
        <v>2053</v>
      </c>
      <c r="J813" s="3" t="s">
        <v>2315</v>
      </c>
      <c r="K813" s="3" t="s">
        <v>1642</v>
      </c>
      <c r="L813" s="3">
        <v>0.1579</v>
      </c>
      <c r="M813" s="3">
        <v>3947.5</v>
      </c>
      <c r="N813" s="3">
        <v>2.0</v>
      </c>
      <c r="O813" s="3">
        <v>147069.0</v>
      </c>
      <c r="P813" s="3" t="s">
        <v>2316</v>
      </c>
      <c r="Q813" s="3">
        <v>1281260.0</v>
      </c>
      <c r="R813" s="3"/>
      <c r="S813" s="3">
        <v>2763.25</v>
      </c>
      <c r="T813" s="3" t="s">
        <v>31</v>
      </c>
      <c r="U813" s="3">
        <v>2763.25</v>
      </c>
      <c r="V813" s="5">
        <f>(DATE(2026,2,3)-'RICE_Insured Farms_with PPI Pol'!$G813)+IF('RICE_Insured Farms_with PPI Pol'!$H813&lt;&gt;'RICE_Insured Farms_with PPI Pol'!$G813,18,0)</f>
        <v>39</v>
      </c>
      <c r="W813" s="3" t="str">
        <f t="array" ref="W813">IFS(V813&gt;120, "Harvested", V813&gt;=113, "Yellow Ripening", V813&gt;=101, "Dough Stage", V813&gt;=93, "Milking Stage", V813&gt;=86, "Flowering", V813&gt;=56, "Panicle Initiation/Booting", V813&lt;56, "Vegetative/Tillering")</f>
        <v>Vegetative/Tillering</v>
      </c>
    </row>
    <row r="814" ht="15.75" hidden="1" customHeight="1">
      <c r="A814" s="3">
        <v>1183.0</v>
      </c>
      <c r="B814" s="3" t="s">
        <v>23</v>
      </c>
      <c r="C814" s="3" t="s">
        <v>24</v>
      </c>
      <c r="D814" s="3" t="s">
        <v>25</v>
      </c>
      <c r="E814" s="3" t="s">
        <v>1164</v>
      </c>
      <c r="F814" s="3">
        <v>1760492.0</v>
      </c>
      <c r="G814" s="4">
        <v>46011.0</v>
      </c>
      <c r="H814" s="4">
        <v>46106.0</v>
      </c>
      <c r="I814" s="3" t="s">
        <v>2317</v>
      </c>
      <c r="J814" s="3" t="s">
        <v>2318</v>
      </c>
      <c r="K814" s="3" t="s">
        <v>1563</v>
      </c>
      <c r="L814" s="3">
        <v>0.5</v>
      </c>
      <c r="M814" s="3">
        <v>12500.0</v>
      </c>
      <c r="N814" s="3">
        <v>4.0</v>
      </c>
      <c r="O814" s="3">
        <v>391960.0</v>
      </c>
      <c r="P814" s="3" t="s">
        <v>2319</v>
      </c>
      <c r="Q814" s="3">
        <v>1231578.0</v>
      </c>
      <c r="R814" s="3"/>
      <c r="S814" s="3">
        <v>10000.0</v>
      </c>
      <c r="T814" s="3" t="s">
        <v>56</v>
      </c>
      <c r="U814" s="3">
        <v>10000.0</v>
      </c>
      <c r="V814" s="5">
        <f>(DATE(2026,2,3)-'RICE_Insured Farms_with PPI Pol'!$G814)+IF('RICE_Insured Farms_with PPI Pol'!$H814&lt;&gt;'RICE_Insured Farms_with PPI Pol'!$G814,18,0)</f>
        <v>63</v>
      </c>
      <c r="W814" s="3" t="str">
        <f t="array" ref="W814">IFS(V814&gt;120, "Harvested", V814&gt;=113, "Yellow Ripening", V814&gt;=101, "Dough Stage", V814&gt;=93, "Milking Stage", V814&gt;=86, "Flowering", V814&gt;=56, "Panicle Initiation/Booting", V814&lt;56, "Vegetative/Tillering")</f>
        <v>Panicle Initiation/Booting</v>
      </c>
    </row>
    <row r="815" ht="15.75" customHeight="1">
      <c r="A815" s="3">
        <v>814.0</v>
      </c>
      <c r="B815" s="3" t="s">
        <v>23</v>
      </c>
      <c r="C815" s="3" t="s">
        <v>68</v>
      </c>
      <c r="D815" s="3" t="s">
        <v>289</v>
      </c>
      <c r="E815" s="3" t="s">
        <v>685</v>
      </c>
      <c r="F815" s="3">
        <v>1760005.0</v>
      </c>
      <c r="G815" s="4">
        <v>46018.0</v>
      </c>
      <c r="H815" s="4">
        <v>46120.0</v>
      </c>
      <c r="I815" s="3" t="s">
        <v>927</v>
      </c>
      <c r="J815" s="3" t="s">
        <v>2320</v>
      </c>
      <c r="K815" s="3" t="s">
        <v>834</v>
      </c>
      <c r="L815" s="3">
        <v>1.0</v>
      </c>
      <c r="M815" s="3">
        <v>25000.0</v>
      </c>
      <c r="N815" s="3">
        <v>3.0</v>
      </c>
      <c r="O815" s="3">
        <v>152726.0</v>
      </c>
      <c r="P815" s="3" t="s">
        <v>2321</v>
      </c>
      <c r="Q815" s="3">
        <v>619236.0</v>
      </c>
      <c r="R815" s="3"/>
      <c r="S815" s="3">
        <v>20000.0</v>
      </c>
      <c r="T815" s="3" t="s">
        <v>37</v>
      </c>
      <c r="U815" s="3">
        <v>20000.0</v>
      </c>
      <c r="V815" s="5">
        <f>(DATE(2026,2,3)-'RICE_Insured Farms_with PPI Pol'!$G815)+IF('RICE_Insured Farms_with PPI Pol'!$H815&lt;&gt;'RICE_Insured Farms_with PPI Pol'!$G815,18,0)</f>
        <v>56</v>
      </c>
      <c r="W815" s="3" t="str">
        <f t="array" ref="W815">IFS(V815&gt;120, "Harvested", V815&gt;=113, "Yellow Ripening", V815&gt;=101, "Dough Stage", V815&gt;=93, "Milking Stage", V815&gt;=86, "Flowering", V815&gt;=56, "Panicle Initiation/Booting", V815&lt;56, "Vegetative/Tillering")</f>
        <v>Panicle Initiation/Booting</v>
      </c>
    </row>
    <row r="816" ht="15.75" hidden="1" customHeight="1">
      <c r="A816" s="3">
        <v>815.0</v>
      </c>
      <c r="B816" s="3" t="s">
        <v>23</v>
      </c>
      <c r="C816" s="3" t="s">
        <v>68</v>
      </c>
      <c r="D816" s="3" t="s">
        <v>289</v>
      </c>
      <c r="E816" s="3" t="s">
        <v>352</v>
      </c>
      <c r="F816" s="3">
        <v>1760051.0</v>
      </c>
      <c r="G816" s="4">
        <v>46033.0</v>
      </c>
      <c r="H816" s="4">
        <v>46135.0</v>
      </c>
      <c r="I816" s="3" t="s">
        <v>927</v>
      </c>
      <c r="J816" s="3" t="s">
        <v>296</v>
      </c>
      <c r="K816" s="3" t="s">
        <v>2322</v>
      </c>
      <c r="L816" s="3">
        <v>0.5443</v>
      </c>
      <c r="M816" s="3">
        <v>13607.5</v>
      </c>
      <c r="N816" s="3">
        <v>2.0</v>
      </c>
      <c r="O816" s="3">
        <v>511474.0</v>
      </c>
      <c r="P816" s="3"/>
      <c r="Q816" s="3">
        <v>1285684.0</v>
      </c>
      <c r="R816" s="3"/>
      <c r="S816" s="3">
        <v>9525.25</v>
      </c>
      <c r="T816" s="3" t="s">
        <v>31</v>
      </c>
      <c r="U816" s="3">
        <v>9525.25</v>
      </c>
      <c r="V816" s="5">
        <f>(DATE(2026,2,3)-'RICE_Insured Farms_with PPI Pol'!$G816)+IF('RICE_Insured Farms_with PPI Pol'!$H816&lt;&gt;'RICE_Insured Farms_with PPI Pol'!$G816,18,0)</f>
        <v>41</v>
      </c>
      <c r="W816" s="3" t="str">
        <f t="array" ref="W816">IFS(V816&gt;120, "Harvested", V816&gt;=113, "Yellow Ripening", V816&gt;=101, "Dough Stage", V816&gt;=93, "Milking Stage", V816&gt;=86, "Flowering", V816&gt;=56, "Panicle Initiation/Booting", V816&lt;56, "Vegetative/Tillering")</f>
        <v>Vegetative/Tillering</v>
      </c>
    </row>
    <row r="817" ht="15.75" hidden="1" customHeight="1">
      <c r="A817" s="3">
        <v>816.0</v>
      </c>
      <c r="B817" s="3" t="s">
        <v>23</v>
      </c>
      <c r="C817" s="3" t="s">
        <v>24</v>
      </c>
      <c r="D817" s="3" t="s">
        <v>25</v>
      </c>
      <c r="E817" s="3" t="s">
        <v>1164</v>
      </c>
      <c r="F817" s="3">
        <v>1190666.0</v>
      </c>
      <c r="G817" s="4">
        <v>46013.0</v>
      </c>
      <c r="H817" s="4">
        <v>46133.0</v>
      </c>
      <c r="I817" s="3" t="s">
        <v>927</v>
      </c>
      <c r="J817" s="3" t="s">
        <v>2323</v>
      </c>
      <c r="K817" s="3" t="s">
        <v>2324</v>
      </c>
      <c r="L817" s="3">
        <v>0.7519</v>
      </c>
      <c r="M817" s="3">
        <v>18797.5</v>
      </c>
      <c r="N817" s="3">
        <v>2.0</v>
      </c>
      <c r="O817" s="3">
        <v>3493.0</v>
      </c>
      <c r="P817" s="3" t="s">
        <v>2325</v>
      </c>
      <c r="Q817" s="3">
        <v>1279829.0</v>
      </c>
      <c r="R817" s="3"/>
      <c r="S817" s="3">
        <v>13158.25</v>
      </c>
      <c r="T817" s="3" t="s">
        <v>31</v>
      </c>
      <c r="U817" s="3">
        <v>13158.25</v>
      </c>
      <c r="V817" s="5">
        <f>(DATE(2026,2,3)-'RICE_Insured Farms_with PPI Pol'!$G817)+IF('RICE_Insured Farms_with PPI Pol'!$H817&lt;&gt;'RICE_Insured Farms_with PPI Pol'!$G817,18,0)</f>
        <v>61</v>
      </c>
      <c r="W817" s="3" t="str">
        <f t="array" ref="W817">IFS(V817&gt;120, "Harvested", V817&gt;=113, "Yellow Ripening", V817&gt;=101, "Dough Stage", V817&gt;=93, "Milking Stage", V817&gt;=86, "Flowering", V817&gt;=56, "Panicle Initiation/Booting", V817&lt;56, "Vegetative/Tillering")</f>
        <v>Panicle Initiation/Booting</v>
      </c>
    </row>
    <row r="818" ht="15.75" hidden="1" customHeight="1">
      <c r="A818" s="3">
        <v>817.0</v>
      </c>
      <c r="B818" s="3" t="s">
        <v>23</v>
      </c>
      <c r="C818" s="3" t="s">
        <v>24</v>
      </c>
      <c r="D818" s="3" t="s">
        <v>25</v>
      </c>
      <c r="E818" s="3" t="s">
        <v>1164</v>
      </c>
      <c r="F818" s="3">
        <v>1190666.0</v>
      </c>
      <c r="G818" s="4">
        <v>46013.0</v>
      </c>
      <c r="H818" s="4">
        <v>46133.0</v>
      </c>
      <c r="I818" s="3" t="s">
        <v>927</v>
      </c>
      <c r="J818" s="3" t="s">
        <v>2323</v>
      </c>
      <c r="K818" s="3" t="s">
        <v>2324</v>
      </c>
      <c r="L818" s="3">
        <v>0.78</v>
      </c>
      <c r="M818" s="3">
        <v>19500.0</v>
      </c>
      <c r="N818" s="3">
        <v>2.0</v>
      </c>
      <c r="O818" s="3">
        <v>3493.0</v>
      </c>
      <c r="P818" s="3" t="s">
        <v>2325</v>
      </c>
      <c r="Q818" s="3">
        <v>1334674.0</v>
      </c>
      <c r="R818" s="3"/>
      <c r="S818" s="3">
        <v>13650.0</v>
      </c>
      <c r="T818" s="3" t="s">
        <v>31</v>
      </c>
      <c r="U818" s="3">
        <v>13650.0</v>
      </c>
      <c r="V818" s="5">
        <f>(DATE(2026,2,3)-'RICE_Insured Farms_with PPI Pol'!$G818)+IF('RICE_Insured Farms_with PPI Pol'!$H818&lt;&gt;'RICE_Insured Farms_with PPI Pol'!$G818,18,0)</f>
        <v>61</v>
      </c>
      <c r="W818" s="3" t="str">
        <f t="array" ref="W818">IFS(V818&gt;120, "Harvested", V818&gt;=113, "Yellow Ripening", V818&gt;=101, "Dough Stage", V818&gt;=93, "Milking Stage", V818&gt;=86, "Flowering", V818&gt;=56, "Panicle Initiation/Booting", V818&lt;56, "Vegetative/Tillering")</f>
        <v>Panicle Initiation/Booting</v>
      </c>
    </row>
    <row r="819" ht="15.75" customHeight="1">
      <c r="A819" s="3">
        <v>818.0</v>
      </c>
      <c r="B819" s="3" t="s">
        <v>23</v>
      </c>
      <c r="C819" s="3" t="s">
        <v>68</v>
      </c>
      <c r="D819" s="3" t="s">
        <v>289</v>
      </c>
      <c r="E819" s="3" t="s">
        <v>685</v>
      </c>
      <c r="F819" s="3">
        <v>1760004.0</v>
      </c>
      <c r="G819" s="4">
        <v>46024.0</v>
      </c>
      <c r="H819" s="4">
        <v>46126.0</v>
      </c>
      <c r="I819" s="3" t="s">
        <v>927</v>
      </c>
      <c r="J819" s="3" t="s">
        <v>1050</v>
      </c>
      <c r="K819" s="3" t="s">
        <v>2326</v>
      </c>
      <c r="L819" s="3">
        <v>1.4139</v>
      </c>
      <c r="M819" s="3">
        <v>35347.5</v>
      </c>
      <c r="N819" s="3">
        <v>3.0</v>
      </c>
      <c r="O819" s="3">
        <v>293890.0</v>
      </c>
      <c r="P819" s="3" t="s">
        <v>2327</v>
      </c>
      <c r="Q819" s="3">
        <v>1141242.0</v>
      </c>
      <c r="R819" s="3"/>
      <c r="S819" s="3">
        <v>28278.0</v>
      </c>
      <c r="T819" s="3" t="s">
        <v>37</v>
      </c>
      <c r="U819" s="3">
        <v>28278.0</v>
      </c>
      <c r="V819" s="5">
        <f>(DATE(2026,2,3)-'RICE_Insured Farms_with PPI Pol'!$G819)+IF('RICE_Insured Farms_with PPI Pol'!$H819&lt;&gt;'RICE_Insured Farms_with PPI Pol'!$G819,18,0)</f>
        <v>50</v>
      </c>
      <c r="W819" s="3" t="str">
        <f t="array" ref="W819">IFS(V819&gt;120, "Harvested", V819&gt;=113, "Yellow Ripening", V819&gt;=101, "Dough Stage", V819&gt;=93, "Milking Stage", V819&gt;=86, "Flowering", V819&gt;=56, "Panicle Initiation/Booting", V819&lt;56, "Vegetative/Tillering")</f>
        <v>Vegetative/Tillering</v>
      </c>
    </row>
    <row r="820" ht="15.75" hidden="1" customHeight="1">
      <c r="A820" s="3">
        <v>819.0</v>
      </c>
      <c r="B820" s="3" t="s">
        <v>23</v>
      </c>
      <c r="C820" s="3" t="s">
        <v>68</v>
      </c>
      <c r="D820" s="3" t="s">
        <v>289</v>
      </c>
      <c r="E820" s="3" t="s">
        <v>743</v>
      </c>
      <c r="F820" s="3">
        <v>1760040.0</v>
      </c>
      <c r="G820" s="4">
        <v>46044.0</v>
      </c>
      <c r="H820" s="4">
        <v>46146.0</v>
      </c>
      <c r="I820" s="3" t="s">
        <v>2328</v>
      </c>
      <c r="J820" s="3" t="s">
        <v>2329</v>
      </c>
      <c r="K820" s="3" t="s">
        <v>469</v>
      </c>
      <c r="L820" s="3">
        <v>0.9944</v>
      </c>
      <c r="M820" s="3">
        <v>24860.0</v>
      </c>
      <c r="N820" s="3">
        <v>2.0</v>
      </c>
      <c r="O820" s="3">
        <v>476941.0</v>
      </c>
      <c r="P820" s="3" t="s">
        <v>2330</v>
      </c>
      <c r="Q820" s="3">
        <v>1192466.0</v>
      </c>
      <c r="R820" s="3"/>
      <c r="S820" s="3">
        <v>17402.0</v>
      </c>
      <c r="T820" s="3" t="s">
        <v>31</v>
      </c>
      <c r="U820" s="3">
        <v>17402.0</v>
      </c>
      <c r="V820" s="5">
        <f>(DATE(2026,2,3)-'RICE_Insured Farms_with PPI Pol'!$G820)+IF('RICE_Insured Farms_with PPI Pol'!$H820&lt;&gt;'RICE_Insured Farms_with PPI Pol'!$G820,18,0)</f>
        <v>30</v>
      </c>
      <c r="W820" s="3" t="str">
        <f t="array" ref="W820">IFS(V820&gt;120, "Harvested", V820&gt;=113, "Yellow Ripening", V820&gt;=101, "Dough Stage", V820&gt;=93, "Milking Stage", V820&gt;=86, "Flowering", V820&gt;=56, "Panicle Initiation/Booting", V820&lt;56, "Vegetative/Tillering")</f>
        <v>Vegetative/Tillering</v>
      </c>
    </row>
    <row r="821" ht="15.75" hidden="1" customHeight="1">
      <c r="A821" s="3">
        <v>820.0</v>
      </c>
      <c r="B821" s="3" t="s">
        <v>23</v>
      </c>
      <c r="C821" s="3" t="s">
        <v>68</v>
      </c>
      <c r="D821" s="3" t="s">
        <v>289</v>
      </c>
      <c r="E821" s="3" t="s">
        <v>743</v>
      </c>
      <c r="F821" s="3">
        <v>1760039.0</v>
      </c>
      <c r="G821" s="4">
        <v>46037.0</v>
      </c>
      <c r="H821" s="4">
        <v>46139.0</v>
      </c>
      <c r="I821" s="3" t="s">
        <v>2331</v>
      </c>
      <c r="J821" s="3" t="s">
        <v>2332</v>
      </c>
      <c r="K821" s="3" t="s">
        <v>2333</v>
      </c>
      <c r="L821" s="3">
        <v>0.3836</v>
      </c>
      <c r="M821" s="3">
        <v>9590.0</v>
      </c>
      <c r="N821" s="3">
        <v>2.0</v>
      </c>
      <c r="O821" s="3">
        <v>61166.0</v>
      </c>
      <c r="P821" s="3" t="s">
        <v>2334</v>
      </c>
      <c r="Q821" s="3">
        <v>1323136.0</v>
      </c>
      <c r="R821" s="3"/>
      <c r="S821" s="3">
        <v>6713.0</v>
      </c>
      <c r="T821" s="3" t="s">
        <v>31</v>
      </c>
      <c r="U821" s="3">
        <v>6713.0</v>
      </c>
      <c r="V821" s="5">
        <f>(DATE(2026,2,3)-'RICE_Insured Farms_with PPI Pol'!$G821)+IF('RICE_Insured Farms_with PPI Pol'!$H821&lt;&gt;'RICE_Insured Farms_with PPI Pol'!$G821,18,0)</f>
        <v>37</v>
      </c>
      <c r="W821" s="3" t="str">
        <f t="array" ref="W821">IFS(V821&gt;120, "Harvested", V821&gt;=113, "Yellow Ripening", V821&gt;=101, "Dough Stage", V821&gt;=93, "Milking Stage", V821&gt;=86, "Flowering", V821&gt;=56, "Panicle Initiation/Booting", V821&lt;56, "Vegetative/Tillering")</f>
        <v>Vegetative/Tillering</v>
      </c>
    </row>
    <row r="822" ht="15.75" hidden="1" customHeight="1">
      <c r="A822" s="3">
        <v>821.0</v>
      </c>
      <c r="B822" s="3" t="s">
        <v>23</v>
      </c>
      <c r="C822" s="3" t="s">
        <v>68</v>
      </c>
      <c r="D822" s="3" t="s">
        <v>289</v>
      </c>
      <c r="E822" s="3" t="s">
        <v>743</v>
      </c>
      <c r="F822" s="3">
        <v>1760031.0</v>
      </c>
      <c r="G822" s="4">
        <v>46030.0</v>
      </c>
      <c r="H822" s="4">
        <v>46132.0</v>
      </c>
      <c r="I822" s="3" t="s">
        <v>2331</v>
      </c>
      <c r="J822" s="3" t="s">
        <v>485</v>
      </c>
      <c r="K822" s="3" t="s">
        <v>2333</v>
      </c>
      <c r="L822" s="3">
        <v>0.2639</v>
      </c>
      <c r="M822" s="3">
        <v>6597.5</v>
      </c>
      <c r="N822" s="3">
        <v>2.0</v>
      </c>
      <c r="O822" s="3">
        <v>62511.0</v>
      </c>
      <c r="P822" s="3" t="s">
        <v>2335</v>
      </c>
      <c r="Q822" s="3">
        <v>1188526.0</v>
      </c>
      <c r="R822" s="3"/>
      <c r="S822" s="3">
        <v>4618.25</v>
      </c>
      <c r="T822" s="3" t="s">
        <v>31</v>
      </c>
      <c r="U822" s="3">
        <v>4618.25</v>
      </c>
      <c r="V822" s="5">
        <f>(DATE(2026,2,3)-'RICE_Insured Farms_with PPI Pol'!$G822)+IF('RICE_Insured Farms_with PPI Pol'!$H822&lt;&gt;'RICE_Insured Farms_with PPI Pol'!$G822,18,0)</f>
        <v>44</v>
      </c>
      <c r="W822" s="3" t="str">
        <f t="array" ref="W822">IFS(V822&gt;120, "Harvested", V822&gt;=113, "Yellow Ripening", V822&gt;=101, "Dough Stage", V822&gt;=93, "Milking Stage", V822&gt;=86, "Flowering", V822&gt;=56, "Panicle Initiation/Booting", V822&lt;56, "Vegetative/Tillering")</f>
        <v>Vegetative/Tillering</v>
      </c>
    </row>
    <row r="823" ht="15.75" hidden="1" customHeight="1">
      <c r="A823" s="3">
        <v>822.0</v>
      </c>
      <c r="B823" s="3" t="s">
        <v>23</v>
      </c>
      <c r="C823" s="3" t="s">
        <v>68</v>
      </c>
      <c r="D823" s="3" t="s">
        <v>289</v>
      </c>
      <c r="E823" s="3" t="s">
        <v>743</v>
      </c>
      <c r="F823" s="3">
        <v>1760040.0</v>
      </c>
      <c r="G823" s="4">
        <v>46032.0</v>
      </c>
      <c r="H823" s="4">
        <v>46134.0</v>
      </c>
      <c r="I823" s="3" t="s">
        <v>2331</v>
      </c>
      <c r="J823" s="3" t="s">
        <v>234</v>
      </c>
      <c r="K823" s="3" t="s">
        <v>2333</v>
      </c>
      <c r="L823" s="3">
        <v>0.3354</v>
      </c>
      <c r="M823" s="3">
        <v>8385.0</v>
      </c>
      <c r="N823" s="3">
        <v>2.0</v>
      </c>
      <c r="O823" s="3">
        <v>65744.0</v>
      </c>
      <c r="P823" s="3" t="s">
        <v>2336</v>
      </c>
      <c r="Q823" s="3">
        <v>1138424.0</v>
      </c>
      <c r="R823" s="3"/>
      <c r="S823" s="3">
        <v>5869.5</v>
      </c>
      <c r="T823" s="3" t="s">
        <v>31</v>
      </c>
      <c r="U823" s="3">
        <v>5869.5</v>
      </c>
      <c r="V823" s="5">
        <f>(DATE(2026,2,3)-'RICE_Insured Farms_with PPI Pol'!$G823)+IF('RICE_Insured Farms_with PPI Pol'!$H823&lt;&gt;'RICE_Insured Farms_with PPI Pol'!$G823,18,0)</f>
        <v>42</v>
      </c>
      <c r="W823" s="3" t="str">
        <f t="array" ref="W823">IFS(V823&gt;120, "Harvested", V823&gt;=113, "Yellow Ripening", V823&gt;=101, "Dough Stage", V823&gt;=93, "Milking Stage", V823&gt;=86, "Flowering", V823&gt;=56, "Panicle Initiation/Booting", V823&lt;56, "Vegetative/Tillering")</f>
        <v>Vegetative/Tillering</v>
      </c>
    </row>
    <row r="824" ht="15.75" hidden="1" customHeight="1">
      <c r="A824" s="3">
        <v>823.0</v>
      </c>
      <c r="B824" s="3" t="s">
        <v>23</v>
      </c>
      <c r="C824" s="3" t="s">
        <v>68</v>
      </c>
      <c r="D824" s="3" t="s">
        <v>289</v>
      </c>
      <c r="E824" s="3" t="s">
        <v>743</v>
      </c>
      <c r="F824" s="3">
        <v>1760040.0</v>
      </c>
      <c r="G824" s="4">
        <v>46032.0</v>
      </c>
      <c r="H824" s="4">
        <v>46134.0</v>
      </c>
      <c r="I824" s="3" t="s">
        <v>2331</v>
      </c>
      <c r="J824" s="3" t="s">
        <v>234</v>
      </c>
      <c r="K824" s="3" t="s">
        <v>2333</v>
      </c>
      <c r="L824" s="3">
        <v>0.5418</v>
      </c>
      <c r="M824" s="3">
        <v>13545.0</v>
      </c>
      <c r="N824" s="3">
        <v>2.0</v>
      </c>
      <c r="O824" s="3">
        <v>65744.0</v>
      </c>
      <c r="P824" s="3" t="s">
        <v>2336</v>
      </c>
      <c r="Q824" s="3">
        <v>1138425.0</v>
      </c>
      <c r="R824" s="3"/>
      <c r="S824" s="3">
        <v>9481.5</v>
      </c>
      <c r="T824" s="3" t="s">
        <v>31</v>
      </c>
      <c r="U824" s="3">
        <v>9481.5</v>
      </c>
      <c r="V824" s="5">
        <f>(DATE(2026,2,3)-'RICE_Insured Farms_with PPI Pol'!$G824)+IF('RICE_Insured Farms_with PPI Pol'!$H824&lt;&gt;'RICE_Insured Farms_with PPI Pol'!$G824,18,0)</f>
        <v>42</v>
      </c>
      <c r="W824" s="3" t="str">
        <f t="array" ref="W824">IFS(V824&gt;120, "Harvested", V824&gt;=113, "Yellow Ripening", V824&gt;=101, "Dough Stage", V824&gt;=93, "Milking Stage", V824&gt;=86, "Flowering", V824&gt;=56, "Panicle Initiation/Booting", V824&lt;56, "Vegetative/Tillering")</f>
        <v>Vegetative/Tillering</v>
      </c>
    </row>
    <row r="825" ht="15.75" hidden="1" customHeight="1">
      <c r="A825" s="3">
        <v>824.0</v>
      </c>
      <c r="B825" s="3" t="s">
        <v>23</v>
      </c>
      <c r="C825" s="3" t="s">
        <v>68</v>
      </c>
      <c r="D825" s="3" t="s">
        <v>289</v>
      </c>
      <c r="E825" s="3" t="s">
        <v>743</v>
      </c>
      <c r="F825" s="3">
        <v>1760040.0</v>
      </c>
      <c r="G825" s="4">
        <v>46032.0</v>
      </c>
      <c r="H825" s="4">
        <v>46134.0</v>
      </c>
      <c r="I825" s="3" t="s">
        <v>2331</v>
      </c>
      <c r="J825" s="3" t="s">
        <v>234</v>
      </c>
      <c r="K825" s="3" t="s">
        <v>2333</v>
      </c>
      <c r="L825" s="3">
        <v>0.2165</v>
      </c>
      <c r="M825" s="3">
        <v>5412.5</v>
      </c>
      <c r="N825" s="3">
        <v>2.0</v>
      </c>
      <c r="O825" s="3">
        <v>65744.0</v>
      </c>
      <c r="P825" s="3" t="s">
        <v>2336</v>
      </c>
      <c r="Q825" s="3">
        <v>1138426.0</v>
      </c>
      <c r="R825" s="3"/>
      <c r="S825" s="3">
        <v>3788.75</v>
      </c>
      <c r="T825" s="3" t="s">
        <v>31</v>
      </c>
      <c r="U825" s="3">
        <v>3788.75</v>
      </c>
      <c r="V825" s="5">
        <f>(DATE(2026,2,3)-'RICE_Insured Farms_with PPI Pol'!$G825)+IF('RICE_Insured Farms_with PPI Pol'!$H825&lt;&gt;'RICE_Insured Farms_with PPI Pol'!$G825,18,0)</f>
        <v>42</v>
      </c>
      <c r="W825" s="3" t="str">
        <f t="array" ref="W825">IFS(V825&gt;120, "Harvested", V825&gt;=113, "Yellow Ripening", V825&gt;=101, "Dough Stage", V825&gt;=93, "Milking Stage", V825&gt;=86, "Flowering", V825&gt;=56, "Panicle Initiation/Booting", V825&lt;56, "Vegetative/Tillering")</f>
        <v>Vegetative/Tillering</v>
      </c>
    </row>
    <row r="826" ht="15.75" hidden="1" customHeight="1">
      <c r="A826" s="3">
        <v>825.0</v>
      </c>
      <c r="B826" s="3" t="s">
        <v>23</v>
      </c>
      <c r="C826" s="3" t="s">
        <v>24</v>
      </c>
      <c r="D826" s="3" t="s">
        <v>25</v>
      </c>
      <c r="E826" s="3" t="s">
        <v>32</v>
      </c>
      <c r="F826" s="3">
        <v>1760482.0</v>
      </c>
      <c r="G826" s="4">
        <v>46011.0</v>
      </c>
      <c r="H826" s="4">
        <v>46131.0</v>
      </c>
      <c r="I826" s="3" t="s">
        <v>2337</v>
      </c>
      <c r="J826" s="3" t="s">
        <v>2338</v>
      </c>
      <c r="K826" s="3" t="s">
        <v>442</v>
      </c>
      <c r="L826" s="3">
        <v>0.7414</v>
      </c>
      <c r="M826" s="3">
        <v>18535.0</v>
      </c>
      <c r="N826" s="3">
        <v>2.0</v>
      </c>
      <c r="O826" s="3">
        <v>233197.0</v>
      </c>
      <c r="P826" s="3" t="s">
        <v>2339</v>
      </c>
      <c r="Q826" s="3">
        <v>1272975.0</v>
      </c>
      <c r="R826" s="3"/>
      <c r="S826" s="3">
        <v>12974.5</v>
      </c>
      <c r="T826" s="3" t="s">
        <v>31</v>
      </c>
      <c r="U826" s="3">
        <v>12974.5</v>
      </c>
      <c r="V826" s="5">
        <f>(DATE(2026,2,3)-'RICE_Insured Farms_with PPI Pol'!$G826)+IF('RICE_Insured Farms_with PPI Pol'!$H826&lt;&gt;'RICE_Insured Farms_with PPI Pol'!$G826,18,0)</f>
        <v>63</v>
      </c>
      <c r="W826" s="3" t="str">
        <f t="array" ref="W826">IFS(V826&gt;120, "Harvested", V826&gt;=113, "Yellow Ripening", V826&gt;=101, "Dough Stage", V826&gt;=93, "Milking Stage", V826&gt;=86, "Flowering", V826&gt;=56, "Panicle Initiation/Booting", V826&lt;56, "Vegetative/Tillering")</f>
        <v>Panicle Initiation/Booting</v>
      </c>
    </row>
    <row r="827" ht="15.75" hidden="1" customHeight="1">
      <c r="A827" s="3">
        <v>826.0</v>
      </c>
      <c r="B827" s="3" t="s">
        <v>23</v>
      </c>
      <c r="C827" s="3" t="s">
        <v>68</v>
      </c>
      <c r="D827" s="3" t="s">
        <v>289</v>
      </c>
      <c r="E827" s="3" t="s">
        <v>290</v>
      </c>
      <c r="F827" s="3">
        <v>1760044.0</v>
      </c>
      <c r="G827" s="4">
        <v>46030.0</v>
      </c>
      <c r="H827" s="4">
        <v>46132.0</v>
      </c>
      <c r="I827" s="3" t="s">
        <v>2340</v>
      </c>
      <c r="J827" s="3" t="s">
        <v>2341</v>
      </c>
      <c r="K827" s="3" t="s">
        <v>2342</v>
      </c>
      <c r="L827" s="3">
        <v>0.3624</v>
      </c>
      <c r="M827" s="3">
        <v>9060.0</v>
      </c>
      <c r="N827" s="3">
        <v>2.0</v>
      </c>
      <c r="O827" s="3">
        <v>204560.0</v>
      </c>
      <c r="P827" s="3" t="s">
        <v>2343</v>
      </c>
      <c r="Q827" s="3">
        <v>692997.0</v>
      </c>
      <c r="R827" s="3"/>
      <c r="S827" s="3">
        <v>6342.0</v>
      </c>
      <c r="T827" s="3" t="s">
        <v>31</v>
      </c>
      <c r="U827" s="3">
        <v>6342.0</v>
      </c>
      <c r="V827" s="5">
        <f>(DATE(2026,2,3)-'RICE_Insured Farms_with PPI Pol'!$G827)+IF('RICE_Insured Farms_with PPI Pol'!$H827&lt;&gt;'RICE_Insured Farms_with PPI Pol'!$G827,18,0)</f>
        <v>44</v>
      </c>
      <c r="W827" s="3" t="str">
        <f t="array" ref="W827">IFS(V827&gt;120, "Harvested", V827&gt;=113, "Yellow Ripening", V827&gt;=101, "Dough Stage", V827&gt;=93, "Milking Stage", V827&gt;=86, "Flowering", V827&gt;=56, "Panicle Initiation/Booting", V827&lt;56, "Vegetative/Tillering")</f>
        <v>Vegetative/Tillering</v>
      </c>
    </row>
    <row r="828" ht="15.75" hidden="1" customHeight="1">
      <c r="A828" s="3">
        <v>827.0</v>
      </c>
      <c r="B828" s="3" t="s">
        <v>23</v>
      </c>
      <c r="C828" s="3" t="s">
        <v>121</v>
      </c>
      <c r="D828" s="3" t="s">
        <v>399</v>
      </c>
      <c r="E828" s="3" t="s">
        <v>2344</v>
      </c>
      <c r="F828" s="3">
        <v>1760153.0</v>
      </c>
      <c r="G828" s="4">
        <v>46030.0</v>
      </c>
      <c r="H828" s="4">
        <v>46150.0</v>
      </c>
      <c r="I828" s="3" t="s">
        <v>2345</v>
      </c>
      <c r="J828" s="3" t="s">
        <v>153</v>
      </c>
      <c r="K828" s="3" t="s">
        <v>2346</v>
      </c>
      <c r="L828" s="3">
        <v>2.0</v>
      </c>
      <c r="M828" s="3">
        <v>50000.0</v>
      </c>
      <c r="N828" s="3">
        <v>1.0</v>
      </c>
      <c r="O828" s="3">
        <v>14954.0</v>
      </c>
      <c r="P828" s="3" t="s">
        <v>2347</v>
      </c>
      <c r="Q828" s="3">
        <v>1191688.0</v>
      </c>
      <c r="R828" s="3"/>
      <c r="S828" s="3">
        <v>30000.0</v>
      </c>
      <c r="T828" s="3" t="s">
        <v>62</v>
      </c>
      <c r="U828" s="3">
        <v>30000.0</v>
      </c>
      <c r="V828" s="5">
        <f>(DATE(2026,2,3)-'RICE_Insured Farms_with PPI Pol'!$G828)+IF('RICE_Insured Farms_with PPI Pol'!$H828&lt;&gt;'RICE_Insured Farms_with PPI Pol'!$G828,18,0)</f>
        <v>44</v>
      </c>
      <c r="W828" s="3" t="str">
        <f t="array" ref="W828">IFS(V828&gt;120, "Harvested", V828&gt;=113, "Yellow Ripening", V828&gt;=101, "Dough Stage", V828&gt;=93, "Milking Stage", V828&gt;=86, "Flowering", V828&gt;=56, "Panicle Initiation/Booting", V828&lt;56, "Vegetative/Tillering")</f>
        <v>Vegetative/Tillering</v>
      </c>
    </row>
    <row r="829" ht="15.75" hidden="1" customHeight="1">
      <c r="A829" s="3">
        <v>1187.0</v>
      </c>
      <c r="B829" s="3" t="s">
        <v>23</v>
      </c>
      <c r="C829" s="3" t="s">
        <v>24</v>
      </c>
      <c r="D829" s="3" t="s">
        <v>25</v>
      </c>
      <c r="E829" s="3" t="s">
        <v>1164</v>
      </c>
      <c r="F829" s="3">
        <v>1761010.0</v>
      </c>
      <c r="G829" s="4">
        <v>46017.0</v>
      </c>
      <c r="H829" s="4">
        <v>46110.0</v>
      </c>
      <c r="I829" s="3" t="s">
        <v>2348</v>
      </c>
      <c r="J829" s="3" t="s">
        <v>426</v>
      </c>
      <c r="K829" s="3" t="s">
        <v>2349</v>
      </c>
      <c r="L829" s="3">
        <v>1.4429</v>
      </c>
      <c r="M829" s="3">
        <v>36072.5</v>
      </c>
      <c r="N829" s="3">
        <v>4.0</v>
      </c>
      <c r="O829" s="3">
        <v>391157.0</v>
      </c>
      <c r="P829" s="3" t="s">
        <v>2350</v>
      </c>
      <c r="Q829" s="3">
        <v>1329820.0</v>
      </c>
      <c r="R829" s="3"/>
      <c r="S829" s="3">
        <v>28858.0</v>
      </c>
      <c r="T829" s="3" t="s">
        <v>56</v>
      </c>
      <c r="U829" s="3">
        <v>28858.0</v>
      </c>
      <c r="V829" s="5">
        <f>(DATE(2026,2,3)-'RICE_Insured Farms_with PPI Pol'!$G829)+IF('RICE_Insured Farms_with PPI Pol'!$H829&lt;&gt;'RICE_Insured Farms_with PPI Pol'!$G829,18,0)</f>
        <v>57</v>
      </c>
      <c r="W829" s="3" t="str">
        <f t="array" ref="W829">IFS(V829&gt;120, "Harvested", V829&gt;=113, "Yellow Ripening", V829&gt;=101, "Dough Stage", V829&gt;=93, "Milking Stage", V829&gt;=86, "Flowering", V829&gt;=56, "Panicle Initiation/Booting", V829&lt;56, "Vegetative/Tillering")</f>
        <v>Panicle Initiation/Booting</v>
      </c>
    </row>
    <row r="830" ht="15.75" customHeight="1">
      <c r="A830" s="3">
        <v>829.0</v>
      </c>
      <c r="B830" s="3" t="s">
        <v>23</v>
      </c>
      <c r="C830" s="3" t="s">
        <v>68</v>
      </c>
      <c r="D830" s="3" t="s">
        <v>289</v>
      </c>
      <c r="E830" s="3" t="s">
        <v>2291</v>
      </c>
      <c r="F830" s="3">
        <v>1760027.0</v>
      </c>
      <c r="G830" s="4">
        <v>46021.0</v>
      </c>
      <c r="H830" s="4">
        <v>46123.0</v>
      </c>
      <c r="I830" s="3" t="s">
        <v>2351</v>
      </c>
      <c r="J830" s="3" t="s">
        <v>2352</v>
      </c>
      <c r="K830" s="3" t="s">
        <v>1195</v>
      </c>
      <c r="L830" s="3">
        <v>0.5912</v>
      </c>
      <c r="M830" s="3">
        <v>14780.0</v>
      </c>
      <c r="N830" s="3">
        <v>3.0</v>
      </c>
      <c r="O830" s="3">
        <v>437101.0</v>
      </c>
      <c r="P830" s="3" t="s">
        <v>2353</v>
      </c>
      <c r="Q830" s="3">
        <v>1277225.0</v>
      </c>
      <c r="R830" s="3"/>
      <c r="S830" s="3">
        <v>11824.0</v>
      </c>
      <c r="T830" s="3" t="s">
        <v>37</v>
      </c>
      <c r="U830" s="3">
        <v>11824.0</v>
      </c>
      <c r="V830" s="5">
        <f>(DATE(2026,2,3)-'RICE_Insured Farms_with PPI Pol'!$G830)+IF('RICE_Insured Farms_with PPI Pol'!$H830&lt;&gt;'RICE_Insured Farms_with PPI Pol'!$G830,18,0)</f>
        <v>53</v>
      </c>
      <c r="W830" s="3" t="str">
        <f t="array" ref="W830">IFS(V830&gt;120, "Harvested", V830&gt;=113, "Yellow Ripening", V830&gt;=101, "Dough Stage", V830&gt;=93, "Milking Stage", V830&gt;=86, "Flowering", V830&gt;=56, "Panicle Initiation/Booting", V830&lt;56, "Vegetative/Tillering")</f>
        <v>Vegetative/Tillering</v>
      </c>
    </row>
    <row r="831" ht="15.75" hidden="1" customHeight="1">
      <c r="A831" s="3">
        <v>830.0</v>
      </c>
      <c r="B831" s="3" t="s">
        <v>23</v>
      </c>
      <c r="C831" s="3" t="s">
        <v>68</v>
      </c>
      <c r="D831" s="3" t="s">
        <v>289</v>
      </c>
      <c r="E831" s="3" t="s">
        <v>290</v>
      </c>
      <c r="F831" s="3">
        <v>1760046.0</v>
      </c>
      <c r="G831" s="4">
        <v>46041.0</v>
      </c>
      <c r="H831" s="4">
        <v>46143.0</v>
      </c>
      <c r="I831" s="3" t="s">
        <v>929</v>
      </c>
      <c r="J831" s="3" t="s">
        <v>2354</v>
      </c>
      <c r="K831" s="3" t="s">
        <v>1117</v>
      </c>
      <c r="L831" s="3">
        <v>0.2115</v>
      </c>
      <c r="M831" s="3">
        <v>5287.5</v>
      </c>
      <c r="N831" s="3">
        <v>2.0</v>
      </c>
      <c r="O831" s="3">
        <v>119619.0</v>
      </c>
      <c r="P831" s="3" t="s">
        <v>2355</v>
      </c>
      <c r="Q831" s="3">
        <v>1323131.0</v>
      </c>
      <c r="R831" s="3"/>
      <c r="S831" s="3">
        <v>3701.25</v>
      </c>
      <c r="T831" s="3" t="s">
        <v>31</v>
      </c>
      <c r="U831" s="3">
        <v>3701.25</v>
      </c>
      <c r="V831" s="5">
        <f>(DATE(2026,2,3)-'RICE_Insured Farms_with PPI Pol'!$G831)+IF('RICE_Insured Farms_with PPI Pol'!$H831&lt;&gt;'RICE_Insured Farms_with PPI Pol'!$G831,18,0)</f>
        <v>33</v>
      </c>
      <c r="W831" s="3" t="str">
        <f t="array" ref="W831">IFS(V831&gt;120, "Harvested", V831&gt;=113, "Yellow Ripening", V831&gt;=101, "Dough Stage", V831&gt;=93, "Milking Stage", V831&gt;=86, "Flowering", V831&gt;=56, "Panicle Initiation/Booting", V831&lt;56, "Vegetative/Tillering")</f>
        <v>Vegetative/Tillering</v>
      </c>
    </row>
    <row r="832" ht="15.75" hidden="1" customHeight="1">
      <c r="A832" s="3">
        <v>1193.0</v>
      </c>
      <c r="B832" s="3" t="s">
        <v>23</v>
      </c>
      <c r="C832" s="3" t="s">
        <v>24</v>
      </c>
      <c r="D832" s="3" t="s">
        <v>25</v>
      </c>
      <c r="E832" s="3" t="s">
        <v>1164</v>
      </c>
      <c r="F832" s="3">
        <v>1761008.0</v>
      </c>
      <c r="G832" s="4">
        <v>46013.0</v>
      </c>
      <c r="H832" s="4">
        <v>46108.0</v>
      </c>
      <c r="I832" s="3" t="s">
        <v>2082</v>
      </c>
      <c r="J832" s="3" t="s">
        <v>296</v>
      </c>
      <c r="K832" s="3" t="s">
        <v>2356</v>
      </c>
      <c r="L832" s="3">
        <v>1.007</v>
      </c>
      <c r="M832" s="3">
        <v>25175.0</v>
      </c>
      <c r="N832" s="3">
        <v>4.0</v>
      </c>
      <c r="O832" s="3">
        <v>131803.0</v>
      </c>
      <c r="P832" s="3"/>
      <c r="Q832" s="3">
        <v>1330915.0</v>
      </c>
      <c r="R832" s="3"/>
      <c r="S832" s="3">
        <v>20140.0</v>
      </c>
      <c r="T832" s="3" t="s">
        <v>56</v>
      </c>
      <c r="U832" s="3">
        <v>20140.0</v>
      </c>
      <c r="V832" s="5">
        <f>(DATE(2026,2,3)-'RICE_Insured Farms_with PPI Pol'!$G832)+IF('RICE_Insured Farms_with PPI Pol'!$H832&lt;&gt;'RICE_Insured Farms_with PPI Pol'!$G832,18,0)</f>
        <v>61</v>
      </c>
      <c r="W832" s="3" t="str">
        <f t="array" ref="W832">IFS(V832&gt;120, "Harvested", V832&gt;=113, "Yellow Ripening", V832&gt;=101, "Dough Stage", V832&gt;=93, "Milking Stage", V832&gt;=86, "Flowering", V832&gt;=56, "Panicle Initiation/Booting", V832&lt;56, "Vegetative/Tillering")</f>
        <v>Panicle Initiation/Booting</v>
      </c>
    </row>
    <row r="833" ht="15.75" customHeight="1">
      <c r="A833" s="3">
        <v>832.0</v>
      </c>
      <c r="B833" s="3" t="s">
        <v>23</v>
      </c>
      <c r="C833" s="3" t="s">
        <v>50</v>
      </c>
      <c r="D833" s="3" t="s">
        <v>1484</v>
      </c>
      <c r="E833" s="3" t="s">
        <v>1485</v>
      </c>
      <c r="F833" s="3">
        <v>1741846.0</v>
      </c>
      <c r="G833" s="4">
        <v>46019.0</v>
      </c>
      <c r="H833" s="4">
        <v>46114.0</v>
      </c>
      <c r="I833" s="3" t="s">
        <v>2357</v>
      </c>
      <c r="J833" s="3" t="s">
        <v>2358</v>
      </c>
      <c r="K833" s="3" t="s">
        <v>2359</v>
      </c>
      <c r="L833" s="3">
        <v>1.1814</v>
      </c>
      <c r="M833" s="3">
        <v>29535.0</v>
      </c>
      <c r="N833" s="3">
        <v>3.0</v>
      </c>
      <c r="O833" s="3">
        <v>391154.0</v>
      </c>
      <c r="P833" s="3" t="s">
        <v>2360</v>
      </c>
      <c r="Q833" s="3">
        <v>1279553.0</v>
      </c>
      <c r="R833" s="3"/>
      <c r="S833" s="3">
        <v>23628.0</v>
      </c>
      <c r="T833" s="3" t="s">
        <v>37</v>
      </c>
      <c r="U833" s="3">
        <v>23628.0</v>
      </c>
      <c r="V833" s="5">
        <f>(DATE(2026,2,3)-'RICE_Insured Farms_with PPI Pol'!$G833)+IF('RICE_Insured Farms_with PPI Pol'!$H833&lt;&gt;'RICE_Insured Farms_with PPI Pol'!$G833,18,0)</f>
        <v>55</v>
      </c>
      <c r="W833" s="3" t="str">
        <f t="array" ref="W833">IFS(V833&gt;120, "Harvested", V833&gt;=113, "Yellow Ripening", V833&gt;=101, "Dough Stage", V833&gt;=93, "Milking Stage", V833&gt;=86, "Flowering", V833&gt;=56, "Panicle Initiation/Booting", V833&lt;56, "Vegetative/Tillering")</f>
        <v>Vegetative/Tillering</v>
      </c>
    </row>
    <row r="834" ht="15.75" customHeight="1">
      <c r="A834" s="3">
        <v>833.0</v>
      </c>
      <c r="B834" s="3" t="s">
        <v>23</v>
      </c>
      <c r="C834" s="3" t="s">
        <v>50</v>
      </c>
      <c r="D834" s="3" t="s">
        <v>1484</v>
      </c>
      <c r="E834" s="3" t="s">
        <v>1485</v>
      </c>
      <c r="F834" s="3">
        <v>1741846.0</v>
      </c>
      <c r="G834" s="4">
        <v>46018.0</v>
      </c>
      <c r="H834" s="4">
        <v>46113.0</v>
      </c>
      <c r="I834" s="3" t="s">
        <v>2357</v>
      </c>
      <c r="J834" s="3" t="s">
        <v>2358</v>
      </c>
      <c r="K834" s="3" t="s">
        <v>2359</v>
      </c>
      <c r="L834" s="3">
        <v>0.2599</v>
      </c>
      <c r="M834" s="3">
        <v>6497.5</v>
      </c>
      <c r="N834" s="3">
        <v>3.0</v>
      </c>
      <c r="O834" s="3">
        <v>391154.0</v>
      </c>
      <c r="P834" s="3" t="s">
        <v>2360</v>
      </c>
      <c r="Q834" s="3">
        <v>1279555.0</v>
      </c>
      <c r="R834" s="3"/>
      <c r="S834" s="3">
        <v>5198.0</v>
      </c>
      <c r="T834" s="3" t="s">
        <v>37</v>
      </c>
      <c r="U834" s="3">
        <v>5198.0</v>
      </c>
      <c r="V834" s="5">
        <f>(DATE(2026,2,3)-'RICE_Insured Farms_with PPI Pol'!$G834)+IF('RICE_Insured Farms_with PPI Pol'!$H834&lt;&gt;'RICE_Insured Farms_with PPI Pol'!$G834,18,0)</f>
        <v>56</v>
      </c>
      <c r="W834" s="3" t="str">
        <f t="array" ref="W834">IFS(V834&gt;120, "Harvested", V834&gt;=113, "Yellow Ripening", V834&gt;=101, "Dough Stage", V834&gt;=93, "Milking Stage", V834&gt;=86, "Flowering", V834&gt;=56, "Panicle Initiation/Booting", V834&lt;56, "Vegetative/Tillering")</f>
        <v>Panicle Initiation/Booting</v>
      </c>
    </row>
    <row r="835" ht="15.75" hidden="1" customHeight="1">
      <c r="A835" s="3">
        <v>834.0</v>
      </c>
      <c r="B835" s="3" t="s">
        <v>23</v>
      </c>
      <c r="C835" s="3" t="s">
        <v>68</v>
      </c>
      <c r="D835" s="3" t="s">
        <v>289</v>
      </c>
      <c r="E835" s="3" t="s">
        <v>290</v>
      </c>
      <c r="F835" s="3">
        <v>1760035.0</v>
      </c>
      <c r="G835" s="4">
        <v>46025.0</v>
      </c>
      <c r="H835" s="4">
        <v>46127.0</v>
      </c>
      <c r="I835" s="3" t="s">
        <v>2361</v>
      </c>
      <c r="J835" s="3" t="s">
        <v>527</v>
      </c>
      <c r="K835" s="3" t="s">
        <v>2028</v>
      </c>
      <c r="L835" s="3">
        <v>0.2781</v>
      </c>
      <c r="M835" s="3">
        <v>6952.5</v>
      </c>
      <c r="N835" s="3">
        <v>2.0</v>
      </c>
      <c r="O835" s="3">
        <v>119568.0</v>
      </c>
      <c r="P835" s="3"/>
      <c r="Q835" s="3">
        <v>1280384.0</v>
      </c>
      <c r="R835" s="3"/>
      <c r="S835" s="3">
        <v>4866.75</v>
      </c>
      <c r="T835" s="3" t="s">
        <v>31</v>
      </c>
      <c r="U835" s="3">
        <v>4866.75</v>
      </c>
      <c r="V835" s="5">
        <f>(DATE(2026,2,3)-'RICE_Insured Farms_with PPI Pol'!$G835)+IF('RICE_Insured Farms_with PPI Pol'!$H835&lt;&gt;'RICE_Insured Farms_with PPI Pol'!$G835,18,0)</f>
        <v>49</v>
      </c>
      <c r="W835" s="3" t="str">
        <f t="array" ref="W835">IFS(V835&gt;120, "Harvested", V835&gt;=113, "Yellow Ripening", V835&gt;=101, "Dough Stage", V835&gt;=93, "Milking Stage", V835&gt;=86, "Flowering", V835&gt;=56, "Panicle Initiation/Booting", V835&lt;56, "Vegetative/Tillering")</f>
        <v>Vegetative/Tillering</v>
      </c>
    </row>
    <row r="836" ht="15.75" hidden="1" customHeight="1">
      <c r="A836" s="3">
        <v>835.0</v>
      </c>
      <c r="B836" s="3" t="s">
        <v>23</v>
      </c>
      <c r="C836" s="3" t="s">
        <v>68</v>
      </c>
      <c r="D836" s="3" t="s">
        <v>289</v>
      </c>
      <c r="E836" s="3" t="s">
        <v>352</v>
      </c>
      <c r="F836" s="3">
        <v>1760050.0</v>
      </c>
      <c r="G836" s="4">
        <v>46035.0</v>
      </c>
      <c r="H836" s="4">
        <v>46137.0</v>
      </c>
      <c r="I836" s="3" t="s">
        <v>941</v>
      </c>
      <c r="J836" s="3" t="s">
        <v>753</v>
      </c>
      <c r="K836" s="3" t="s">
        <v>688</v>
      </c>
      <c r="L836" s="3">
        <v>0.0603</v>
      </c>
      <c r="M836" s="3">
        <v>1507.5</v>
      </c>
      <c r="N836" s="3">
        <v>2.0</v>
      </c>
      <c r="O836" s="3">
        <v>195604.0</v>
      </c>
      <c r="P836" s="3" t="s">
        <v>942</v>
      </c>
      <c r="Q836" s="3">
        <v>1286166.0</v>
      </c>
      <c r="R836" s="3"/>
      <c r="S836" s="3">
        <v>1055.25</v>
      </c>
      <c r="T836" s="3" t="s">
        <v>31</v>
      </c>
      <c r="U836" s="3">
        <v>1055.25</v>
      </c>
      <c r="V836" s="5">
        <f>(DATE(2026,2,3)-'RICE_Insured Farms_with PPI Pol'!$G836)+IF('RICE_Insured Farms_with PPI Pol'!$H836&lt;&gt;'RICE_Insured Farms_with PPI Pol'!$G836,18,0)</f>
        <v>39</v>
      </c>
      <c r="W836" s="3" t="str">
        <f t="array" ref="W836">IFS(V836&gt;120, "Harvested", V836&gt;=113, "Yellow Ripening", V836&gt;=101, "Dough Stage", V836&gt;=93, "Milking Stage", V836&gt;=86, "Flowering", V836&gt;=56, "Panicle Initiation/Booting", V836&lt;56, "Vegetative/Tillering")</f>
        <v>Vegetative/Tillering</v>
      </c>
    </row>
    <row r="837" ht="15.75" customHeight="1">
      <c r="A837" s="3">
        <v>836.0</v>
      </c>
      <c r="B837" s="3" t="s">
        <v>23</v>
      </c>
      <c r="C837" s="3" t="s">
        <v>50</v>
      </c>
      <c r="D837" s="3" t="s">
        <v>51</v>
      </c>
      <c r="E837" s="3" t="s">
        <v>321</v>
      </c>
      <c r="F837" s="3">
        <v>1741851.0</v>
      </c>
      <c r="G837" s="4">
        <v>46026.0</v>
      </c>
      <c r="H837" s="4">
        <v>46121.0</v>
      </c>
      <c r="I837" s="3" t="s">
        <v>2362</v>
      </c>
      <c r="J837" s="3" t="s">
        <v>308</v>
      </c>
      <c r="K837" s="3" t="s">
        <v>2363</v>
      </c>
      <c r="L837" s="3">
        <v>0.425</v>
      </c>
      <c r="M837" s="3">
        <v>10625.0</v>
      </c>
      <c r="N837" s="3">
        <v>3.0</v>
      </c>
      <c r="O837" s="3">
        <v>137840.0</v>
      </c>
      <c r="P837" s="3" t="s">
        <v>2364</v>
      </c>
      <c r="Q837" s="3">
        <v>1294736.0</v>
      </c>
      <c r="R837" s="3"/>
      <c r="S837" s="3">
        <v>8500.0</v>
      </c>
      <c r="T837" s="3" t="s">
        <v>37</v>
      </c>
      <c r="U837" s="3">
        <v>8500.0</v>
      </c>
      <c r="V837" s="5">
        <f>(DATE(2026,2,3)-'RICE_Insured Farms_with PPI Pol'!$G837)+IF('RICE_Insured Farms_with PPI Pol'!$H837&lt;&gt;'RICE_Insured Farms_with PPI Pol'!$G837,18,0)</f>
        <v>48</v>
      </c>
      <c r="W837" s="3" t="str">
        <f t="array" ref="W837">IFS(V837&gt;120, "Harvested", V837&gt;=113, "Yellow Ripening", V837&gt;=101, "Dough Stage", V837&gt;=93, "Milking Stage", V837&gt;=86, "Flowering", V837&gt;=56, "Panicle Initiation/Booting", V837&lt;56, "Vegetative/Tillering")</f>
        <v>Vegetative/Tillering</v>
      </c>
    </row>
    <row r="838" ht="15.75" hidden="1" customHeight="1">
      <c r="A838" s="3">
        <v>837.0</v>
      </c>
      <c r="B838" s="3" t="s">
        <v>23</v>
      </c>
      <c r="C838" s="3" t="s">
        <v>68</v>
      </c>
      <c r="D838" s="3" t="s">
        <v>289</v>
      </c>
      <c r="E838" s="3" t="s">
        <v>743</v>
      </c>
      <c r="F838" s="3">
        <v>1760012.0</v>
      </c>
      <c r="G838" s="4">
        <v>46042.0</v>
      </c>
      <c r="H838" s="4">
        <v>46144.0</v>
      </c>
      <c r="I838" s="3" t="s">
        <v>1964</v>
      </c>
      <c r="J838" s="3" t="s">
        <v>2365</v>
      </c>
      <c r="K838" s="3" t="s">
        <v>211</v>
      </c>
      <c r="L838" s="3">
        <v>0.71</v>
      </c>
      <c r="M838" s="3">
        <v>17750.0</v>
      </c>
      <c r="N838" s="3">
        <v>2.0</v>
      </c>
      <c r="O838" s="3">
        <v>21073.0</v>
      </c>
      <c r="P838" s="3" t="s">
        <v>2366</v>
      </c>
      <c r="Q838" s="3">
        <v>1035822.0</v>
      </c>
      <c r="R838" s="3"/>
      <c r="S838" s="3">
        <v>12425.0</v>
      </c>
      <c r="T838" s="3" t="s">
        <v>31</v>
      </c>
      <c r="U838" s="3">
        <v>12425.0</v>
      </c>
      <c r="V838" s="5">
        <f>(DATE(2026,2,3)-'RICE_Insured Farms_with PPI Pol'!$G838)+IF('RICE_Insured Farms_with PPI Pol'!$H838&lt;&gt;'RICE_Insured Farms_with PPI Pol'!$G838,18,0)</f>
        <v>32</v>
      </c>
      <c r="W838" s="3" t="str">
        <f t="array" ref="W838">IFS(V838&gt;120, "Harvested", V838&gt;=113, "Yellow Ripening", V838&gt;=101, "Dough Stage", V838&gt;=93, "Milking Stage", V838&gt;=86, "Flowering", V838&gt;=56, "Panicle Initiation/Booting", V838&lt;56, "Vegetative/Tillering")</f>
        <v>Vegetative/Tillering</v>
      </c>
    </row>
    <row r="839" ht="15.75" hidden="1" customHeight="1">
      <c r="A839" s="3">
        <v>838.0</v>
      </c>
      <c r="B839" s="3" t="s">
        <v>23</v>
      </c>
      <c r="C839" s="3" t="s">
        <v>68</v>
      </c>
      <c r="D839" s="3" t="s">
        <v>289</v>
      </c>
      <c r="E839" s="3" t="s">
        <v>743</v>
      </c>
      <c r="F839" s="3">
        <v>1760012.0</v>
      </c>
      <c r="G839" s="4">
        <v>46042.0</v>
      </c>
      <c r="H839" s="4">
        <v>46144.0</v>
      </c>
      <c r="I839" s="3" t="s">
        <v>1964</v>
      </c>
      <c r="J839" s="3" t="s">
        <v>2365</v>
      </c>
      <c r="K839" s="3" t="s">
        <v>211</v>
      </c>
      <c r="L839" s="3">
        <v>0.71</v>
      </c>
      <c r="M839" s="3">
        <v>17750.0</v>
      </c>
      <c r="N839" s="3">
        <v>2.0</v>
      </c>
      <c r="O839" s="3">
        <v>21073.0</v>
      </c>
      <c r="P839" s="3" t="s">
        <v>2366</v>
      </c>
      <c r="Q839" s="3">
        <v>1035822.0</v>
      </c>
      <c r="R839" s="3"/>
      <c r="S839" s="3">
        <v>12425.0</v>
      </c>
      <c r="T839" s="3" t="s">
        <v>31</v>
      </c>
      <c r="U839" s="3">
        <v>12425.0</v>
      </c>
      <c r="V839" s="5">
        <f>(DATE(2026,2,3)-'RICE_Insured Farms_with PPI Pol'!$G839)+IF('RICE_Insured Farms_with PPI Pol'!$H839&lt;&gt;'RICE_Insured Farms_with PPI Pol'!$G839,18,0)</f>
        <v>32</v>
      </c>
      <c r="W839" s="3" t="str">
        <f t="array" ref="W839">IFS(V839&gt;120, "Harvested", V839&gt;=113, "Yellow Ripening", V839&gt;=101, "Dough Stage", V839&gt;=93, "Milking Stage", V839&gt;=86, "Flowering", V839&gt;=56, "Panicle Initiation/Booting", V839&lt;56, "Vegetative/Tillering")</f>
        <v>Vegetative/Tillering</v>
      </c>
    </row>
    <row r="840" ht="15.75" hidden="1" customHeight="1">
      <c r="A840" s="3">
        <v>839.0</v>
      </c>
      <c r="B840" s="3" t="s">
        <v>23</v>
      </c>
      <c r="C840" s="3" t="s">
        <v>68</v>
      </c>
      <c r="D840" s="3" t="s">
        <v>289</v>
      </c>
      <c r="E840" s="3" t="s">
        <v>507</v>
      </c>
      <c r="F840" s="3">
        <v>1760030.0</v>
      </c>
      <c r="G840" s="4">
        <v>46029.0</v>
      </c>
      <c r="H840" s="4">
        <v>46131.0</v>
      </c>
      <c r="I840" s="3" t="s">
        <v>2367</v>
      </c>
      <c r="J840" s="3" t="s">
        <v>2368</v>
      </c>
      <c r="K840" s="3" t="s">
        <v>2369</v>
      </c>
      <c r="L840" s="3">
        <v>0.15</v>
      </c>
      <c r="M840" s="3">
        <v>3750.0</v>
      </c>
      <c r="N840" s="3">
        <v>2.0</v>
      </c>
      <c r="O840" s="3">
        <v>358233.0</v>
      </c>
      <c r="P840" s="3" t="s">
        <v>2370</v>
      </c>
      <c r="Q840" s="3">
        <v>780268.0</v>
      </c>
      <c r="R840" s="3"/>
      <c r="S840" s="3">
        <v>2625.0</v>
      </c>
      <c r="T840" s="3" t="s">
        <v>31</v>
      </c>
      <c r="U840" s="3">
        <v>2625.0</v>
      </c>
      <c r="V840" s="5">
        <f>(DATE(2026,2,3)-'RICE_Insured Farms_with PPI Pol'!$G840)+IF('RICE_Insured Farms_with PPI Pol'!$H840&lt;&gt;'RICE_Insured Farms_with PPI Pol'!$G840,18,0)</f>
        <v>45</v>
      </c>
      <c r="W840" s="3" t="str">
        <f t="array" ref="W840">IFS(V840&gt;120, "Harvested", V840&gt;=113, "Yellow Ripening", V840&gt;=101, "Dough Stage", V840&gt;=93, "Milking Stage", V840&gt;=86, "Flowering", V840&gt;=56, "Panicle Initiation/Booting", V840&lt;56, "Vegetative/Tillering")</f>
        <v>Vegetative/Tillering</v>
      </c>
    </row>
    <row r="841" ht="15.75" hidden="1" customHeight="1">
      <c r="A841" s="3">
        <v>840.0</v>
      </c>
      <c r="B841" s="3" t="s">
        <v>23</v>
      </c>
      <c r="C841" s="3" t="s">
        <v>1453</v>
      </c>
      <c r="D841" s="3" t="s">
        <v>1454</v>
      </c>
      <c r="E841" s="3" t="s">
        <v>1455</v>
      </c>
      <c r="F841" s="3">
        <v>1742045.0</v>
      </c>
      <c r="G841" s="4">
        <v>46032.0</v>
      </c>
      <c r="H841" s="4">
        <v>46134.0</v>
      </c>
      <c r="I841" s="3" t="s">
        <v>2232</v>
      </c>
      <c r="J841" s="3" t="s">
        <v>2371</v>
      </c>
      <c r="K841" s="3" t="s">
        <v>1599</v>
      </c>
      <c r="L841" s="3">
        <v>0.4676</v>
      </c>
      <c r="M841" s="3">
        <v>11690.0</v>
      </c>
      <c r="N841" s="3">
        <v>2.0</v>
      </c>
      <c r="O841" s="3">
        <v>83995.0</v>
      </c>
      <c r="P841" s="3" t="s">
        <v>2372</v>
      </c>
      <c r="Q841" s="3">
        <v>1318701.0</v>
      </c>
      <c r="R841" s="3"/>
      <c r="S841" s="3">
        <v>8183.0</v>
      </c>
      <c r="T841" s="3" t="s">
        <v>31</v>
      </c>
      <c r="U841" s="3">
        <v>8183.0</v>
      </c>
      <c r="V841" s="5">
        <f>(DATE(2026,2,3)-'RICE_Insured Farms_with PPI Pol'!$G841)+IF('RICE_Insured Farms_with PPI Pol'!$H841&lt;&gt;'RICE_Insured Farms_with PPI Pol'!$G841,18,0)</f>
        <v>42</v>
      </c>
      <c r="W841" s="3" t="str">
        <f t="array" ref="W841">IFS(V841&gt;120, "Harvested", V841&gt;=113, "Yellow Ripening", V841&gt;=101, "Dough Stage", V841&gt;=93, "Milking Stage", V841&gt;=86, "Flowering", V841&gt;=56, "Panicle Initiation/Booting", V841&lt;56, "Vegetative/Tillering")</f>
        <v>Vegetative/Tillering</v>
      </c>
    </row>
    <row r="842" ht="15.75" hidden="1" customHeight="1">
      <c r="A842" s="3">
        <v>841.0</v>
      </c>
      <c r="B842" s="3" t="s">
        <v>23</v>
      </c>
      <c r="C842" s="3" t="s">
        <v>1453</v>
      </c>
      <c r="D842" s="3" t="s">
        <v>1454</v>
      </c>
      <c r="E842" s="3" t="s">
        <v>1455</v>
      </c>
      <c r="F842" s="3">
        <v>1742045.0</v>
      </c>
      <c r="G842" s="4">
        <v>46027.0</v>
      </c>
      <c r="H842" s="4">
        <v>46129.0</v>
      </c>
      <c r="I842" s="3" t="s">
        <v>2232</v>
      </c>
      <c r="J842" s="3" t="s">
        <v>2373</v>
      </c>
      <c r="K842" s="3" t="s">
        <v>2374</v>
      </c>
      <c r="L842" s="3">
        <v>0.2325</v>
      </c>
      <c r="M842" s="3">
        <v>5812.5</v>
      </c>
      <c r="N842" s="3">
        <v>2.0</v>
      </c>
      <c r="O842" s="3">
        <v>449184.0</v>
      </c>
      <c r="P842" s="3"/>
      <c r="Q842" s="3">
        <v>1030853.0</v>
      </c>
      <c r="R842" s="3"/>
      <c r="S842" s="3">
        <v>4068.75</v>
      </c>
      <c r="T842" s="3" t="s">
        <v>31</v>
      </c>
      <c r="U842" s="3">
        <v>4068.75</v>
      </c>
      <c r="V842" s="5">
        <f>(DATE(2026,2,3)-'RICE_Insured Farms_with PPI Pol'!$G842)+IF('RICE_Insured Farms_with PPI Pol'!$H842&lt;&gt;'RICE_Insured Farms_with PPI Pol'!$G842,18,0)</f>
        <v>47</v>
      </c>
      <c r="W842" s="3" t="str">
        <f t="array" ref="W842">IFS(V842&gt;120, "Harvested", V842&gt;=113, "Yellow Ripening", V842&gt;=101, "Dough Stage", V842&gt;=93, "Milking Stage", V842&gt;=86, "Flowering", V842&gt;=56, "Panicle Initiation/Booting", V842&lt;56, "Vegetative/Tillering")</f>
        <v>Vegetative/Tillering</v>
      </c>
    </row>
    <row r="843" ht="15.75" customHeight="1">
      <c r="A843" s="3">
        <v>842.0</v>
      </c>
      <c r="B843" s="3" t="s">
        <v>23</v>
      </c>
      <c r="C843" s="3" t="s">
        <v>68</v>
      </c>
      <c r="D843" s="3" t="s">
        <v>289</v>
      </c>
      <c r="E843" s="3" t="s">
        <v>1535</v>
      </c>
      <c r="F843" s="3">
        <v>1760009.0</v>
      </c>
      <c r="G843" s="4">
        <v>46019.0</v>
      </c>
      <c r="H843" s="4">
        <v>46121.0</v>
      </c>
      <c r="I843" s="3" t="s">
        <v>2375</v>
      </c>
      <c r="J843" s="3" t="s">
        <v>599</v>
      </c>
      <c r="K843" s="3" t="s">
        <v>1547</v>
      </c>
      <c r="L843" s="3">
        <v>0.5101</v>
      </c>
      <c r="M843" s="3">
        <v>12752.5</v>
      </c>
      <c r="N843" s="3">
        <v>3.0</v>
      </c>
      <c r="O843" s="3">
        <v>77677.0</v>
      </c>
      <c r="P843" s="3"/>
      <c r="Q843" s="3">
        <v>1024430.0</v>
      </c>
      <c r="R843" s="3"/>
      <c r="S843" s="3">
        <v>10202.0</v>
      </c>
      <c r="T843" s="3" t="s">
        <v>37</v>
      </c>
      <c r="U843" s="3">
        <v>10202.0</v>
      </c>
      <c r="V843" s="5">
        <f>(DATE(2026,2,3)-'RICE_Insured Farms_with PPI Pol'!$G843)+IF('RICE_Insured Farms_with PPI Pol'!$H843&lt;&gt;'RICE_Insured Farms_with PPI Pol'!$G843,18,0)</f>
        <v>55</v>
      </c>
      <c r="W843" s="3" t="str">
        <f t="array" ref="W843">IFS(V843&gt;120, "Harvested", V843&gt;=113, "Yellow Ripening", V843&gt;=101, "Dough Stage", V843&gt;=93, "Milking Stage", V843&gt;=86, "Flowering", V843&gt;=56, "Panicle Initiation/Booting", V843&lt;56, "Vegetative/Tillering")</f>
        <v>Vegetative/Tillering</v>
      </c>
    </row>
    <row r="844" ht="15.75" customHeight="1">
      <c r="A844" s="3">
        <v>843.0</v>
      </c>
      <c r="B844" s="3" t="s">
        <v>23</v>
      </c>
      <c r="C844" s="3" t="s">
        <v>68</v>
      </c>
      <c r="D844" s="3" t="s">
        <v>122</v>
      </c>
      <c r="E844" s="3" t="s">
        <v>376</v>
      </c>
      <c r="F844" s="3">
        <v>1196931.0</v>
      </c>
      <c r="G844" s="4">
        <v>46011.0</v>
      </c>
      <c r="H844" s="4">
        <v>46113.0</v>
      </c>
      <c r="I844" s="3" t="s">
        <v>2376</v>
      </c>
      <c r="J844" s="3" t="s">
        <v>1537</v>
      </c>
      <c r="K844" s="3" t="s">
        <v>1792</v>
      </c>
      <c r="L844" s="3">
        <v>0.2174</v>
      </c>
      <c r="M844" s="3">
        <v>5435.0</v>
      </c>
      <c r="N844" s="3">
        <v>3.0</v>
      </c>
      <c r="O844" s="3">
        <v>357554.0</v>
      </c>
      <c r="P844" s="3" t="s">
        <v>2377</v>
      </c>
      <c r="Q844" s="3">
        <v>1192303.0</v>
      </c>
      <c r="R844" s="3"/>
      <c r="S844" s="3">
        <v>4348.0</v>
      </c>
      <c r="T844" s="3" t="s">
        <v>37</v>
      </c>
      <c r="U844" s="3">
        <v>4348.0</v>
      </c>
      <c r="V844" s="5">
        <f>(DATE(2026,2,3)-'RICE_Insured Farms_with PPI Pol'!$G844)+IF('RICE_Insured Farms_with PPI Pol'!$H844&lt;&gt;'RICE_Insured Farms_with PPI Pol'!$G844,18,0)</f>
        <v>63</v>
      </c>
      <c r="W844" s="3" t="str">
        <f t="array" ref="W844">IFS(V844&gt;120, "Harvested", V844&gt;=113, "Yellow Ripening", V844&gt;=101, "Dough Stage", V844&gt;=93, "Milking Stage", V844&gt;=86, "Flowering", V844&gt;=56, "Panicle Initiation/Booting", V844&lt;56, "Vegetative/Tillering")</f>
        <v>Panicle Initiation/Booting</v>
      </c>
    </row>
    <row r="845" ht="15.75" customHeight="1">
      <c r="A845" s="3">
        <v>844.0</v>
      </c>
      <c r="B845" s="3" t="s">
        <v>23</v>
      </c>
      <c r="C845" s="3" t="s">
        <v>68</v>
      </c>
      <c r="D845" s="3" t="s">
        <v>122</v>
      </c>
      <c r="E845" s="3" t="s">
        <v>376</v>
      </c>
      <c r="F845" s="3">
        <v>1196931.0</v>
      </c>
      <c r="G845" s="4">
        <v>46011.0</v>
      </c>
      <c r="H845" s="4">
        <v>46113.0</v>
      </c>
      <c r="I845" s="3" t="s">
        <v>2376</v>
      </c>
      <c r="J845" s="3" t="s">
        <v>1537</v>
      </c>
      <c r="K845" s="3" t="s">
        <v>1792</v>
      </c>
      <c r="L845" s="3">
        <v>0.1166</v>
      </c>
      <c r="M845" s="3">
        <v>2915.0</v>
      </c>
      <c r="N845" s="3">
        <v>3.0</v>
      </c>
      <c r="O845" s="3">
        <v>357554.0</v>
      </c>
      <c r="P845" s="3" t="s">
        <v>2377</v>
      </c>
      <c r="Q845" s="3">
        <v>1192305.0</v>
      </c>
      <c r="R845" s="3"/>
      <c r="S845" s="3">
        <v>2332.0</v>
      </c>
      <c r="T845" s="3" t="s">
        <v>37</v>
      </c>
      <c r="U845" s="3">
        <v>2332.0</v>
      </c>
      <c r="V845" s="5">
        <f>(DATE(2026,2,3)-'RICE_Insured Farms_with PPI Pol'!$G845)+IF('RICE_Insured Farms_with PPI Pol'!$H845&lt;&gt;'RICE_Insured Farms_with PPI Pol'!$G845,18,0)</f>
        <v>63</v>
      </c>
      <c r="W845" s="3" t="str">
        <f t="array" ref="W845">IFS(V845&gt;120, "Harvested", V845&gt;=113, "Yellow Ripening", V845&gt;=101, "Dough Stage", V845&gt;=93, "Milking Stage", V845&gt;=86, "Flowering", V845&gt;=56, "Panicle Initiation/Booting", V845&lt;56, "Vegetative/Tillering")</f>
        <v>Panicle Initiation/Booting</v>
      </c>
    </row>
    <row r="846" ht="15.75" hidden="1" customHeight="1">
      <c r="A846" s="3">
        <v>845.0</v>
      </c>
      <c r="B846" s="3" t="s">
        <v>23</v>
      </c>
      <c r="C846" s="3" t="s">
        <v>68</v>
      </c>
      <c r="D846" s="3" t="s">
        <v>289</v>
      </c>
      <c r="E846" s="3" t="s">
        <v>702</v>
      </c>
      <c r="F846" s="3">
        <v>1760046.0</v>
      </c>
      <c r="G846" s="4">
        <v>46043.0</v>
      </c>
      <c r="H846" s="4">
        <v>46145.0</v>
      </c>
      <c r="I846" s="3" t="s">
        <v>2378</v>
      </c>
      <c r="J846" s="3" t="s">
        <v>2379</v>
      </c>
      <c r="K846" s="3" t="s">
        <v>2380</v>
      </c>
      <c r="L846" s="3">
        <v>0.3061</v>
      </c>
      <c r="M846" s="3">
        <v>7652.5</v>
      </c>
      <c r="N846" s="3">
        <v>2.0</v>
      </c>
      <c r="O846" s="3">
        <v>306395.0</v>
      </c>
      <c r="P846" s="3"/>
      <c r="Q846" s="3">
        <v>1284487.0</v>
      </c>
      <c r="R846" s="3"/>
      <c r="S846" s="3">
        <v>5356.75</v>
      </c>
      <c r="T846" s="3" t="s">
        <v>31</v>
      </c>
      <c r="U846" s="3">
        <v>5356.75</v>
      </c>
      <c r="V846" s="5">
        <f>(DATE(2026,2,3)-'RICE_Insured Farms_with PPI Pol'!$G846)+IF('RICE_Insured Farms_with PPI Pol'!$H846&lt;&gt;'RICE_Insured Farms_with PPI Pol'!$G846,18,0)</f>
        <v>31</v>
      </c>
      <c r="W846" s="3" t="str">
        <f t="array" ref="W846">IFS(V846&gt;120, "Harvested", V846&gt;=113, "Yellow Ripening", V846&gt;=101, "Dough Stage", V846&gt;=93, "Milking Stage", V846&gt;=86, "Flowering", V846&gt;=56, "Panicle Initiation/Booting", V846&lt;56, "Vegetative/Tillering")</f>
        <v>Vegetative/Tillering</v>
      </c>
    </row>
    <row r="847" ht="15.75" customHeight="1">
      <c r="A847" s="3">
        <v>846.0</v>
      </c>
      <c r="B847" s="3" t="s">
        <v>23</v>
      </c>
      <c r="C847" s="3" t="s">
        <v>68</v>
      </c>
      <c r="D847" s="3" t="s">
        <v>69</v>
      </c>
      <c r="E847" s="3" t="s">
        <v>131</v>
      </c>
      <c r="F847" s="3">
        <v>1739651.0</v>
      </c>
      <c r="G847" s="4">
        <v>46021.0</v>
      </c>
      <c r="H847" s="4">
        <v>46123.0</v>
      </c>
      <c r="I847" s="3" t="s">
        <v>2381</v>
      </c>
      <c r="J847" s="3" t="s">
        <v>2382</v>
      </c>
      <c r="K847" s="3" t="s">
        <v>419</v>
      </c>
      <c r="L847" s="3">
        <v>0.5532</v>
      </c>
      <c r="M847" s="3">
        <v>13830.0</v>
      </c>
      <c r="N847" s="3">
        <v>3.0</v>
      </c>
      <c r="O847" s="3">
        <v>135668.0</v>
      </c>
      <c r="P847" s="3" t="s">
        <v>2383</v>
      </c>
      <c r="Q847" s="3">
        <v>1137797.0</v>
      </c>
      <c r="R847" s="3"/>
      <c r="S847" s="3">
        <v>11064.0</v>
      </c>
      <c r="T847" s="3" t="s">
        <v>37</v>
      </c>
      <c r="U847" s="3">
        <v>11064.0</v>
      </c>
      <c r="V847" s="5">
        <f>(DATE(2026,2,3)-'RICE_Insured Farms_with PPI Pol'!$G847)+IF('RICE_Insured Farms_with PPI Pol'!$H847&lt;&gt;'RICE_Insured Farms_with PPI Pol'!$G847,18,0)</f>
        <v>53</v>
      </c>
      <c r="W847" s="3" t="str">
        <f t="array" ref="W847">IFS(V847&gt;120, "Harvested", V847&gt;=113, "Yellow Ripening", V847&gt;=101, "Dough Stage", V847&gt;=93, "Milking Stage", V847&gt;=86, "Flowering", V847&gt;=56, "Panicle Initiation/Booting", V847&lt;56, "Vegetative/Tillering")</f>
        <v>Vegetative/Tillering</v>
      </c>
    </row>
    <row r="848" ht="15.75" customHeight="1">
      <c r="A848" s="3">
        <v>847.0</v>
      </c>
      <c r="B848" s="3" t="s">
        <v>23</v>
      </c>
      <c r="C848" s="3" t="s">
        <v>68</v>
      </c>
      <c r="D848" s="3" t="s">
        <v>69</v>
      </c>
      <c r="E848" s="3" t="s">
        <v>131</v>
      </c>
      <c r="F848" s="3">
        <v>1739650.0</v>
      </c>
      <c r="G848" s="4">
        <v>46022.0</v>
      </c>
      <c r="H848" s="4">
        <v>46124.0</v>
      </c>
      <c r="I848" s="3" t="s">
        <v>417</v>
      </c>
      <c r="J848" s="3" t="s">
        <v>1742</v>
      </c>
      <c r="K848" s="3" t="s">
        <v>610</v>
      </c>
      <c r="L848" s="3">
        <v>1.1488</v>
      </c>
      <c r="M848" s="3">
        <v>28720.0</v>
      </c>
      <c r="N848" s="3">
        <v>3.0</v>
      </c>
      <c r="O848" s="3">
        <v>277843.0</v>
      </c>
      <c r="P848" s="3" t="s">
        <v>2384</v>
      </c>
      <c r="Q848" s="3">
        <v>1319754.0</v>
      </c>
      <c r="R848" s="3"/>
      <c r="S848" s="3">
        <v>22976.0</v>
      </c>
      <c r="T848" s="3" t="s">
        <v>37</v>
      </c>
      <c r="U848" s="3">
        <v>22976.0</v>
      </c>
      <c r="V848" s="5">
        <f>(DATE(2026,2,3)-'RICE_Insured Farms_with PPI Pol'!$G848)+IF('RICE_Insured Farms_with PPI Pol'!$H848&lt;&gt;'RICE_Insured Farms_with PPI Pol'!$G848,18,0)</f>
        <v>52</v>
      </c>
      <c r="W848" s="3" t="str">
        <f t="array" ref="W848">IFS(V848&gt;120, "Harvested", V848&gt;=113, "Yellow Ripening", V848&gt;=101, "Dough Stage", V848&gt;=93, "Milking Stage", V848&gt;=86, "Flowering", V848&gt;=56, "Panicle Initiation/Booting", V848&lt;56, "Vegetative/Tillering")</f>
        <v>Vegetative/Tillering</v>
      </c>
    </row>
    <row r="849" ht="15.75" hidden="1" customHeight="1">
      <c r="A849" s="3">
        <v>848.0</v>
      </c>
      <c r="B849" s="3" t="s">
        <v>23</v>
      </c>
      <c r="C849" s="3" t="s">
        <v>68</v>
      </c>
      <c r="D849" s="3" t="s">
        <v>69</v>
      </c>
      <c r="E849" s="3" t="s">
        <v>131</v>
      </c>
      <c r="F849" s="3">
        <v>1739650.0</v>
      </c>
      <c r="G849" s="4">
        <v>46030.0</v>
      </c>
      <c r="H849" s="4">
        <v>46132.0</v>
      </c>
      <c r="I849" s="3" t="s">
        <v>417</v>
      </c>
      <c r="J849" s="3" t="s">
        <v>2385</v>
      </c>
      <c r="K849" s="3" t="s">
        <v>610</v>
      </c>
      <c r="L849" s="3">
        <v>0.7445</v>
      </c>
      <c r="M849" s="3">
        <v>18612.5</v>
      </c>
      <c r="N849" s="3">
        <v>2.0</v>
      </c>
      <c r="O849" s="3">
        <v>478211.0</v>
      </c>
      <c r="P849" s="3" t="s">
        <v>2386</v>
      </c>
      <c r="Q849" s="3">
        <v>1138004.0</v>
      </c>
      <c r="R849" s="3"/>
      <c r="S849" s="3">
        <v>13028.75</v>
      </c>
      <c r="T849" s="3" t="s">
        <v>31</v>
      </c>
      <c r="U849" s="3">
        <v>13028.75</v>
      </c>
      <c r="V849" s="5">
        <f>(DATE(2026,2,3)-'RICE_Insured Farms_with PPI Pol'!$G849)+IF('RICE_Insured Farms_with PPI Pol'!$H849&lt;&gt;'RICE_Insured Farms_with PPI Pol'!$G849,18,0)</f>
        <v>44</v>
      </c>
      <c r="W849" s="3" t="str">
        <f t="array" ref="W849">IFS(V849&gt;120, "Harvested", V849&gt;=113, "Yellow Ripening", V849&gt;=101, "Dough Stage", V849&gt;=93, "Milking Stage", V849&gt;=86, "Flowering", V849&gt;=56, "Panicle Initiation/Booting", V849&lt;56, "Vegetative/Tillering")</f>
        <v>Vegetative/Tillering</v>
      </c>
    </row>
    <row r="850" ht="15.75" hidden="1" customHeight="1">
      <c r="A850" s="3">
        <v>1194.0</v>
      </c>
      <c r="B850" s="3" t="s">
        <v>23</v>
      </c>
      <c r="C850" s="3" t="s">
        <v>24</v>
      </c>
      <c r="D850" s="3" t="s">
        <v>25</v>
      </c>
      <c r="E850" s="3" t="s">
        <v>1164</v>
      </c>
      <c r="F850" s="3">
        <v>1760491.0</v>
      </c>
      <c r="G850" s="4">
        <v>46013.0</v>
      </c>
      <c r="H850" s="4">
        <v>46110.0</v>
      </c>
      <c r="I850" s="3" t="s">
        <v>2082</v>
      </c>
      <c r="J850" s="3" t="s">
        <v>2387</v>
      </c>
      <c r="K850" s="3" t="s">
        <v>2388</v>
      </c>
      <c r="L850" s="3">
        <v>0.428</v>
      </c>
      <c r="M850" s="3">
        <v>10700.0</v>
      </c>
      <c r="N850" s="3">
        <v>4.0</v>
      </c>
      <c r="O850" s="3">
        <v>332030.0</v>
      </c>
      <c r="P850" s="3"/>
      <c r="Q850" s="3">
        <v>1276912.0</v>
      </c>
      <c r="R850" s="3"/>
      <c r="S850" s="3">
        <v>8560.0</v>
      </c>
      <c r="T850" s="3" t="s">
        <v>56</v>
      </c>
      <c r="U850" s="3">
        <v>8560.0</v>
      </c>
      <c r="V850" s="5">
        <f>(DATE(2026,2,3)-'RICE_Insured Farms_with PPI Pol'!$G850)+IF('RICE_Insured Farms_with PPI Pol'!$H850&lt;&gt;'RICE_Insured Farms_with PPI Pol'!$G850,18,0)</f>
        <v>61</v>
      </c>
      <c r="W850" s="3" t="str">
        <f t="array" ref="W850">IFS(V850&gt;120, "Harvested", V850&gt;=113, "Yellow Ripening", V850&gt;=101, "Dough Stage", V850&gt;=93, "Milking Stage", V850&gt;=86, "Flowering", V850&gt;=56, "Panicle Initiation/Booting", V850&lt;56, "Vegetative/Tillering")</f>
        <v>Panicle Initiation/Booting</v>
      </c>
    </row>
    <row r="851" ht="15.75" customHeight="1">
      <c r="A851" s="3">
        <v>850.0</v>
      </c>
      <c r="B851" s="3" t="s">
        <v>23</v>
      </c>
      <c r="C851" s="3" t="s">
        <v>50</v>
      </c>
      <c r="D851" s="3" t="s">
        <v>51</v>
      </c>
      <c r="E851" s="3" t="s">
        <v>321</v>
      </c>
      <c r="F851" s="3">
        <v>1741851.0</v>
      </c>
      <c r="G851" s="4">
        <v>46027.0</v>
      </c>
      <c r="H851" s="4">
        <v>46122.0</v>
      </c>
      <c r="I851" s="3" t="s">
        <v>2389</v>
      </c>
      <c r="J851" s="3" t="s">
        <v>2073</v>
      </c>
      <c r="K851" s="3" t="s">
        <v>2099</v>
      </c>
      <c r="L851" s="3">
        <v>2.0</v>
      </c>
      <c r="M851" s="3">
        <v>50000.0</v>
      </c>
      <c r="N851" s="3">
        <v>3.0</v>
      </c>
      <c r="O851" s="3">
        <v>34809.0</v>
      </c>
      <c r="P851" s="3" t="s">
        <v>2390</v>
      </c>
      <c r="Q851" s="3">
        <v>1294714.0</v>
      </c>
      <c r="R851" s="3"/>
      <c r="S851" s="3">
        <v>40000.0</v>
      </c>
      <c r="T851" s="3" t="s">
        <v>37</v>
      </c>
      <c r="U851" s="3">
        <v>40000.0</v>
      </c>
      <c r="V851" s="5">
        <f>(DATE(2026,2,3)-'RICE_Insured Farms_with PPI Pol'!$G851)+IF('RICE_Insured Farms_with PPI Pol'!$H851&lt;&gt;'RICE_Insured Farms_with PPI Pol'!$G851,18,0)</f>
        <v>47</v>
      </c>
      <c r="W851" s="3" t="str">
        <f t="array" ref="W851">IFS(V851&gt;120, "Harvested", V851&gt;=113, "Yellow Ripening", V851&gt;=101, "Dough Stage", V851&gt;=93, "Milking Stage", V851&gt;=86, "Flowering", V851&gt;=56, "Panicle Initiation/Booting", V851&lt;56, "Vegetative/Tillering")</f>
        <v>Vegetative/Tillering</v>
      </c>
    </row>
    <row r="852" ht="15.75" hidden="1" customHeight="1">
      <c r="A852" s="3">
        <v>851.0</v>
      </c>
      <c r="B852" s="3" t="s">
        <v>23</v>
      </c>
      <c r="C852" s="3" t="s">
        <v>68</v>
      </c>
      <c r="D852" s="3" t="s">
        <v>679</v>
      </c>
      <c r="E852" s="3" t="s">
        <v>299</v>
      </c>
      <c r="F852" s="3">
        <v>1175384.0</v>
      </c>
      <c r="G852" s="4">
        <v>46034.0</v>
      </c>
      <c r="H852" s="4">
        <v>46136.0</v>
      </c>
      <c r="I852" s="3" t="s">
        <v>528</v>
      </c>
      <c r="J852" s="3" t="s">
        <v>2391</v>
      </c>
      <c r="K852" s="3" t="s">
        <v>2392</v>
      </c>
      <c r="L852" s="3">
        <v>1.6821</v>
      </c>
      <c r="M852" s="3">
        <v>42052.5</v>
      </c>
      <c r="N852" s="3">
        <v>2.0</v>
      </c>
      <c r="O852" s="3">
        <v>295147.0</v>
      </c>
      <c r="P852" s="3" t="s">
        <v>2393</v>
      </c>
      <c r="Q852" s="3">
        <v>1138821.0</v>
      </c>
      <c r="R852" s="3"/>
      <c r="S852" s="3">
        <v>29436.75</v>
      </c>
      <c r="T852" s="3" t="s">
        <v>31</v>
      </c>
      <c r="U852" s="3">
        <v>29436.75</v>
      </c>
      <c r="V852" s="5">
        <f>(DATE(2026,2,3)-'RICE_Insured Farms_with PPI Pol'!$G852)+IF('RICE_Insured Farms_with PPI Pol'!$H852&lt;&gt;'RICE_Insured Farms_with PPI Pol'!$G852,18,0)</f>
        <v>40</v>
      </c>
      <c r="W852" s="3" t="str">
        <f t="array" ref="W852">IFS(V852&gt;120, "Harvested", V852&gt;=113, "Yellow Ripening", V852&gt;=101, "Dough Stage", V852&gt;=93, "Milking Stage", V852&gt;=86, "Flowering", V852&gt;=56, "Panicle Initiation/Booting", V852&lt;56, "Vegetative/Tillering")</f>
        <v>Vegetative/Tillering</v>
      </c>
    </row>
    <row r="853" ht="15.75" hidden="1" customHeight="1">
      <c r="A853" s="3">
        <v>852.0</v>
      </c>
      <c r="B853" s="3" t="s">
        <v>23</v>
      </c>
      <c r="C853" s="3" t="s">
        <v>68</v>
      </c>
      <c r="D853" s="3" t="s">
        <v>289</v>
      </c>
      <c r="E853" s="3" t="s">
        <v>431</v>
      </c>
      <c r="F853" s="3">
        <v>1760038.0</v>
      </c>
      <c r="G853" s="4">
        <v>46027.0</v>
      </c>
      <c r="H853" s="4">
        <v>46129.0</v>
      </c>
      <c r="I853" s="3" t="s">
        <v>2394</v>
      </c>
      <c r="J853" s="3" t="s">
        <v>2395</v>
      </c>
      <c r="K853" s="3" t="s">
        <v>2396</v>
      </c>
      <c r="L853" s="3">
        <v>0.7499</v>
      </c>
      <c r="M853" s="3">
        <v>18747.5</v>
      </c>
      <c r="N853" s="3">
        <v>2.0</v>
      </c>
      <c r="O853" s="3">
        <v>298900.0</v>
      </c>
      <c r="P853" s="3"/>
      <c r="Q853" s="3">
        <v>1153628.0</v>
      </c>
      <c r="R853" s="3"/>
      <c r="S853" s="3">
        <v>13123.25</v>
      </c>
      <c r="T853" s="3" t="s">
        <v>31</v>
      </c>
      <c r="U853" s="3">
        <v>13123.25</v>
      </c>
      <c r="V853" s="5">
        <f>(DATE(2026,2,3)-'RICE_Insured Farms_with PPI Pol'!$G853)+IF('RICE_Insured Farms_with PPI Pol'!$H853&lt;&gt;'RICE_Insured Farms_with PPI Pol'!$G853,18,0)</f>
        <v>47</v>
      </c>
      <c r="W853" s="3" t="str">
        <f t="array" ref="W853">IFS(V853&gt;120, "Harvested", V853&gt;=113, "Yellow Ripening", V853&gt;=101, "Dough Stage", V853&gt;=93, "Milking Stage", V853&gt;=86, "Flowering", V853&gt;=56, "Panicle Initiation/Booting", V853&lt;56, "Vegetative/Tillering")</f>
        <v>Vegetative/Tillering</v>
      </c>
    </row>
    <row r="854" ht="15.75" hidden="1" customHeight="1">
      <c r="A854" s="3">
        <v>1195.0</v>
      </c>
      <c r="B854" s="3" t="s">
        <v>23</v>
      </c>
      <c r="C854" s="3" t="s">
        <v>24</v>
      </c>
      <c r="D854" s="3" t="s">
        <v>25</v>
      </c>
      <c r="E854" s="3" t="s">
        <v>1164</v>
      </c>
      <c r="F854" s="3">
        <v>1760491.0</v>
      </c>
      <c r="G854" s="4">
        <v>46013.0</v>
      </c>
      <c r="H854" s="4">
        <v>46108.0</v>
      </c>
      <c r="I854" s="3" t="s">
        <v>2082</v>
      </c>
      <c r="J854" s="3" t="s">
        <v>2387</v>
      </c>
      <c r="K854" s="3" t="s">
        <v>2388</v>
      </c>
      <c r="L854" s="3">
        <v>0.4918</v>
      </c>
      <c r="M854" s="3">
        <v>12295.0</v>
      </c>
      <c r="N854" s="3">
        <v>4.0</v>
      </c>
      <c r="O854" s="3">
        <v>332030.0</v>
      </c>
      <c r="P854" s="3"/>
      <c r="Q854" s="3">
        <v>1276946.0</v>
      </c>
      <c r="R854" s="3"/>
      <c r="S854" s="3">
        <v>9836.0</v>
      </c>
      <c r="T854" s="3" t="s">
        <v>56</v>
      </c>
      <c r="U854" s="3">
        <v>9836.0</v>
      </c>
      <c r="V854" s="5">
        <f>(DATE(2026,2,3)-'RICE_Insured Farms_with PPI Pol'!$G854)+IF('RICE_Insured Farms_with PPI Pol'!$H854&lt;&gt;'RICE_Insured Farms_with PPI Pol'!$G854,18,0)</f>
        <v>61</v>
      </c>
      <c r="W854" s="3" t="str">
        <f t="array" ref="W854">IFS(V854&gt;120, "Harvested", V854&gt;=113, "Yellow Ripening", V854&gt;=101, "Dough Stage", V854&gt;=93, "Milking Stage", V854&gt;=86, "Flowering", V854&gt;=56, "Panicle Initiation/Booting", V854&lt;56, "Vegetative/Tillering")</f>
        <v>Panicle Initiation/Booting</v>
      </c>
    </row>
    <row r="855" ht="15.75" hidden="1" customHeight="1">
      <c r="A855" s="3">
        <v>854.0</v>
      </c>
      <c r="B855" s="3" t="s">
        <v>23</v>
      </c>
      <c r="C855" s="3" t="s">
        <v>68</v>
      </c>
      <c r="D855" s="3" t="s">
        <v>679</v>
      </c>
      <c r="E855" s="3" t="s">
        <v>299</v>
      </c>
      <c r="F855" s="3">
        <v>1175384.0</v>
      </c>
      <c r="G855" s="4">
        <v>46034.0</v>
      </c>
      <c r="H855" s="4">
        <v>46136.0</v>
      </c>
      <c r="I855" s="3" t="s">
        <v>957</v>
      </c>
      <c r="J855" s="3" t="s">
        <v>2397</v>
      </c>
      <c r="K855" s="3" t="s">
        <v>2392</v>
      </c>
      <c r="L855" s="3">
        <v>0.2739</v>
      </c>
      <c r="M855" s="3">
        <v>6847.5</v>
      </c>
      <c r="N855" s="3">
        <v>2.0</v>
      </c>
      <c r="O855" s="3">
        <v>438041.0</v>
      </c>
      <c r="P855" s="3"/>
      <c r="Q855" s="3">
        <v>1138819.0</v>
      </c>
      <c r="R855" s="3"/>
      <c r="S855" s="3">
        <v>4793.25</v>
      </c>
      <c r="T855" s="3" t="s">
        <v>31</v>
      </c>
      <c r="U855" s="3">
        <v>4793.25</v>
      </c>
      <c r="V855" s="5">
        <f>(DATE(2026,2,3)-'RICE_Insured Farms_with PPI Pol'!$G855)+IF('RICE_Insured Farms_with PPI Pol'!$H855&lt;&gt;'RICE_Insured Farms_with PPI Pol'!$G855,18,0)</f>
        <v>40</v>
      </c>
      <c r="W855" s="3" t="str">
        <f t="array" ref="W855">IFS(V855&gt;120, "Harvested", V855&gt;=113, "Yellow Ripening", V855&gt;=101, "Dough Stage", V855&gt;=93, "Milking Stage", V855&gt;=86, "Flowering", V855&gt;=56, "Panicle Initiation/Booting", V855&lt;56, "Vegetative/Tillering")</f>
        <v>Vegetative/Tillering</v>
      </c>
    </row>
    <row r="856" ht="15.75" hidden="1" customHeight="1">
      <c r="A856" s="3">
        <v>855.0</v>
      </c>
      <c r="B856" s="3" t="s">
        <v>23</v>
      </c>
      <c r="C856" s="3" t="s">
        <v>68</v>
      </c>
      <c r="D856" s="3" t="s">
        <v>679</v>
      </c>
      <c r="E856" s="3" t="s">
        <v>2398</v>
      </c>
      <c r="F856" s="3">
        <v>1175384.0</v>
      </c>
      <c r="G856" s="4">
        <v>46040.0</v>
      </c>
      <c r="H856" s="4">
        <v>46142.0</v>
      </c>
      <c r="I856" s="3" t="s">
        <v>2392</v>
      </c>
      <c r="J856" s="3" t="s">
        <v>2399</v>
      </c>
      <c r="K856" s="3" t="s">
        <v>1200</v>
      </c>
      <c r="L856" s="3">
        <v>0.5023</v>
      </c>
      <c r="M856" s="3">
        <v>12557.5</v>
      </c>
      <c r="N856" s="3">
        <v>2.0</v>
      </c>
      <c r="O856" s="3">
        <v>208134.0</v>
      </c>
      <c r="P856" s="3" t="s">
        <v>2400</v>
      </c>
      <c r="Q856" s="3">
        <v>1150034.0</v>
      </c>
      <c r="R856" s="3"/>
      <c r="S856" s="3">
        <v>8790.25</v>
      </c>
      <c r="T856" s="3" t="s">
        <v>31</v>
      </c>
      <c r="U856" s="3">
        <v>8790.25</v>
      </c>
      <c r="V856" s="5">
        <f>(DATE(2026,2,3)-'RICE_Insured Farms_with PPI Pol'!$G856)+IF('RICE_Insured Farms_with PPI Pol'!$H856&lt;&gt;'RICE_Insured Farms_with PPI Pol'!$G856,18,0)</f>
        <v>34</v>
      </c>
      <c r="W856" s="3" t="str">
        <f t="array" ref="W856">IFS(V856&gt;120, "Harvested", V856&gt;=113, "Yellow Ripening", V856&gt;=101, "Dough Stage", V856&gt;=93, "Milking Stage", V856&gt;=86, "Flowering", V856&gt;=56, "Panicle Initiation/Booting", V856&lt;56, "Vegetative/Tillering")</f>
        <v>Vegetative/Tillering</v>
      </c>
    </row>
    <row r="857" ht="15.75" hidden="1" customHeight="1">
      <c r="A857" s="3">
        <v>856.0</v>
      </c>
      <c r="B857" s="3" t="s">
        <v>23</v>
      </c>
      <c r="C857" s="3" t="s">
        <v>121</v>
      </c>
      <c r="D857" s="3" t="s">
        <v>1492</v>
      </c>
      <c r="E857" s="3" t="s">
        <v>1493</v>
      </c>
      <c r="F857" s="3">
        <v>1740649.0</v>
      </c>
      <c r="G857" s="4">
        <v>46021.0</v>
      </c>
      <c r="H857" s="4">
        <v>46141.0</v>
      </c>
      <c r="I857" s="3" t="s">
        <v>2401</v>
      </c>
      <c r="J857" s="3" t="s">
        <v>955</v>
      </c>
      <c r="K857" s="3" t="s">
        <v>2402</v>
      </c>
      <c r="L857" s="3">
        <v>1.0893</v>
      </c>
      <c r="M857" s="3">
        <v>27232.5</v>
      </c>
      <c r="N857" s="3">
        <v>2.0</v>
      </c>
      <c r="O857" s="3">
        <v>18670.0</v>
      </c>
      <c r="P857" s="3" t="s">
        <v>2403</v>
      </c>
      <c r="Q857" s="3">
        <v>1218361.0</v>
      </c>
      <c r="R857" s="3"/>
      <c r="S857" s="3">
        <v>19062.75</v>
      </c>
      <c r="T857" s="3" t="s">
        <v>31</v>
      </c>
      <c r="U857" s="3">
        <v>19062.75</v>
      </c>
      <c r="V857" s="5">
        <f>(DATE(2026,2,3)-'RICE_Insured Farms_with PPI Pol'!$G857)+IF('RICE_Insured Farms_with PPI Pol'!$H857&lt;&gt;'RICE_Insured Farms_with PPI Pol'!$G857,18,0)</f>
        <v>53</v>
      </c>
      <c r="W857" s="3" t="str">
        <f t="array" ref="W857">IFS(V857&gt;120, "Harvested", V857&gt;=113, "Yellow Ripening", V857&gt;=101, "Dough Stage", V857&gt;=93, "Milking Stage", V857&gt;=86, "Flowering", V857&gt;=56, "Panicle Initiation/Booting", V857&lt;56, "Vegetative/Tillering")</f>
        <v>Vegetative/Tillering</v>
      </c>
    </row>
    <row r="858" ht="15.75" hidden="1" customHeight="1">
      <c r="A858" s="3">
        <v>857.0</v>
      </c>
      <c r="B858" s="3" t="s">
        <v>23</v>
      </c>
      <c r="C858" s="3" t="s">
        <v>68</v>
      </c>
      <c r="D858" s="3" t="s">
        <v>289</v>
      </c>
      <c r="E858" s="3" t="s">
        <v>363</v>
      </c>
      <c r="F858" s="3">
        <v>1760044.0</v>
      </c>
      <c r="G858" s="4">
        <v>46032.0</v>
      </c>
      <c r="H858" s="4">
        <v>46134.0</v>
      </c>
      <c r="I858" s="3" t="s">
        <v>449</v>
      </c>
      <c r="J858" s="3" t="s">
        <v>586</v>
      </c>
      <c r="K858" s="3" t="s">
        <v>450</v>
      </c>
      <c r="L858" s="3">
        <v>1.1194</v>
      </c>
      <c r="M858" s="3">
        <v>27985.0</v>
      </c>
      <c r="N858" s="3">
        <v>2.0</v>
      </c>
      <c r="O858" s="3">
        <v>128316.0</v>
      </c>
      <c r="P858" s="3" t="s">
        <v>2404</v>
      </c>
      <c r="Q858" s="3">
        <v>1144870.0</v>
      </c>
      <c r="R858" s="3"/>
      <c r="S858" s="3">
        <v>19589.5</v>
      </c>
      <c r="T858" s="3" t="s">
        <v>31</v>
      </c>
      <c r="U858" s="3">
        <v>19589.5</v>
      </c>
      <c r="V858" s="5">
        <f>(DATE(2026,2,3)-'RICE_Insured Farms_with PPI Pol'!$G858)+IF('RICE_Insured Farms_with PPI Pol'!$H858&lt;&gt;'RICE_Insured Farms_with PPI Pol'!$G858,18,0)</f>
        <v>42</v>
      </c>
      <c r="W858" s="3" t="str">
        <f t="array" ref="W858">IFS(V858&gt;120, "Harvested", V858&gt;=113, "Yellow Ripening", V858&gt;=101, "Dough Stage", V858&gt;=93, "Milking Stage", V858&gt;=86, "Flowering", V858&gt;=56, "Panicle Initiation/Booting", V858&lt;56, "Vegetative/Tillering")</f>
        <v>Vegetative/Tillering</v>
      </c>
    </row>
    <row r="859" ht="15.75" hidden="1" customHeight="1">
      <c r="A859" s="3">
        <v>858.0</v>
      </c>
      <c r="B859" s="3" t="s">
        <v>23</v>
      </c>
      <c r="C859" s="3" t="s">
        <v>68</v>
      </c>
      <c r="D859" s="3" t="s">
        <v>289</v>
      </c>
      <c r="E859" s="3" t="s">
        <v>363</v>
      </c>
      <c r="F859" s="3">
        <v>1760044.0</v>
      </c>
      <c r="G859" s="4">
        <v>46030.0</v>
      </c>
      <c r="H859" s="4">
        <v>46132.0</v>
      </c>
      <c r="I859" s="3" t="s">
        <v>449</v>
      </c>
      <c r="J859" s="3" t="s">
        <v>2405</v>
      </c>
      <c r="K859" s="3" t="s">
        <v>2406</v>
      </c>
      <c r="L859" s="3">
        <v>0.427</v>
      </c>
      <c r="M859" s="3">
        <v>10675.0</v>
      </c>
      <c r="N859" s="3">
        <v>2.0</v>
      </c>
      <c r="O859" s="3">
        <v>236411.0</v>
      </c>
      <c r="P859" s="3" t="s">
        <v>2407</v>
      </c>
      <c r="Q859" s="3">
        <v>1280567.0</v>
      </c>
      <c r="R859" s="3"/>
      <c r="S859" s="3">
        <v>7472.5</v>
      </c>
      <c r="T859" s="3" t="s">
        <v>31</v>
      </c>
      <c r="U859" s="3">
        <v>7472.5</v>
      </c>
      <c r="V859" s="5">
        <f>(DATE(2026,2,3)-'RICE_Insured Farms_with PPI Pol'!$G859)+IF('RICE_Insured Farms_with PPI Pol'!$H859&lt;&gt;'RICE_Insured Farms_with PPI Pol'!$G859,18,0)</f>
        <v>44</v>
      </c>
      <c r="W859" s="3" t="str">
        <f t="array" ref="W859">IFS(V859&gt;120, "Harvested", V859&gt;=113, "Yellow Ripening", V859&gt;=101, "Dough Stage", V859&gt;=93, "Milking Stage", V859&gt;=86, "Flowering", V859&gt;=56, "Panicle Initiation/Booting", V859&lt;56, "Vegetative/Tillering")</f>
        <v>Vegetative/Tillering</v>
      </c>
    </row>
    <row r="860" ht="15.75" hidden="1" customHeight="1">
      <c r="A860" s="3">
        <v>859.0</v>
      </c>
      <c r="B860" s="3" t="s">
        <v>23</v>
      </c>
      <c r="C860" s="3" t="s">
        <v>68</v>
      </c>
      <c r="D860" s="3" t="s">
        <v>289</v>
      </c>
      <c r="E860" s="3" t="s">
        <v>685</v>
      </c>
      <c r="F860" s="3">
        <v>1760005.0</v>
      </c>
      <c r="G860" s="4">
        <v>46027.0</v>
      </c>
      <c r="H860" s="4">
        <v>46129.0</v>
      </c>
      <c r="I860" s="3" t="s">
        <v>2408</v>
      </c>
      <c r="J860" s="3" t="s">
        <v>2409</v>
      </c>
      <c r="K860" s="3" t="s">
        <v>2410</v>
      </c>
      <c r="L860" s="3">
        <v>0.52</v>
      </c>
      <c r="M860" s="3">
        <v>13000.0</v>
      </c>
      <c r="N860" s="3">
        <v>2.0</v>
      </c>
      <c r="O860" s="3">
        <v>119495.0</v>
      </c>
      <c r="P860" s="3" t="s">
        <v>2411</v>
      </c>
      <c r="Q860" s="3">
        <v>1141241.0</v>
      </c>
      <c r="R860" s="3"/>
      <c r="S860" s="3">
        <v>9100.0</v>
      </c>
      <c r="T860" s="3" t="s">
        <v>31</v>
      </c>
      <c r="U860" s="3">
        <v>9100.0</v>
      </c>
      <c r="V860" s="5">
        <f>(DATE(2026,2,3)-'RICE_Insured Farms_with PPI Pol'!$G860)+IF('RICE_Insured Farms_with PPI Pol'!$H860&lt;&gt;'RICE_Insured Farms_with PPI Pol'!$G860,18,0)</f>
        <v>47</v>
      </c>
      <c r="W860" s="3" t="str">
        <f t="array" ref="W860">IFS(V860&gt;120, "Harvested", V860&gt;=113, "Yellow Ripening", V860&gt;=101, "Dough Stage", V860&gt;=93, "Milking Stage", V860&gt;=86, "Flowering", V860&gt;=56, "Panicle Initiation/Booting", V860&lt;56, "Vegetative/Tillering")</f>
        <v>Vegetative/Tillering</v>
      </c>
    </row>
    <row r="861" ht="15.75" customHeight="1">
      <c r="A861" s="3">
        <v>860.0</v>
      </c>
      <c r="B861" s="3" t="s">
        <v>23</v>
      </c>
      <c r="C861" s="3" t="s">
        <v>68</v>
      </c>
      <c r="D861" s="3" t="s">
        <v>289</v>
      </c>
      <c r="E861" s="3" t="s">
        <v>507</v>
      </c>
      <c r="F861" s="3">
        <v>1760006.0</v>
      </c>
      <c r="G861" s="4">
        <v>46019.0</v>
      </c>
      <c r="H861" s="4">
        <v>46121.0</v>
      </c>
      <c r="I861" s="3" t="s">
        <v>2408</v>
      </c>
      <c r="J861" s="3" t="s">
        <v>146</v>
      </c>
      <c r="K861" s="3" t="s">
        <v>2412</v>
      </c>
      <c r="L861" s="3">
        <v>1.3459</v>
      </c>
      <c r="M861" s="3">
        <v>33647.5</v>
      </c>
      <c r="N861" s="3">
        <v>3.0</v>
      </c>
      <c r="O861" s="3">
        <v>78432.0</v>
      </c>
      <c r="P861" s="3" t="s">
        <v>2413</v>
      </c>
      <c r="Q861" s="3">
        <v>1134524.0</v>
      </c>
      <c r="R861" s="3"/>
      <c r="S861" s="3">
        <v>26918.0</v>
      </c>
      <c r="T861" s="3" t="s">
        <v>37</v>
      </c>
      <c r="U861" s="3">
        <v>26918.0</v>
      </c>
      <c r="V861" s="5">
        <f>(DATE(2026,2,3)-'RICE_Insured Farms_with PPI Pol'!$G861)+IF('RICE_Insured Farms_with PPI Pol'!$H861&lt;&gt;'RICE_Insured Farms_with PPI Pol'!$G861,18,0)</f>
        <v>55</v>
      </c>
      <c r="W861" s="3" t="str">
        <f t="array" ref="W861">IFS(V861&gt;120, "Harvested", V861&gt;=113, "Yellow Ripening", V861&gt;=101, "Dough Stage", V861&gt;=93, "Milking Stage", V861&gt;=86, "Flowering", V861&gt;=56, "Panicle Initiation/Booting", V861&lt;56, "Vegetative/Tillering")</f>
        <v>Vegetative/Tillering</v>
      </c>
    </row>
    <row r="862" ht="15.75" customHeight="1">
      <c r="A862" s="3">
        <v>861.0</v>
      </c>
      <c r="B862" s="3" t="s">
        <v>23</v>
      </c>
      <c r="C862" s="3" t="s">
        <v>68</v>
      </c>
      <c r="D862" s="3" t="s">
        <v>262</v>
      </c>
      <c r="E862" s="3" t="s">
        <v>1611</v>
      </c>
      <c r="F862" s="3">
        <v>1739590.0</v>
      </c>
      <c r="G862" s="4">
        <v>46018.0</v>
      </c>
      <c r="H862" s="4">
        <v>46120.0</v>
      </c>
      <c r="I862" s="3" t="s">
        <v>2414</v>
      </c>
      <c r="J862" s="3" t="s">
        <v>989</v>
      </c>
      <c r="K862" s="3" t="s">
        <v>2415</v>
      </c>
      <c r="L862" s="3">
        <v>0.2856</v>
      </c>
      <c r="M862" s="3">
        <v>7140.0</v>
      </c>
      <c r="N862" s="3">
        <v>3.0</v>
      </c>
      <c r="O862" s="3">
        <v>123656.0</v>
      </c>
      <c r="P862" s="3"/>
      <c r="Q862" s="3">
        <v>1187070.0</v>
      </c>
      <c r="R862" s="3"/>
      <c r="S862" s="3">
        <v>5712.0</v>
      </c>
      <c r="T862" s="3" t="s">
        <v>37</v>
      </c>
      <c r="U862" s="3">
        <v>5712.0</v>
      </c>
      <c r="V862" s="5">
        <f>(DATE(2026,2,3)-'RICE_Insured Farms_with PPI Pol'!$G862)+IF('RICE_Insured Farms_with PPI Pol'!$H862&lt;&gt;'RICE_Insured Farms_with PPI Pol'!$G862,18,0)</f>
        <v>56</v>
      </c>
      <c r="W862" s="3" t="str">
        <f t="array" ref="W862">IFS(V862&gt;120, "Harvested", V862&gt;=113, "Yellow Ripening", V862&gt;=101, "Dough Stage", V862&gt;=93, "Milking Stage", V862&gt;=86, "Flowering", V862&gt;=56, "Panicle Initiation/Booting", V862&lt;56, "Vegetative/Tillering")</f>
        <v>Panicle Initiation/Booting</v>
      </c>
    </row>
    <row r="863" ht="15.75" hidden="1" customHeight="1">
      <c r="A863" s="3">
        <v>1197.0</v>
      </c>
      <c r="B863" s="3" t="s">
        <v>23</v>
      </c>
      <c r="C863" s="3" t="s">
        <v>24</v>
      </c>
      <c r="D863" s="3" t="s">
        <v>25</v>
      </c>
      <c r="E863" s="3" t="s">
        <v>1164</v>
      </c>
      <c r="F863" s="3">
        <v>1760491.0</v>
      </c>
      <c r="G863" s="4">
        <v>46013.0</v>
      </c>
      <c r="H863" s="4">
        <v>46110.0</v>
      </c>
      <c r="I863" s="3" t="s">
        <v>2082</v>
      </c>
      <c r="J863" s="3" t="s">
        <v>2416</v>
      </c>
      <c r="K863" s="3" t="s">
        <v>254</v>
      </c>
      <c r="L863" s="3">
        <v>1.1139</v>
      </c>
      <c r="M863" s="3">
        <v>27847.5</v>
      </c>
      <c r="N863" s="3">
        <v>4.0</v>
      </c>
      <c r="O863" s="3">
        <v>297447.0</v>
      </c>
      <c r="P863" s="3" t="s">
        <v>2417</v>
      </c>
      <c r="Q863" s="3">
        <v>1276883.0</v>
      </c>
      <c r="R863" s="3"/>
      <c r="S863" s="3">
        <v>22278.0</v>
      </c>
      <c r="T863" s="3" t="s">
        <v>56</v>
      </c>
      <c r="U863" s="3">
        <v>22278.0</v>
      </c>
      <c r="V863" s="5">
        <f>(DATE(2026,2,3)-'RICE_Insured Farms_with PPI Pol'!$G863)+IF('RICE_Insured Farms_with PPI Pol'!$H863&lt;&gt;'RICE_Insured Farms_with PPI Pol'!$G863,18,0)</f>
        <v>61</v>
      </c>
      <c r="W863" s="3" t="str">
        <f t="array" ref="W863">IFS(V863&gt;120, "Harvested", V863&gt;=113, "Yellow Ripening", V863&gt;=101, "Dough Stage", V863&gt;=93, "Milking Stage", V863&gt;=86, "Flowering", V863&gt;=56, "Panicle Initiation/Booting", V863&lt;56, "Vegetative/Tillering")</f>
        <v>Panicle Initiation/Booting</v>
      </c>
    </row>
    <row r="864" ht="15.75" hidden="1" customHeight="1">
      <c r="A864" s="3">
        <v>863.0</v>
      </c>
      <c r="B864" s="3" t="s">
        <v>23</v>
      </c>
      <c r="C864" s="3" t="s">
        <v>68</v>
      </c>
      <c r="D864" s="3" t="s">
        <v>289</v>
      </c>
      <c r="E864" s="3" t="s">
        <v>702</v>
      </c>
      <c r="F864" s="3">
        <v>1760040.0</v>
      </c>
      <c r="G864" s="4">
        <v>46030.0</v>
      </c>
      <c r="H864" s="4">
        <v>46132.0</v>
      </c>
      <c r="I864" s="3" t="s">
        <v>1898</v>
      </c>
      <c r="J864" s="3" t="s">
        <v>206</v>
      </c>
      <c r="K864" s="3" t="s">
        <v>2418</v>
      </c>
      <c r="L864" s="3">
        <v>0.7913</v>
      </c>
      <c r="M864" s="3">
        <v>19782.5</v>
      </c>
      <c r="N864" s="3">
        <v>2.0</v>
      </c>
      <c r="O864" s="3">
        <v>204788.0</v>
      </c>
      <c r="P864" s="3" t="s">
        <v>2419</v>
      </c>
      <c r="Q864" s="3">
        <v>1318928.0</v>
      </c>
      <c r="R864" s="3"/>
      <c r="S864" s="3">
        <v>13847.75</v>
      </c>
      <c r="T864" s="3" t="s">
        <v>31</v>
      </c>
      <c r="U864" s="3">
        <v>13847.75</v>
      </c>
      <c r="V864" s="5">
        <f>(DATE(2026,2,3)-'RICE_Insured Farms_with PPI Pol'!$G864)+IF('RICE_Insured Farms_with PPI Pol'!$H864&lt;&gt;'RICE_Insured Farms_with PPI Pol'!$G864,18,0)</f>
        <v>44</v>
      </c>
      <c r="W864" s="3" t="str">
        <f t="array" ref="W864">IFS(V864&gt;120, "Harvested", V864&gt;=113, "Yellow Ripening", V864&gt;=101, "Dough Stage", V864&gt;=93, "Milking Stage", V864&gt;=86, "Flowering", V864&gt;=56, "Panicle Initiation/Booting", V864&lt;56, "Vegetative/Tillering")</f>
        <v>Vegetative/Tillering</v>
      </c>
    </row>
    <row r="865" ht="15.75" hidden="1" customHeight="1">
      <c r="A865" s="3">
        <v>864.0</v>
      </c>
      <c r="B865" s="3" t="s">
        <v>23</v>
      </c>
      <c r="C865" s="3" t="s">
        <v>24</v>
      </c>
      <c r="D865" s="3" t="s">
        <v>25</v>
      </c>
      <c r="E865" s="3" t="s">
        <v>1374</v>
      </c>
      <c r="F865" s="3">
        <v>1760467.0</v>
      </c>
      <c r="G865" s="4">
        <v>46016.0</v>
      </c>
      <c r="H865" s="4">
        <v>46136.0</v>
      </c>
      <c r="I865" s="3" t="s">
        <v>2420</v>
      </c>
      <c r="J865" s="3" t="s">
        <v>2311</v>
      </c>
      <c r="K865" s="3" t="s">
        <v>2421</v>
      </c>
      <c r="L865" s="3">
        <v>0.8484</v>
      </c>
      <c r="M865" s="3">
        <v>21210.0</v>
      </c>
      <c r="N865" s="3">
        <v>2.0</v>
      </c>
      <c r="O865" s="3">
        <v>236793.0</v>
      </c>
      <c r="P865" s="3" t="s">
        <v>2422</v>
      </c>
      <c r="Q865" s="3">
        <v>1133105.0</v>
      </c>
      <c r="R865" s="3"/>
      <c r="S865" s="3">
        <v>14847.0</v>
      </c>
      <c r="T865" s="3" t="s">
        <v>31</v>
      </c>
      <c r="U865" s="3">
        <v>14847.0</v>
      </c>
      <c r="V865" s="5">
        <f>(DATE(2026,2,3)-'RICE_Insured Farms_with PPI Pol'!$G865)+IF('RICE_Insured Farms_with PPI Pol'!$H865&lt;&gt;'RICE_Insured Farms_with PPI Pol'!$G865,18,0)</f>
        <v>58</v>
      </c>
      <c r="W865" s="3" t="str">
        <f t="array" ref="W865">IFS(V865&gt;120, "Harvested", V865&gt;=113, "Yellow Ripening", V865&gt;=101, "Dough Stage", V865&gt;=93, "Milking Stage", V865&gt;=86, "Flowering", V865&gt;=56, "Panicle Initiation/Booting", V865&lt;56, "Vegetative/Tillering")</f>
        <v>Panicle Initiation/Booting</v>
      </c>
    </row>
    <row r="866" ht="15.75" hidden="1" customHeight="1">
      <c r="A866" s="3">
        <v>865.0</v>
      </c>
      <c r="B866" s="3" t="s">
        <v>23</v>
      </c>
      <c r="C866" s="3" t="s">
        <v>24</v>
      </c>
      <c r="D866" s="3" t="s">
        <v>25</v>
      </c>
      <c r="E866" s="3" t="s">
        <v>1374</v>
      </c>
      <c r="F866" s="3">
        <v>1760467.0</v>
      </c>
      <c r="G866" s="4">
        <v>46016.0</v>
      </c>
      <c r="H866" s="4">
        <v>46136.0</v>
      </c>
      <c r="I866" s="3" t="s">
        <v>2420</v>
      </c>
      <c r="J866" s="3" t="s">
        <v>2311</v>
      </c>
      <c r="K866" s="3" t="s">
        <v>2421</v>
      </c>
      <c r="L866" s="3">
        <v>0.3186</v>
      </c>
      <c r="M866" s="3">
        <v>7965.0</v>
      </c>
      <c r="N866" s="3">
        <v>2.0</v>
      </c>
      <c r="O866" s="3">
        <v>236793.0</v>
      </c>
      <c r="P866" s="3" t="s">
        <v>2422</v>
      </c>
      <c r="Q866" s="3">
        <v>1208779.0</v>
      </c>
      <c r="R866" s="3"/>
      <c r="S866" s="3">
        <v>5575.5</v>
      </c>
      <c r="T866" s="3" t="s">
        <v>31</v>
      </c>
      <c r="U866" s="3">
        <v>5575.5</v>
      </c>
      <c r="V866" s="5">
        <f>(DATE(2026,2,3)-'RICE_Insured Farms_with PPI Pol'!$G866)+IF('RICE_Insured Farms_with PPI Pol'!$H866&lt;&gt;'RICE_Insured Farms_with PPI Pol'!$G866,18,0)</f>
        <v>58</v>
      </c>
      <c r="W866" s="3" t="str">
        <f t="array" ref="W866">IFS(V866&gt;120, "Harvested", V866&gt;=113, "Yellow Ripening", V866&gt;=101, "Dough Stage", V866&gt;=93, "Milking Stage", V866&gt;=86, "Flowering", V866&gt;=56, "Panicle Initiation/Booting", V866&lt;56, "Vegetative/Tillering")</f>
        <v>Panicle Initiation/Booting</v>
      </c>
    </row>
    <row r="867" ht="15.75" hidden="1" customHeight="1">
      <c r="A867" s="3">
        <v>866.0</v>
      </c>
      <c r="B867" s="3" t="s">
        <v>23</v>
      </c>
      <c r="C867" s="3" t="s">
        <v>68</v>
      </c>
      <c r="D867" s="3" t="s">
        <v>289</v>
      </c>
      <c r="E867" s="3" t="s">
        <v>290</v>
      </c>
      <c r="F867" s="3">
        <v>1760035.0</v>
      </c>
      <c r="G867" s="4">
        <v>46025.0</v>
      </c>
      <c r="H867" s="4">
        <v>46127.0</v>
      </c>
      <c r="I867" s="3" t="s">
        <v>667</v>
      </c>
      <c r="J867" s="3" t="s">
        <v>2423</v>
      </c>
      <c r="K867" s="3" t="s">
        <v>526</v>
      </c>
      <c r="L867" s="3">
        <v>0.1318</v>
      </c>
      <c r="M867" s="3">
        <v>3295.0</v>
      </c>
      <c r="N867" s="3">
        <v>2.0</v>
      </c>
      <c r="O867" s="3">
        <v>294198.0</v>
      </c>
      <c r="P867" s="3" t="s">
        <v>2424</v>
      </c>
      <c r="Q867" s="3">
        <v>1318031.0</v>
      </c>
      <c r="R867" s="3"/>
      <c r="S867" s="3">
        <v>2306.5</v>
      </c>
      <c r="T867" s="3" t="s">
        <v>31</v>
      </c>
      <c r="U867" s="3">
        <v>2306.5</v>
      </c>
      <c r="V867" s="5">
        <f>(DATE(2026,2,3)-'RICE_Insured Farms_with PPI Pol'!$G867)+IF('RICE_Insured Farms_with PPI Pol'!$H867&lt;&gt;'RICE_Insured Farms_with PPI Pol'!$G867,18,0)</f>
        <v>49</v>
      </c>
      <c r="W867" s="3" t="str">
        <f t="array" ref="W867">IFS(V867&gt;120, "Harvested", V867&gt;=113, "Yellow Ripening", V867&gt;=101, "Dough Stage", V867&gt;=93, "Milking Stage", V867&gt;=86, "Flowering", V867&gt;=56, "Panicle Initiation/Booting", V867&lt;56, "Vegetative/Tillering")</f>
        <v>Vegetative/Tillering</v>
      </c>
    </row>
    <row r="868" ht="15.75" hidden="1" customHeight="1">
      <c r="A868" s="3">
        <v>867.0</v>
      </c>
      <c r="B868" s="3" t="s">
        <v>23</v>
      </c>
      <c r="C868" s="3" t="s">
        <v>68</v>
      </c>
      <c r="D868" s="3" t="s">
        <v>289</v>
      </c>
      <c r="E868" s="3" t="s">
        <v>290</v>
      </c>
      <c r="F868" s="3">
        <v>1760036.0</v>
      </c>
      <c r="G868" s="4">
        <v>46009.0</v>
      </c>
      <c r="H868" s="4">
        <v>46129.0</v>
      </c>
      <c r="I868" s="3" t="s">
        <v>667</v>
      </c>
      <c r="J868" s="3" t="s">
        <v>1046</v>
      </c>
      <c r="K868" s="3" t="s">
        <v>1642</v>
      </c>
      <c r="L868" s="3">
        <v>0.7139</v>
      </c>
      <c r="M868" s="3">
        <v>17847.5</v>
      </c>
      <c r="N868" s="3">
        <v>2.0</v>
      </c>
      <c r="O868" s="3">
        <v>192747.0</v>
      </c>
      <c r="P868" s="3" t="s">
        <v>2425</v>
      </c>
      <c r="Q868" s="3">
        <v>1134889.0</v>
      </c>
      <c r="R868" s="3"/>
      <c r="S868" s="3">
        <v>12493.25</v>
      </c>
      <c r="T868" s="3" t="s">
        <v>31</v>
      </c>
      <c r="U868" s="3">
        <v>12493.25</v>
      </c>
      <c r="V868" s="5">
        <f>(DATE(2026,2,3)-'RICE_Insured Farms_with PPI Pol'!$G868)+IF('RICE_Insured Farms_with PPI Pol'!$H868&lt;&gt;'RICE_Insured Farms_with PPI Pol'!$G868,18,0)</f>
        <v>65</v>
      </c>
      <c r="W868" s="3" t="str">
        <f t="array" ref="W868">IFS(V868&gt;120, "Harvested", V868&gt;=113, "Yellow Ripening", V868&gt;=101, "Dough Stage", V868&gt;=93, "Milking Stage", V868&gt;=86, "Flowering", V868&gt;=56, "Panicle Initiation/Booting", V868&lt;56, "Vegetative/Tillering")</f>
        <v>Panicle Initiation/Booting</v>
      </c>
    </row>
    <row r="869" ht="15.75" customHeight="1">
      <c r="A869" s="3">
        <v>868.0</v>
      </c>
      <c r="B869" s="3" t="s">
        <v>23</v>
      </c>
      <c r="C869" s="3" t="s">
        <v>68</v>
      </c>
      <c r="D869" s="3" t="s">
        <v>289</v>
      </c>
      <c r="E869" s="3" t="s">
        <v>290</v>
      </c>
      <c r="F869" s="3">
        <v>1760036.0</v>
      </c>
      <c r="G869" s="4">
        <v>46021.0</v>
      </c>
      <c r="H869" s="4">
        <v>46123.0</v>
      </c>
      <c r="I869" s="3" t="s">
        <v>667</v>
      </c>
      <c r="J869" s="3" t="s">
        <v>1046</v>
      </c>
      <c r="K869" s="3" t="s">
        <v>1642</v>
      </c>
      <c r="L869" s="3">
        <v>0.3966</v>
      </c>
      <c r="M869" s="3">
        <v>9915.0</v>
      </c>
      <c r="N869" s="3">
        <v>3.0</v>
      </c>
      <c r="O869" s="3">
        <v>192747.0</v>
      </c>
      <c r="P869" s="3" t="s">
        <v>2425</v>
      </c>
      <c r="Q869" s="3">
        <v>1135171.0</v>
      </c>
      <c r="R869" s="3"/>
      <c r="S869" s="3">
        <v>7932.0</v>
      </c>
      <c r="T869" s="3" t="s">
        <v>37</v>
      </c>
      <c r="U869" s="3">
        <v>7932.0</v>
      </c>
      <c r="V869" s="5">
        <f>(DATE(2026,2,3)-'RICE_Insured Farms_with PPI Pol'!$G869)+IF('RICE_Insured Farms_with PPI Pol'!$H869&lt;&gt;'RICE_Insured Farms_with PPI Pol'!$G869,18,0)</f>
        <v>53</v>
      </c>
      <c r="W869" s="3" t="str">
        <f t="array" ref="W869">IFS(V869&gt;120, "Harvested", V869&gt;=113, "Yellow Ripening", V869&gt;=101, "Dough Stage", V869&gt;=93, "Milking Stage", V869&gt;=86, "Flowering", V869&gt;=56, "Panicle Initiation/Booting", V869&lt;56, "Vegetative/Tillering")</f>
        <v>Vegetative/Tillering</v>
      </c>
    </row>
    <row r="870" ht="15.75" hidden="1" customHeight="1">
      <c r="A870" s="3">
        <v>869.0</v>
      </c>
      <c r="B870" s="3" t="s">
        <v>23</v>
      </c>
      <c r="C870" s="3" t="s">
        <v>68</v>
      </c>
      <c r="D870" s="3" t="s">
        <v>289</v>
      </c>
      <c r="E870" s="3" t="s">
        <v>290</v>
      </c>
      <c r="F870" s="3">
        <v>1760033.0</v>
      </c>
      <c r="G870" s="4">
        <v>46029.0</v>
      </c>
      <c r="H870" s="4">
        <v>46131.0</v>
      </c>
      <c r="I870" s="3" t="s">
        <v>667</v>
      </c>
      <c r="J870" s="3" t="s">
        <v>2426</v>
      </c>
      <c r="K870" s="3" t="s">
        <v>2427</v>
      </c>
      <c r="L870" s="3">
        <v>0.3342</v>
      </c>
      <c r="M870" s="3">
        <v>8355.0</v>
      </c>
      <c r="N870" s="3">
        <v>2.0</v>
      </c>
      <c r="O870" s="3">
        <v>479954.0</v>
      </c>
      <c r="P870" s="3" t="s">
        <v>2428</v>
      </c>
      <c r="Q870" s="3">
        <v>1281274.0</v>
      </c>
      <c r="R870" s="3"/>
      <c r="S870" s="3">
        <v>5848.5</v>
      </c>
      <c r="T870" s="3" t="s">
        <v>31</v>
      </c>
      <c r="U870" s="3">
        <v>5848.5</v>
      </c>
      <c r="V870" s="5">
        <f>(DATE(2026,2,3)-'RICE_Insured Farms_with PPI Pol'!$G870)+IF('RICE_Insured Farms_with PPI Pol'!$H870&lt;&gt;'RICE_Insured Farms_with PPI Pol'!$G870,18,0)</f>
        <v>45</v>
      </c>
      <c r="W870" s="3" t="str">
        <f t="array" ref="W870">IFS(V870&gt;120, "Harvested", V870&gt;=113, "Yellow Ripening", V870&gt;=101, "Dough Stage", V870&gt;=93, "Milking Stage", V870&gt;=86, "Flowering", V870&gt;=56, "Panicle Initiation/Booting", V870&lt;56, "Vegetative/Tillering")</f>
        <v>Vegetative/Tillering</v>
      </c>
    </row>
    <row r="871" ht="15.75" hidden="1" customHeight="1">
      <c r="A871" s="3">
        <v>870.0</v>
      </c>
      <c r="B871" s="3" t="s">
        <v>23</v>
      </c>
      <c r="C871" s="3" t="s">
        <v>68</v>
      </c>
      <c r="D871" s="3" t="s">
        <v>289</v>
      </c>
      <c r="E871" s="3" t="s">
        <v>290</v>
      </c>
      <c r="F871" s="3">
        <v>1760036.0</v>
      </c>
      <c r="G871" s="4">
        <v>46038.0</v>
      </c>
      <c r="H871" s="4">
        <v>46140.0</v>
      </c>
      <c r="I871" s="3" t="s">
        <v>667</v>
      </c>
      <c r="J871" s="3" t="s">
        <v>2429</v>
      </c>
      <c r="K871" s="3" t="s">
        <v>2430</v>
      </c>
      <c r="L871" s="3">
        <v>0.1525</v>
      </c>
      <c r="M871" s="3">
        <v>3812.5</v>
      </c>
      <c r="N871" s="3">
        <v>2.0</v>
      </c>
      <c r="O871" s="3">
        <v>151032.0</v>
      </c>
      <c r="P871" s="3" t="s">
        <v>2431</v>
      </c>
      <c r="Q871" s="3">
        <v>1280419.0</v>
      </c>
      <c r="R871" s="3"/>
      <c r="S871" s="3">
        <v>2668.75</v>
      </c>
      <c r="T871" s="3" t="s">
        <v>31</v>
      </c>
      <c r="U871" s="3">
        <v>2668.75</v>
      </c>
      <c r="V871" s="5">
        <f>(DATE(2026,2,3)-'RICE_Insured Farms_with PPI Pol'!$G871)+IF('RICE_Insured Farms_with PPI Pol'!$H871&lt;&gt;'RICE_Insured Farms_with PPI Pol'!$G871,18,0)</f>
        <v>36</v>
      </c>
      <c r="W871" s="3" t="str">
        <f t="array" ref="W871">IFS(V871&gt;120, "Harvested", V871&gt;=113, "Yellow Ripening", V871&gt;=101, "Dough Stage", V871&gt;=93, "Milking Stage", V871&gt;=86, "Flowering", V871&gt;=56, "Panicle Initiation/Booting", V871&lt;56, "Vegetative/Tillering")</f>
        <v>Vegetative/Tillering</v>
      </c>
    </row>
    <row r="872" ht="15.75" hidden="1" customHeight="1">
      <c r="A872" s="3">
        <v>871.0</v>
      </c>
      <c r="B872" s="3" t="s">
        <v>23</v>
      </c>
      <c r="C872" s="3" t="s">
        <v>68</v>
      </c>
      <c r="D872" s="3" t="s">
        <v>289</v>
      </c>
      <c r="E872" s="3" t="s">
        <v>743</v>
      </c>
      <c r="F872" s="3">
        <v>1760028.0</v>
      </c>
      <c r="G872" s="4">
        <v>46030.0</v>
      </c>
      <c r="H872" s="4">
        <v>46132.0</v>
      </c>
      <c r="I872" s="3" t="s">
        <v>1117</v>
      </c>
      <c r="J872" s="3" t="s">
        <v>166</v>
      </c>
      <c r="K872" s="3" t="s">
        <v>1337</v>
      </c>
      <c r="L872" s="3">
        <v>0.7087</v>
      </c>
      <c r="M872" s="3">
        <v>17717.5</v>
      </c>
      <c r="N872" s="3">
        <v>2.0</v>
      </c>
      <c r="O872" s="3">
        <v>21057.0</v>
      </c>
      <c r="P872" s="3" t="s">
        <v>2432</v>
      </c>
      <c r="Q872" s="3">
        <v>1028429.0</v>
      </c>
      <c r="R872" s="3"/>
      <c r="S872" s="3">
        <v>12402.25</v>
      </c>
      <c r="T872" s="3" t="s">
        <v>31</v>
      </c>
      <c r="U872" s="3">
        <v>12402.25</v>
      </c>
      <c r="V872" s="5">
        <f>(DATE(2026,2,3)-'RICE_Insured Farms_with PPI Pol'!$G872)+IF('RICE_Insured Farms_with PPI Pol'!$H872&lt;&gt;'RICE_Insured Farms_with PPI Pol'!$G872,18,0)</f>
        <v>44</v>
      </c>
      <c r="W872" s="3" t="str">
        <f t="array" ref="W872">IFS(V872&gt;120, "Harvested", V872&gt;=113, "Yellow Ripening", V872&gt;=101, "Dough Stage", V872&gt;=93, "Milking Stage", V872&gt;=86, "Flowering", V872&gt;=56, "Panicle Initiation/Booting", V872&lt;56, "Vegetative/Tillering")</f>
        <v>Vegetative/Tillering</v>
      </c>
    </row>
    <row r="873" ht="15.75" customHeight="1">
      <c r="A873" s="3">
        <v>872.0</v>
      </c>
      <c r="B873" s="3" t="s">
        <v>23</v>
      </c>
      <c r="C873" s="3" t="s">
        <v>68</v>
      </c>
      <c r="D873" s="3" t="s">
        <v>679</v>
      </c>
      <c r="E873" s="3" t="s">
        <v>680</v>
      </c>
      <c r="F873" s="3">
        <v>1175381.0</v>
      </c>
      <c r="G873" s="4">
        <v>46014.0</v>
      </c>
      <c r="H873" s="4">
        <v>46116.0</v>
      </c>
      <c r="I873" s="3" t="s">
        <v>1117</v>
      </c>
      <c r="J873" s="3" t="s">
        <v>2433</v>
      </c>
      <c r="K873" s="3" t="s">
        <v>2434</v>
      </c>
      <c r="L873" s="3">
        <v>0.9734</v>
      </c>
      <c r="M873" s="3">
        <v>24335.0</v>
      </c>
      <c r="N873" s="3">
        <v>3.0</v>
      </c>
      <c r="O873" s="3">
        <v>329808.0</v>
      </c>
      <c r="P873" s="3" t="s">
        <v>2435</v>
      </c>
      <c r="Q873" s="3">
        <v>1142311.0</v>
      </c>
      <c r="R873" s="3"/>
      <c r="S873" s="3">
        <v>19468.0</v>
      </c>
      <c r="T873" s="3" t="s">
        <v>37</v>
      </c>
      <c r="U873" s="3">
        <v>19468.0</v>
      </c>
      <c r="V873" s="5">
        <f>(DATE(2026,2,3)-'RICE_Insured Farms_with PPI Pol'!$G873)+IF('RICE_Insured Farms_with PPI Pol'!$H873&lt;&gt;'RICE_Insured Farms_with PPI Pol'!$G873,18,0)</f>
        <v>60</v>
      </c>
      <c r="W873" s="3" t="str">
        <f t="array" ref="W873">IFS(V873&gt;120, "Harvested", V873&gt;=113, "Yellow Ripening", V873&gt;=101, "Dough Stage", V873&gt;=93, "Milking Stage", V873&gt;=86, "Flowering", V873&gt;=56, "Panicle Initiation/Booting", V873&lt;56, "Vegetative/Tillering")</f>
        <v>Panicle Initiation/Booting</v>
      </c>
    </row>
    <row r="874" ht="15.75" hidden="1" customHeight="1">
      <c r="A874" s="3">
        <v>873.0</v>
      </c>
      <c r="B874" s="3" t="s">
        <v>23</v>
      </c>
      <c r="C874" s="3" t="s">
        <v>68</v>
      </c>
      <c r="D874" s="3" t="s">
        <v>679</v>
      </c>
      <c r="E874" s="3" t="s">
        <v>680</v>
      </c>
      <c r="F874" s="3">
        <v>1175381.0</v>
      </c>
      <c r="G874" s="4">
        <v>46027.0</v>
      </c>
      <c r="H874" s="4">
        <v>46129.0</v>
      </c>
      <c r="I874" s="3" t="s">
        <v>1117</v>
      </c>
      <c r="J874" s="3" t="s">
        <v>2433</v>
      </c>
      <c r="K874" s="3" t="s">
        <v>2434</v>
      </c>
      <c r="L874" s="3">
        <v>0.3164</v>
      </c>
      <c r="M874" s="3">
        <v>7910.0</v>
      </c>
      <c r="N874" s="3">
        <v>2.0</v>
      </c>
      <c r="O874" s="3">
        <v>329808.0</v>
      </c>
      <c r="P874" s="3" t="s">
        <v>2435</v>
      </c>
      <c r="Q874" s="3">
        <v>1142312.0</v>
      </c>
      <c r="R874" s="3"/>
      <c r="S874" s="3">
        <v>5537.0</v>
      </c>
      <c r="T874" s="3" t="s">
        <v>31</v>
      </c>
      <c r="U874" s="3">
        <v>5537.0</v>
      </c>
      <c r="V874" s="5">
        <f>(DATE(2026,2,3)-'RICE_Insured Farms_with PPI Pol'!$G874)+IF('RICE_Insured Farms_with PPI Pol'!$H874&lt;&gt;'RICE_Insured Farms_with PPI Pol'!$G874,18,0)</f>
        <v>47</v>
      </c>
      <c r="W874" s="3" t="str">
        <f t="array" ref="W874">IFS(V874&gt;120, "Harvested", V874&gt;=113, "Yellow Ripening", V874&gt;=101, "Dough Stage", V874&gt;=93, "Milking Stage", V874&gt;=86, "Flowering", V874&gt;=56, "Panicle Initiation/Booting", V874&lt;56, "Vegetative/Tillering")</f>
        <v>Vegetative/Tillering</v>
      </c>
    </row>
    <row r="875" ht="15.75" hidden="1" customHeight="1">
      <c r="A875" s="3">
        <v>874.0</v>
      </c>
      <c r="B875" s="3" t="s">
        <v>23</v>
      </c>
      <c r="C875" s="3" t="s">
        <v>50</v>
      </c>
      <c r="D875" s="3" t="s">
        <v>51</v>
      </c>
      <c r="E875" s="3" t="s">
        <v>321</v>
      </c>
      <c r="F875" s="3">
        <v>1741851.0</v>
      </c>
      <c r="G875" s="4">
        <v>46034.0</v>
      </c>
      <c r="H875" s="4">
        <v>46129.0</v>
      </c>
      <c r="I875" s="3" t="s">
        <v>2436</v>
      </c>
      <c r="J875" s="3" t="s">
        <v>2437</v>
      </c>
      <c r="K875" s="3" t="s">
        <v>536</v>
      </c>
      <c r="L875" s="3">
        <v>0.1336</v>
      </c>
      <c r="M875" s="3">
        <v>3340.0</v>
      </c>
      <c r="N875" s="3">
        <v>2.0</v>
      </c>
      <c r="O875" s="3">
        <v>404383.0</v>
      </c>
      <c r="P875" s="3" t="s">
        <v>2438</v>
      </c>
      <c r="Q875" s="3">
        <v>1291440.0</v>
      </c>
      <c r="R875" s="3"/>
      <c r="S875" s="3">
        <v>2338.0</v>
      </c>
      <c r="T875" s="3" t="s">
        <v>31</v>
      </c>
      <c r="U875" s="3">
        <v>2338.0</v>
      </c>
      <c r="V875" s="5">
        <f>(DATE(2026,2,3)-'RICE_Insured Farms_with PPI Pol'!$G875)+IF('RICE_Insured Farms_with PPI Pol'!$H875&lt;&gt;'RICE_Insured Farms_with PPI Pol'!$G875,18,0)</f>
        <v>40</v>
      </c>
      <c r="W875" s="3" t="str">
        <f t="array" ref="W875">IFS(V875&gt;120, "Harvested", V875&gt;=113, "Yellow Ripening", V875&gt;=101, "Dough Stage", V875&gt;=93, "Milking Stage", V875&gt;=86, "Flowering", V875&gt;=56, "Panicle Initiation/Booting", V875&lt;56, "Vegetative/Tillering")</f>
        <v>Vegetative/Tillering</v>
      </c>
    </row>
    <row r="876" ht="15.75" hidden="1" customHeight="1">
      <c r="A876" s="3">
        <v>875.0</v>
      </c>
      <c r="B876" s="3" t="s">
        <v>23</v>
      </c>
      <c r="C876" s="3" t="s">
        <v>68</v>
      </c>
      <c r="D876" s="3" t="s">
        <v>289</v>
      </c>
      <c r="E876" s="3" t="s">
        <v>431</v>
      </c>
      <c r="F876" s="3">
        <v>1760046.0</v>
      </c>
      <c r="G876" s="4">
        <v>46039.0</v>
      </c>
      <c r="H876" s="4">
        <v>46141.0</v>
      </c>
      <c r="I876" s="3" t="s">
        <v>974</v>
      </c>
      <c r="J876" s="3" t="s">
        <v>1517</v>
      </c>
      <c r="K876" s="3" t="s">
        <v>2439</v>
      </c>
      <c r="L876" s="3">
        <v>0.223</v>
      </c>
      <c r="M876" s="3">
        <v>5575.0</v>
      </c>
      <c r="N876" s="3">
        <v>2.0</v>
      </c>
      <c r="O876" s="3">
        <v>237082.0</v>
      </c>
      <c r="P876" s="3" t="s">
        <v>2440</v>
      </c>
      <c r="Q876" s="3">
        <v>974576.0</v>
      </c>
      <c r="R876" s="3"/>
      <c r="S876" s="3">
        <v>3902.5</v>
      </c>
      <c r="T876" s="3" t="s">
        <v>31</v>
      </c>
      <c r="U876" s="3">
        <v>3902.5</v>
      </c>
      <c r="V876" s="5">
        <f>(DATE(2026,2,3)-'RICE_Insured Farms_with PPI Pol'!$G876)+IF('RICE_Insured Farms_with PPI Pol'!$H876&lt;&gt;'RICE_Insured Farms_with PPI Pol'!$G876,18,0)</f>
        <v>35</v>
      </c>
      <c r="W876" s="3" t="str">
        <f t="array" ref="W876">IFS(V876&gt;120, "Harvested", V876&gt;=113, "Yellow Ripening", V876&gt;=101, "Dough Stage", V876&gt;=93, "Milking Stage", V876&gt;=86, "Flowering", V876&gt;=56, "Panicle Initiation/Booting", V876&lt;56, "Vegetative/Tillering")</f>
        <v>Vegetative/Tillering</v>
      </c>
    </row>
    <row r="877" ht="15.75" hidden="1" customHeight="1">
      <c r="A877" s="3">
        <v>876.0</v>
      </c>
      <c r="B877" s="3" t="s">
        <v>23</v>
      </c>
      <c r="C877" s="3" t="s">
        <v>1453</v>
      </c>
      <c r="D877" s="3" t="s">
        <v>1454</v>
      </c>
      <c r="E877" s="3" t="s">
        <v>1455</v>
      </c>
      <c r="F877" s="3">
        <v>1742045.0</v>
      </c>
      <c r="G877" s="4">
        <v>46052.0</v>
      </c>
      <c r="H877" s="4">
        <v>46154.0</v>
      </c>
      <c r="I877" s="3" t="s">
        <v>2441</v>
      </c>
      <c r="J877" s="3" t="s">
        <v>2442</v>
      </c>
      <c r="K877" s="3" t="s">
        <v>1154</v>
      </c>
      <c r="L877" s="3">
        <v>1.1262</v>
      </c>
      <c r="M877" s="3">
        <v>28155.0</v>
      </c>
      <c r="N877" s="3">
        <v>1.0</v>
      </c>
      <c r="O877" s="3">
        <v>17043.0</v>
      </c>
      <c r="P877" s="3"/>
      <c r="Q877" s="3">
        <v>1318529.0</v>
      </c>
      <c r="R877" s="3"/>
      <c r="S877" s="3">
        <v>16893.0</v>
      </c>
      <c r="T877" s="3" t="s">
        <v>62</v>
      </c>
      <c r="U877" s="3">
        <v>16893.0</v>
      </c>
      <c r="V877" s="5">
        <f>(DATE(2026,2,3)-'RICE_Insured Farms_with PPI Pol'!$G877)+IF('RICE_Insured Farms_with PPI Pol'!$H877&lt;&gt;'RICE_Insured Farms_with PPI Pol'!$G877,18,0)</f>
        <v>22</v>
      </c>
      <c r="W877" s="3" t="str">
        <f t="array" ref="W877">IFS(V877&gt;120, "Harvested", V877&gt;=113, "Yellow Ripening", V877&gt;=101, "Dough Stage", V877&gt;=93, "Milking Stage", V877&gt;=86, "Flowering", V877&gt;=56, "Panicle Initiation/Booting", V877&lt;56, "Vegetative/Tillering")</f>
        <v>Vegetative/Tillering</v>
      </c>
    </row>
    <row r="878" ht="15.75" customHeight="1">
      <c r="A878" s="3">
        <v>877.0</v>
      </c>
      <c r="B878" s="3" t="s">
        <v>23</v>
      </c>
      <c r="C878" s="3" t="s">
        <v>1453</v>
      </c>
      <c r="D878" s="3" t="s">
        <v>1454</v>
      </c>
      <c r="E878" s="3" t="s">
        <v>1246</v>
      </c>
      <c r="F878" s="3">
        <v>1742043.0</v>
      </c>
      <c r="G878" s="4">
        <v>46018.0</v>
      </c>
      <c r="H878" s="4">
        <v>46120.0</v>
      </c>
      <c r="I878" s="3" t="s">
        <v>2441</v>
      </c>
      <c r="J878" s="3" t="s">
        <v>2443</v>
      </c>
      <c r="K878" s="3" t="s">
        <v>1984</v>
      </c>
      <c r="L878" s="3">
        <v>0.4743</v>
      </c>
      <c r="M878" s="3">
        <v>11857.5</v>
      </c>
      <c r="N878" s="3">
        <v>3.0</v>
      </c>
      <c r="O878" s="3">
        <v>389615.0</v>
      </c>
      <c r="P878" s="3"/>
      <c r="Q878" s="3">
        <v>1317907.0</v>
      </c>
      <c r="R878" s="3"/>
      <c r="S878" s="3">
        <v>9486.0</v>
      </c>
      <c r="T878" s="3" t="s">
        <v>37</v>
      </c>
      <c r="U878" s="3">
        <v>9486.0</v>
      </c>
      <c r="V878" s="5">
        <f>(DATE(2026,2,3)-'RICE_Insured Farms_with PPI Pol'!$G878)+IF('RICE_Insured Farms_with PPI Pol'!$H878&lt;&gt;'RICE_Insured Farms_with PPI Pol'!$G878,18,0)</f>
        <v>56</v>
      </c>
      <c r="W878" s="3" t="str">
        <f t="array" ref="W878">IFS(V878&gt;120, "Harvested", V878&gt;=113, "Yellow Ripening", V878&gt;=101, "Dough Stage", V878&gt;=93, "Milking Stage", V878&gt;=86, "Flowering", V878&gt;=56, "Panicle Initiation/Booting", V878&lt;56, "Vegetative/Tillering")</f>
        <v>Panicle Initiation/Booting</v>
      </c>
    </row>
    <row r="879" ht="15.75" customHeight="1">
      <c r="A879" s="3">
        <v>878.0</v>
      </c>
      <c r="B879" s="3" t="s">
        <v>23</v>
      </c>
      <c r="C879" s="3" t="s">
        <v>1453</v>
      </c>
      <c r="D879" s="3" t="s">
        <v>1454</v>
      </c>
      <c r="E879" s="3" t="s">
        <v>1246</v>
      </c>
      <c r="F879" s="3">
        <v>1742043.0</v>
      </c>
      <c r="G879" s="4">
        <v>46018.0</v>
      </c>
      <c r="H879" s="4">
        <v>46120.0</v>
      </c>
      <c r="I879" s="3" t="s">
        <v>2441</v>
      </c>
      <c r="J879" s="3" t="s">
        <v>2443</v>
      </c>
      <c r="K879" s="3" t="s">
        <v>1984</v>
      </c>
      <c r="L879" s="3">
        <v>0.1385</v>
      </c>
      <c r="M879" s="3">
        <v>3462.5</v>
      </c>
      <c r="N879" s="3">
        <v>3.0</v>
      </c>
      <c r="O879" s="3">
        <v>389615.0</v>
      </c>
      <c r="P879" s="3"/>
      <c r="Q879" s="3">
        <v>1317911.0</v>
      </c>
      <c r="R879" s="3"/>
      <c r="S879" s="3">
        <v>2770.0</v>
      </c>
      <c r="T879" s="3" t="s">
        <v>37</v>
      </c>
      <c r="U879" s="3">
        <v>2770.0</v>
      </c>
      <c r="V879" s="5">
        <f>(DATE(2026,2,3)-'RICE_Insured Farms_with PPI Pol'!$G879)+IF('RICE_Insured Farms_with PPI Pol'!$H879&lt;&gt;'RICE_Insured Farms_with PPI Pol'!$G879,18,0)</f>
        <v>56</v>
      </c>
      <c r="W879" s="3" t="str">
        <f t="array" ref="W879">IFS(V879&gt;120, "Harvested", V879&gt;=113, "Yellow Ripening", V879&gt;=101, "Dough Stage", V879&gt;=93, "Milking Stage", V879&gt;=86, "Flowering", V879&gt;=56, "Panicle Initiation/Booting", V879&lt;56, "Vegetative/Tillering")</f>
        <v>Panicle Initiation/Booting</v>
      </c>
    </row>
    <row r="880" ht="15.75" hidden="1" customHeight="1">
      <c r="A880" s="3">
        <v>879.0</v>
      </c>
      <c r="B880" s="3" t="s">
        <v>23</v>
      </c>
      <c r="C880" s="3" t="s">
        <v>1453</v>
      </c>
      <c r="D880" s="3" t="s">
        <v>1454</v>
      </c>
      <c r="E880" s="3" t="s">
        <v>1246</v>
      </c>
      <c r="F880" s="3">
        <v>1742043.0</v>
      </c>
      <c r="G880" s="4">
        <v>46032.0</v>
      </c>
      <c r="H880" s="4">
        <v>46134.0</v>
      </c>
      <c r="I880" s="3" t="s">
        <v>2441</v>
      </c>
      <c r="J880" s="3" t="s">
        <v>2443</v>
      </c>
      <c r="K880" s="3" t="s">
        <v>1984</v>
      </c>
      <c r="L880" s="3">
        <v>0.1714</v>
      </c>
      <c r="M880" s="3">
        <v>4285.0</v>
      </c>
      <c r="N880" s="3">
        <v>2.0</v>
      </c>
      <c r="O880" s="3">
        <v>389615.0</v>
      </c>
      <c r="P880" s="3"/>
      <c r="Q880" s="3">
        <v>1317915.0</v>
      </c>
      <c r="R880" s="3"/>
      <c r="S880" s="3">
        <v>2999.5</v>
      </c>
      <c r="T880" s="3" t="s">
        <v>31</v>
      </c>
      <c r="U880" s="3">
        <v>2999.5</v>
      </c>
      <c r="V880" s="5">
        <f>(DATE(2026,2,3)-'RICE_Insured Farms_with PPI Pol'!$G880)+IF('RICE_Insured Farms_with PPI Pol'!$H880&lt;&gt;'RICE_Insured Farms_with PPI Pol'!$G880,18,0)</f>
        <v>42</v>
      </c>
      <c r="W880" s="3" t="str">
        <f t="array" ref="W880">IFS(V880&gt;120, "Harvested", V880&gt;=113, "Yellow Ripening", V880&gt;=101, "Dough Stage", V880&gt;=93, "Milking Stage", V880&gt;=86, "Flowering", V880&gt;=56, "Panicle Initiation/Booting", V880&lt;56, "Vegetative/Tillering")</f>
        <v>Vegetative/Tillering</v>
      </c>
    </row>
    <row r="881" ht="15.75" hidden="1" customHeight="1">
      <c r="A881" s="3">
        <v>880.0</v>
      </c>
      <c r="B881" s="3" t="s">
        <v>23</v>
      </c>
      <c r="C881" s="3" t="s">
        <v>68</v>
      </c>
      <c r="D881" s="3" t="s">
        <v>289</v>
      </c>
      <c r="E881" s="3" t="s">
        <v>363</v>
      </c>
      <c r="F881" s="3">
        <v>1760050.0</v>
      </c>
      <c r="G881" s="4">
        <v>46033.0</v>
      </c>
      <c r="H881" s="4">
        <v>46135.0</v>
      </c>
      <c r="I881" s="3" t="s">
        <v>2444</v>
      </c>
      <c r="J881" s="3" t="s">
        <v>2445</v>
      </c>
      <c r="K881" s="3" t="s">
        <v>429</v>
      </c>
      <c r="L881" s="3">
        <v>0.9272</v>
      </c>
      <c r="M881" s="3">
        <v>23180.0</v>
      </c>
      <c r="N881" s="3">
        <v>2.0</v>
      </c>
      <c r="O881" s="3">
        <v>199571.0</v>
      </c>
      <c r="P881" s="3"/>
      <c r="Q881" s="3">
        <v>1280580.0</v>
      </c>
      <c r="R881" s="3"/>
      <c r="S881" s="3">
        <v>16226.0</v>
      </c>
      <c r="T881" s="3" t="s">
        <v>31</v>
      </c>
      <c r="U881" s="3">
        <v>16226.0</v>
      </c>
      <c r="V881" s="5">
        <f>(DATE(2026,2,3)-'RICE_Insured Farms_with PPI Pol'!$G881)+IF('RICE_Insured Farms_with PPI Pol'!$H881&lt;&gt;'RICE_Insured Farms_with PPI Pol'!$G881,18,0)</f>
        <v>41</v>
      </c>
      <c r="W881" s="3" t="str">
        <f t="array" ref="W881">IFS(V881&gt;120, "Harvested", V881&gt;=113, "Yellow Ripening", V881&gt;=101, "Dough Stage", V881&gt;=93, "Milking Stage", V881&gt;=86, "Flowering", V881&gt;=56, "Panicle Initiation/Booting", V881&lt;56, "Vegetative/Tillering")</f>
        <v>Vegetative/Tillering</v>
      </c>
    </row>
    <row r="882" ht="15.75" hidden="1" customHeight="1">
      <c r="A882" s="3">
        <v>881.0</v>
      </c>
      <c r="B882" s="3" t="s">
        <v>23</v>
      </c>
      <c r="C882" s="3" t="s">
        <v>68</v>
      </c>
      <c r="D882" s="3" t="s">
        <v>289</v>
      </c>
      <c r="E882" s="3" t="s">
        <v>363</v>
      </c>
      <c r="F882" s="3">
        <v>1760050.0</v>
      </c>
      <c r="G882" s="4">
        <v>46052.0</v>
      </c>
      <c r="H882" s="4">
        <v>46154.0</v>
      </c>
      <c r="I882" s="3" t="s">
        <v>2444</v>
      </c>
      <c r="J882" s="3" t="s">
        <v>2445</v>
      </c>
      <c r="K882" s="3" t="s">
        <v>429</v>
      </c>
      <c r="L882" s="3">
        <v>0.5332</v>
      </c>
      <c r="M882" s="3">
        <v>13330.0</v>
      </c>
      <c r="N882" s="3">
        <v>1.0</v>
      </c>
      <c r="O882" s="3">
        <v>199571.0</v>
      </c>
      <c r="P882" s="3"/>
      <c r="Q882" s="3">
        <v>1280585.0</v>
      </c>
      <c r="R882" s="3"/>
      <c r="S882" s="3">
        <v>7998.0</v>
      </c>
      <c r="T882" s="3" t="s">
        <v>62</v>
      </c>
      <c r="U882" s="3">
        <v>7998.0</v>
      </c>
      <c r="V882" s="5">
        <f>(DATE(2026,2,3)-'RICE_Insured Farms_with PPI Pol'!$G882)+IF('RICE_Insured Farms_with PPI Pol'!$H882&lt;&gt;'RICE_Insured Farms_with PPI Pol'!$G882,18,0)</f>
        <v>22</v>
      </c>
      <c r="W882" s="3" t="str">
        <f t="array" ref="W882">IFS(V882&gt;120, "Harvested", V882&gt;=113, "Yellow Ripening", V882&gt;=101, "Dough Stage", V882&gt;=93, "Milking Stage", V882&gt;=86, "Flowering", V882&gt;=56, "Panicle Initiation/Booting", V882&lt;56, "Vegetative/Tillering")</f>
        <v>Vegetative/Tillering</v>
      </c>
    </row>
    <row r="883" ht="15.75" customHeight="1">
      <c r="A883" s="3">
        <v>882.0</v>
      </c>
      <c r="B883" s="3" t="s">
        <v>23</v>
      </c>
      <c r="C883" s="3" t="s">
        <v>68</v>
      </c>
      <c r="D883" s="3" t="s">
        <v>289</v>
      </c>
      <c r="E883" s="3" t="s">
        <v>743</v>
      </c>
      <c r="F883" s="3">
        <v>1760014.0</v>
      </c>
      <c r="G883" s="4">
        <v>46018.0</v>
      </c>
      <c r="H883" s="4">
        <v>46120.0</v>
      </c>
      <c r="I883" s="3" t="s">
        <v>125</v>
      </c>
      <c r="J883" s="3" t="s">
        <v>2446</v>
      </c>
      <c r="K883" s="3" t="s">
        <v>846</v>
      </c>
      <c r="L883" s="3">
        <v>1.4673</v>
      </c>
      <c r="M883" s="3">
        <v>36682.5</v>
      </c>
      <c r="N883" s="3">
        <v>3.0</v>
      </c>
      <c r="O883" s="3">
        <v>199118.0</v>
      </c>
      <c r="P883" s="3" t="s">
        <v>2447</v>
      </c>
      <c r="Q883" s="3">
        <v>1316458.0</v>
      </c>
      <c r="R883" s="3"/>
      <c r="S883" s="3">
        <v>29346.0</v>
      </c>
      <c r="T883" s="3" t="s">
        <v>37</v>
      </c>
      <c r="U883" s="3">
        <v>29346.0</v>
      </c>
      <c r="V883" s="5">
        <f>(DATE(2026,2,3)-'RICE_Insured Farms_with PPI Pol'!$G883)+IF('RICE_Insured Farms_with PPI Pol'!$H883&lt;&gt;'RICE_Insured Farms_with PPI Pol'!$G883,18,0)</f>
        <v>56</v>
      </c>
      <c r="W883" s="3" t="str">
        <f t="array" ref="W883">IFS(V883&gt;120, "Harvested", V883&gt;=113, "Yellow Ripening", V883&gt;=101, "Dough Stage", V883&gt;=93, "Milking Stage", V883&gt;=86, "Flowering", V883&gt;=56, "Panicle Initiation/Booting", V883&lt;56, "Vegetative/Tillering")</f>
        <v>Panicle Initiation/Booting</v>
      </c>
    </row>
    <row r="884" ht="15.75" hidden="1" customHeight="1">
      <c r="A884" s="3">
        <v>883.0</v>
      </c>
      <c r="B884" s="3" t="s">
        <v>23</v>
      </c>
      <c r="C884" s="3" t="s">
        <v>68</v>
      </c>
      <c r="D884" s="3" t="s">
        <v>289</v>
      </c>
      <c r="E884" s="3" t="s">
        <v>352</v>
      </c>
      <c r="F884" s="3">
        <v>1760040.0</v>
      </c>
      <c r="G884" s="4">
        <v>46025.0</v>
      </c>
      <c r="H884" s="4">
        <v>46127.0</v>
      </c>
      <c r="I884" s="3" t="s">
        <v>1293</v>
      </c>
      <c r="J884" s="3" t="s">
        <v>2448</v>
      </c>
      <c r="K884" s="3" t="s">
        <v>271</v>
      </c>
      <c r="L884" s="3">
        <v>0.5559</v>
      </c>
      <c r="M884" s="3">
        <v>13897.5</v>
      </c>
      <c r="N884" s="3">
        <v>2.0</v>
      </c>
      <c r="O884" s="3">
        <v>299633.0</v>
      </c>
      <c r="P884" s="3"/>
      <c r="Q884" s="3">
        <v>1283330.0</v>
      </c>
      <c r="R884" s="3"/>
      <c r="S884" s="3">
        <v>9728.25</v>
      </c>
      <c r="T884" s="3" t="s">
        <v>31</v>
      </c>
      <c r="U884" s="3">
        <v>9728.25</v>
      </c>
      <c r="V884" s="5">
        <f>(DATE(2026,2,3)-'RICE_Insured Farms_with PPI Pol'!$G884)+IF('RICE_Insured Farms_with PPI Pol'!$H884&lt;&gt;'RICE_Insured Farms_with PPI Pol'!$G884,18,0)</f>
        <v>49</v>
      </c>
      <c r="W884" s="3" t="str">
        <f t="array" ref="W884">IFS(V884&gt;120, "Harvested", V884&gt;=113, "Yellow Ripening", V884&gt;=101, "Dough Stage", V884&gt;=93, "Milking Stage", V884&gt;=86, "Flowering", V884&gt;=56, "Panicle Initiation/Booting", V884&lt;56, "Vegetative/Tillering")</f>
        <v>Vegetative/Tillering</v>
      </c>
    </row>
    <row r="885" ht="15.75" customHeight="1">
      <c r="A885" s="3">
        <v>884.0</v>
      </c>
      <c r="B885" s="3" t="s">
        <v>23</v>
      </c>
      <c r="C885" s="3" t="s">
        <v>68</v>
      </c>
      <c r="D885" s="3" t="s">
        <v>289</v>
      </c>
      <c r="E885" s="3" t="s">
        <v>290</v>
      </c>
      <c r="F885" s="3">
        <v>1760047.0</v>
      </c>
      <c r="G885" s="4">
        <v>46022.0</v>
      </c>
      <c r="H885" s="4">
        <v>46124.0</v>
      </c>
      <c r="I885" s="3" t="s">
        <v>2449</v>
      </c>
      <c r="J885" s="3" t="s">
        <v>2450</v>
      </c>
      <c r="K885" s="3" t="s">
        <v>2052</v>
      </c>
      <c r="L885" s="3">
        <v>0.5205</v>
      </c>
      <c r="M885" s="3">
        <v>13012.5</v>
      </c>
      <c r="N885" s="3">
        <v>3.0</v>
      </c>
      <c r="O885" s="3">
        <v>151031.0</v>
      </c>
      <c r="P885" s="3" t="s">
        <v>2451</v>
      </c>
      <c r="Q885" s="3">
        <v>1142802.0</v>
      </c>
      <c r="R885" s="3"/>
      <c r="S885" s="3">
        <v>10410.0</v>
      </c>
      <c r="T885" s="3" t="s">
        <v>37</v>
      </c>
      <c r="U885" s="3">
        <v>10410.0</v>
      </c>
      <c r="V885" s="5">
        <f>(DATE(2026,2,3)-'RICE_Insured Farms_with PPI Pol'!$G885)+IF('RICE_Insured Farms_with PPI Pol'!$H885&lt;&gt;'RICE_Insured Farms_with PPI Pol'!$G885,18,0)</f>
        <v>52</v>
      </c>
      <c r="W885" s="3" t="str">
        <f t="array" ref="W885">IFS(V885&gt;120, "Harvested", V885&gt;=113, "Yellow Ripening", V885&gt;=101, "Dough Stage", V885&gt;=93, "Milking Stage", V885&gt;=86, "Flowering", V885&gt;=56, "Panicle Initiation/Booting", V885&lt;56, "Vegetative/Tillering")</f>
        <v>Vegetative/Tillering</v>
      </c>
    </row>
    <row r="886" ht="15.75" customHeight="1">
      <c r="A886" s="3">
        <v>885.0</v>
      </c>
      <c r="B886" s="3" t="s">
        <v>23</v>
      </c>
      <c r="C886" s="3" t="s">
        <v>68</v>
      </c>
      <c r="D886" s="3" t="s">
        <v>289</v>
      </c>
      <c r="E886" s="3" t="s">
        <v>702</v>
      </c>
      <c r="F886" s="3">
        <v>1760026.0</v>
      </c>
      <c r="G886" s="4">
        <v>46024.0</v>
      </c>
      <c r="H886" s="4">
        <v>46126.0</v>
      </c>
      <c r="I886" s="3" t="s">
        <v>2452</v>
      </c>
      <c r="J886" s="3" t="s">
        <v>2453</v>
      </c>
      <c r="K886" s="3" t="s">
        <v>2454</v>
      </c>
      <c r="L886" s="3">
        <v>0.4158</v>
      </c>
      <c r="M886" s="3">
        <v>10395.0</v>
      </c>
      <c r="N886" s="3">
        <v>3.0</v>
      </c>
      <c r="O886" s="3">
        <v>31357.0</v>
      </c>
      <c r="P886" s="3" t="s">
        <v>2455</v>
      </c>
      <c r="Q886" s="3">
        <v>1284275.0</v>
      </c>
      <c r="R886" s="3"/>
      <c r="S886" s="3">
        <v>8316.0</v>
      </c>
      <c r="T886" s="3" t="s">
        <v>37</v>
      </c>
      <c r="U886" s="3">
        <v>8316.0</v>
      </c>
      <c r="V886" s="5">
        <f>(DATE(2026,2,3)-'RICE_Insured Farms_with PPI Pol'!$G886)+IF('RICE_Insured Farms_with PPI Pol'!$H886&lt;&gt;'RICE_Insured Farms_with PPI Pol'!$G886,18,0)</f>
        <v>50</v>
      </c>
      <c r="W886" s="3" t="str">
        <f t="array" ref="W886">IFS(V886&gt;120, "Harvested", V886&gt;=113, "Yellow Ripening", V886&gt;=101, "Dough Stage", V886&gt;=93, "Milking Stage", V886&gt;=86, "Flowering", V886&gt;=56, "Panicle Initiation/Booting", V886&lt;56, "Vegetative/Tillering")</f>
        <v>Vegetative/Tillering</v>
      </c>
    </row>
    <row r="887" ht="15.75" customHeight="1">
      <c r="A887" s="3">
        <v>886.0</v>
      </c>
      <c r="B887" s="3" t="s">
        <v>23</v>
      </c>
      <c r="C887" s="3" t="s">
        <v>68</v>
      </c>
      <c r="D887" s="3" t="s">
        <v>289</v>
      </c>
      <c r="E887" s="3" t="s">
        <v>702</v>
      </c>
      <c r="F887" s="3">
        <v>1760027.0</v>
      </c>
      <c r="G887" s="4">
        <v>46022.0</v>
      </c>
      <c r="H887" s="4">
        <v>46124.0</v>
      </c>
      <c r="I887" s="3" t="s">
        <v>2452</v>
      </c>
      <c r="J887" s="3" t="s">
        <v>423</v>
      </c>
      <c r="K887" s="3" t="s">
        <v>2454</v>
      </c>
      <c r="L887" s="3">
        <v>0.3658</v>
      </c>
      <c r="M887" s="3">
        <v>9145.0</v>
      </c>
      <c r="N887" s="3">
        <v>3.0</v>
      </c>
      <c r="O887" s="3">
        <v>31360.0</v>
      </c>
      <c r="P887" s="3" t="s">
        <v>2456</v>
      </c>
      <c r="Q887" s="3">
        <v>1285403.0</v>
      </c>
      <c r="R887" s="3"/>
      <c r="S887" s="3">
        <v>7316.0</v>
      </c>
      <c r="T887" s="3" t="s">
        <v>37</v>
      </c>
      <c r="U887" s="3">
        <v>7316.0</v>
      </c>
      <c r="V887" s="5">
        <f>(DATE(2026,2,3)-'RICE_Insured Farms_with PPI Pol'!$G887)+IF('RICE_Insured Farms_with PPI Pol'!$H887&lt;&gt;'RICE_Insured Farms_with PPI Pol'!$G887,18,0)</f>
        <v>52</v>
      </c>
      <c r="W887" s="3" t="str">
        <f t="array" ref="W887">IFS(V887&gt;120, "Harvested", V887&gt;=113, "Yellow Ripening", V887&gt;=101, "Dough Stage", V887&gt;=93, "Milking Stage", V887&gt;=86, "Flowering", V887&gt;=56, "Panicle Initiation/Booting", V887&lt;56, "Vegetative/Tillering")</f>
        <v>Vegetative/Tillering</v>
      </c>
    </row>
    <row r="888" ht="15.75" hidden="1" customHeight="1">
      <c r="A888" s="3">
        <v>1206.0</v>
      </c>
      <c r="B888" s="3" t="s">
        <v>23</v>
      </c>
      <c r="C888" s="3" t="s">
        <v>24</v>
      </c>
      <c r="D888" s="3" t="s">
        <v>25</v>
      </c>
      <c r="E888" s="3" t="s">
        <v>594</v>
      </c>
      <c r="F888" s="3">
        <v>1760481.0</v>
      </c>
      <c r="G888" s="4">
        <v>46016.0</v>
      </c>
      <c r="H888" s="4">
        <v>46111.0</v>
      </c>
      <c r="I888" s="3" t="s">
        <v>2457</v>
      </c>
      <c r="J888" s="3" t="s">
        <v>912</v>
      </c>
      <c r="K888" s="3" t="s">
        <v>2166</v>
      </c>
      <c r="L888" s="3">
        <v>1.8559</v>
      </c>
      <c r="M888" s="3">
        <v>46397.5</v>
      </c>
      <c r="N888" s="3">
        <v>4.0</v>
      </c>
      <c r="O888" s="3">
        <v>128796.0</v>
      </c>
      <c r="P888" s="3" t="s">
        <v>2458</v>
      </c>
      <c r="Q888" s="3">
        <v>1326036.0</v>
      </c>
      <c r="R888" s="3"/>
      <c r="S888" s="3">
        <v>37118.0</v>
      </c>
      <c r="T888" s="3" t="s">
        <v>56</v>
      </c>
      <c r="U888" s="3">
        <v>37118.0</v>
      </c>
      <c r="V888" s="5">
        <f>(DATE(2026,2,3)-'RICE_Insured Farms_with PPI Pol'!$G888)+IF('RICE_Insured Farms_with PPI Pol'!$H888&lt;&gt;'RICE_Insured Farms_with PPI Pol'!$G888,18,0)</f>
        <v>58</v>
      </c>
      <c r="W888" s="3" t="str">
        <f t="array" ref="W888">IFS(V888&gt;120, "Harvested", V888&gt;=113, "Yellow Ripening", V888&gt;=101, "Dough Stage", V888&gt;=93, "Milking Stage", V888&gt;=86, "Flowering", V888&gt;=56, "Panicle Initiation/Booting", V888&lt;56, "Vegetative/Tillering")</f>
        <v>Panicle Initiation/Booting</v>
      </c>
    </row>
    <row r="889" ht="15.75" customHeight="1">
      <c r="A889" s="3">
        <v>888.0</v>
      </c>
      <c r="B889" s="3" t="s">
        <v>23</v>
      </c>
      <c r="C889" s="3" t="s">
        <v>68</v>
      </c>
      <c r="D889" s="3" t="s">
        <v>289</v>
      </c>
      <c r="E889" s="3" t="s">
        <v>743</v>
      </c>
      <c r="F889" s="3">
        <v>1760014.0</v>
      </c>
      <c r="G889" s="4">
        <v>46022.0</v>
      </c>
      <c r="H889" s="4">
        <v>46114.0</v>
      </c>
      <c r="I889" s="3" t="s">
        <v>2459</v>
      </c>
      <c r="J889" s="3" t="s">
        <v>2460</v>
      </c>
      <c r="K889" s="3" t="s">
        <v>1548</v>
      </c>
      <c r="L889" s="3">
        <v>0.4909</v>
      </c>
      <c r="M889" s="3">
        <v>12272.5</v>
      </c>
      <c r="N889" s="3">
        <v>3.0</v>
      </c>
      <c r="O889" s="3">
        <v>77490.0</v>
      </c>
      <c r="P889" s="3" t="s">
        <v>2461</v>
      </c>
      <c r="Q889" s="3">
        <v>1028459.0</v>
      </c>
      <c r="R889" s="3"/>
      <c r="S889" s="3">
        <v>9818.0</v>
      </c>
      <c r="T889" s="3" t="s">
        <v>37</v>
      </c>
      <c r="U889" s="3">
        <v>9818.0</v>
      </c>
      <c r="V889" s="5">
        <f>(DATE(2026,2,3)-'RICE_Insured Farms_with PPI Pol'!$G889)+IF('RICE_Insured Farms_with PPI Pol'!$H889&lt;&gt;'RICE_Insured Farms_with PPI Pol'!$G889,18,0)</f>
        <v>52</v>
      </c>
      <c r="W889" s="3" t="str">
        <f t="array" ref="W889">IFS(V889&gt;120, "Harvested", V889&gt;=113, "Yellow Ripening", V889&gt;=101, "Dough Stage", V889&gt;=93, "Milking Stage", V889&gt;=86, "Flowering", V889&gt;=56, "Panicle Initiation/Booting", V889&lt;56, "Vegetative/Tillering")</f>
        <v>Vegetative/Tillering</v>
      </c>
    </row>
    <row r="890" ht="15.75" hidden="1" customHeight="1">
      <c r="A890" s="3">
        <v>889.0</v>
      </c>
      <c r="B890" s="3" t="s">
        <v>23</v>
      </c>
      <c r="C890" s="3" t="s">
        <v>68</v>
      </c>
      <c r="D890" s="3" t="s">
        <v>289</v>
      </c>
      <c r="E890" s="3" t="s">
        <v>743</v>
      </c>
      <c r="F890" s="3">
        <v>1760014.0</v>
      </c>
      <c r="G890" s="4">
        <v>46032.0</v>
      </c>
      <c r="H890" s="4">
        <v>46134.0</v>
      </c>
      <c r="I890" s="3" t="s">
        <v>2459</v>
      </c>
      <c r="J890" s="3" t="s">
        <v>2460</v>
      </c>
      <c r="K890" s="3" t="s">
        <v>1548</v>
      </c>
      <c r="L890" s="3">
        <v>0.2835</v>
      </c>
      <c r="M890" s="3">
        <v>7087.5</v>
      </c>
      <c r="N890" s="3">
        <v>2.0</v>
      </c>
      <c r="O890" s="3">
        <v>77490.0</v>
      </c>
      <c r="P890" s="3" t="s">
        <v>2461</v>
      </c>
      <c r="Q890" s="3">
        <v>1028460.0</v>
      </c>
      <c r="R890" s="3"/>
      <c r="S890" s="3">
        <v>4961.25</v>
      </c>
      <c r="T890" s="3" t="s">
        <v>31</v>
      </c>
      <c r="U890" s="3">
        <v>4961.25</v>
      </c>
      <c r="V890" s="5">
        <f>(DATE(2026,2,3)-'RICE_Insured Farms_with PPI Pol'!$G890)+IF('RICE_Insured Farms_with PPI Pol'!$H890&lt;&gt;'RICE_Insured Farms_with PPI Pol'!$G890,18,0)</f>
        <v>42</v>
      </c>
      <c r="W890" s="3" t="str">
        <f t="array" ref="W890">IFS(V890&gt;120, "Harvested", V890&gt;=113, "Yellow Ripening", V890&gt;=101, "Dough Stage", V890&gt;=93, "Milking Stage", V890&gt;=86, "Flowering", V890&gt;=56, "Panicle Initiation/Booting", V890&lt;56, "Vegetative/Tillering")</f>
        <v>Vegetative/Tillering</v>
      </c>
    </row>
    <row r="891" ht="15.75" hidden="1" customHeight="1">
      <c r="A891" s="3">
        <v>890.0</v>
      </c>
      <c r="B891" s="3" t="s">
        <v>23</v>
      </c>
      <c r="C891" s="3" t="s">
        <v>121</v>
      </c>
      <c r="D891" s="3" t="s">
        <v>1492</v>
      </c>
      <c r="E891" s="3" t="s">
        <v>1493</v>
      </c>
      <c r="F891" s="3">
        <v>1740649.0</v>
      </c>
      <c r="G891" s="4">
        <v>46027.0</v>
      </c>
      <c r="H891" s="4">
        <v>46137.0</v>
      </c>
      <c r="I891" s="3" t="s">
        <v>1743</v>
      </c>
      <c r="J891" s="3" t="s">
        <v>153</v>
      </c>
      <c r="K891" s="3" t="s">
        <v>2462</v>
      </c>
      <c r="L891" s="3">
        <v>0.9864</v>
      </c>
      <c r="M891" s="3">
        <v>24660.0</v>
      </c>
      <c r="N891" s="3">
        <v>2.0</v>
      </c>
      <c r="O891" s="3">
        <v>18617.0</v>
      </c>
      <c r="P891" s="3" t="s">
        <v>2463</v>
      </c>
      <c r="Q891" s="3">
        <v>1282877.0</v>
      </c>
      <c r="R891" s="3"/>
      <c r="S891" s="3">
        <v>17262.0</v>
      </c>
      <c r="T891" s="3" t="s">
        <v>31</v>
      </c>
      <c r="U891" s="3">
        <v>17262.0</v>
      </c>
      <c r="V891" s="5">
        <f>(DATE(2026,2,3)-'RICE_Insured Farms_with PPI Pol'!$G891)+IF('RICE_Insured Farms_with PPI Pol'!$H891&lt;&gt;'RICE_Insured Farms_with PPI Pol'!$G891,18,0)</f>
        <v>47</v>
      </c>
      <c r="W891" s="3" t="str">
        <f t="array" ref="W891">IFS(V891&gt;120, "Harvested", V891&gt;=113, "Yellow Ripening", V891&gt;=101, "Dough Stage", V891&gt;=93, "Milking Stage", V891&gt;=86, "Flowering", V891&gt;=56, "Panicle Initiation/Booting", V891&lt;56, "Vegetative/Tillering")</f>
        <v>Vegetative/Tillering</v>
      </c>
    </row>
    <row r="892" ht="15.75" hidden="1" customHeight="1">
      <c r="A892" s="3">
        <v>891.0</v>
      </c>
      <c r="B892" s="3" t="s">
        <v>23</v>
      </c>
      <c r="C892" s="3" t="s">
        <v>121</v>
      </c>
      <c r="D892" s="3" t="s">
        <v>1492</v>
      </c>
      <c r="E892" s="3" t="s">
        <v>1493</v>
      </c>
      <c r="F892" s="3">
        <v>1740649.0</v>
      </c>
      <c r="G892" s="4">
        <v>46023.0</v>
      </c>
      <c r="H892" s="4">
        <v>46143.0</v>
      </c>
      <c r="I892" s="3" t="s">
        <v>1743</v>
      </c>
      <c r="J892" s="3" t="s">
        <v>985</v>
      </c>
      <c r="K892" s="3" t="s">
        <v>1743</v>
      </c>
      <c r="L892" s="3">
        <v>1.0552</v>
      </c>
      <c r="M892" s="3">
        <v>26380.0</v>
      </c>
      <c r="N892" s="3">
        <v>2.0</v>
      </c>
      <c r="O892" s="3">
        <v>47937.0</v>
      </c>
      <c r="P892" s="3"/>
      <c r="Q892" s="3">
        <v>1282844.0</v>
      </c>
      <c r="R892" s="3"/>
      <c r="S892" s="3">
        <v>18466.0</v>
      </c>
      <c r="T892" s="3" t="s">
        <v>31</v>
      </c>
      <c r="U892" s="3">
        <v>18466.0</v>
      </c>
      <c r="V892" s="5">
        <f>(DATE(2026,2,3)-'RICE_Insured Farms_with PPI Pol'!$G892)+IF('RICE_Insured Farms_with PPI Pol'!$H892&lt;&gt;'RICE_Insured Farms_with PPI Pol'!$G892,18,0)</f>
        <v>51</v>
      </c>
      <c r="W892" s="3" t="str">
        <f t="array" ref="W892">IFS(V892&gt;120, "Harvested", V892&gt;=113, "Yellow Ripening", V892&gt;=101, "Dough Stage", V892&gt;=93, "Milking Stage", V892&gt;=86, "Flowering", V892&gt;=56, "Panicle Initiation/Booting", V892&lt;56, "Vegetative/Tillering")</f>
        <v>Vegetative/Tillering</v>
      </c>
    </row>
    <row r="893" ht="15.75" customHeight="1">
      <c r="A893" s="3">
        <v>892.0</v>
      </c>
      <c r="B893" s="3" t="s">
        <v>23</v>
      </c>
      <c r="C893" s="3" t="s">
        <v>68</v>
      </c>
      <c r="D893" s="3" t="s">
        <v>289</v>
      </c>
      <c r="E893" s="3" t="s">
        <v>290</v>
      </c>
      <c r="F893" s="3">
        <v>1760036.0</v>
      </c>
      <c r="G893" s="4">
        <v>46021.0</v>
      </c>
      <c r="H893" s="4">
        <v>46123.0</v>
      </c>
      <c r="I893" s="3" t="s">
        <v>2464</v>
      </c>
      <c r="J893" s="3" t="s">
        <v>2465</v>
      </c>
      <c r="K893" s="3" t="s">
        <v>1137</v>
      </c>
      <c r="L893" s="3">
        <v>0.6023</v>
      </c>
      <c r="M893" s="3">
        <v>15057.5</v>
      </c>
      <c r="N893" s="3">
        <v>3.0</v>
      </c>
      <c r="O893" s="3">
        <v>328535.0</v>
      </c>
      <c r="P893" s="3" t="s">
        <v>2466</v>
      </c>
      <c r="Q893" s="3">
        <v>1136032.0</v>
      </c>
      <c r="R893" s="3"/>
      <c r="S893" s="3">
        <v>12046.0</v>
      </c>
      <c r="T893" s="3" t="s">
        <v>37</v>
      </c>
      <c r="U893" s="3">
        <v>12046.0</v>
      </c>
      <c r="V893" s="5">
        <f>(DATE(2026,2,3)-'RICE_Insured Farms_with PPI Pol'!$G893)+IF('RICE_Insured Farms_with PPI Pol'!$H893&lt;&gt;'RICE_Insured Farms_with PPI Pol'!$G893,18,0)</f>
        <v>53</v>
      </c>
      <c r="W893" s="3" t="str">
        <f t="array" ref="W893">IFS(V893&gt;120, "Harvested", V893&gt;=113, "Yellow Ripening", V893&gt;=101, "Dough Stage", V893&gt;=93, "Milking Stage", V893&gt;=86, "Flowering", V893&gt;=56, "Panicle Initiation/Booting", V893&lt;56, "Vegetative/Tillering")</f>
        <v>Vegetative/Tillering</v>
      </c>
    </row>
    <row r="894" ht="15.75" customHeight="1">
      <c r="A894" s="3">
        <v>893.0</v>
      </c>
      <c r="B894" s="3" t="s">
        <v>23</v>
      </c>
      <c r="C894" s="3" t="s">
        <v>1453</v>
      </c>
      <c r="D894" s="3" t="s">
        <v>1454</v>
      </c>
      <c r="E894" s="3" t="s">
        <v>1246</v>
      </c>
      <c r="F894" s="3">
        <v>1742043.0</v>
      </c>
      <c r="G894" s="4">
        <v>46011.0</v>
      </c>
      <c r="H894" s="4">
        <v>46113.0</v>
      </c>
      <c r="I894" s="3" t="s">
        <v>2464</v>
      </c>
      <c r="J894" s="3" t="s">
        <v>2467</v>
      </c>
      <c r="K894" s="3" t="s">
        <v>2023</v>
      </c>
      <c r="L894" s="3">
        <v>0.4999</v>
      </c>
      <c r="M894" s="3">
        <v>12497.5</v>
      </c>
      <c r="N894" s="3">
        <v>3.0</v>
      </c>
      <c r="O894" s="3">
        <v>228499.0</v>
      </c>
      <c r="P894" s="3" t="s">
        <v>2468</v>
      </c>
      <c r="Q894" s="3">
        <v>1317684.0</v>
      </c>
      <c r="R894" s="3"/>
      <c r="S894" s="3">
        <v>9998.0</v>
      </c>
      <c r="T894" s="3" t="s">
        <v>37</v>
      </c>
      <c r="U894" s="3">
        <v>9998.0</v>
      </c>
      <c r="V894" s="5">
        <f>(DATE(2026,2,3)-'RICE_Insured Farms_with PPI Pol'!$G894)+IF('RICE_Insured Farms_with PPI Pol'!$H894&lt;&gt;'RICE_Insured Farms_with PPI Pol'!$G894,18,0)</f>
        <v>63</v>
      </c>
      <c r="W894" s="3" t="str">
        <f t="array" ref="W894">IFS(V894&gt;120, "Harvested", V894&gt;=113, "Yellow Ripening", V894&gt;=101, "Dough Stage", V894&gt;=93, "Milking Stage", V894&gt;=86, "Flowering", V894&gt;=56, "Panicle Initiation/Booting", V894&lt;56, "Vegetative/Tillering")</f>
        <v>Panicle Initiation/Booting</v>
      </c>
    </row>
    <row r="895" ht="15.75" customHeight="1">
      <c r="A895" s="3">
        <v>894.0</v>
      </c>
      <c r="B895" s="3" t="s">
        <v>23</v>
      </c>
      <c r="C895" s="3" t="s">
        <v>121</v>
      </c>
      <c r="D895" s="3" t="s">
        <v>122</v>
      </c>
      <c r="E895" s="3" t="s">
        <v>123</v>
      </c>
      <c r="F895" s="3">
        <v>1760508.0</v>
      </c>
      <c r="G895" s="4">
        <v>46025.0</v>
      </c>
      <c r="H895" s="4">
        <v>46120.0</v>
      </c>
      <c r="I895" s="3" t="s">
        <v>2469</v>
      </c>
      <c r="J895" s="3" t="s">
        <v>281</v>
      </c>
      <c r="K895" s="3" t="s">
        <v>2470</v>
      </c>
      <c r="L895" s="3">
        <v>0.5</v>
      </c>
      <c r="M895" s="3">
        <v>12500.0</v>
      </c>
      <c r="N895" s="3">
        <v>3.0</v>
      </c>
      <c r="O895" s="3">
        <v>131024.0</v>
      </c>
      <c r="P895" s="3" t="s">
        <v>2471</v>
      </c>
      <c r="Q895" s="3">
        <v>1042437.0</v>
      </c>
      <c r="R895" s="3"/>
      <c r="S895" s="3">
        <v>10000.0</v>
      </c>
      <c r="T895" s="3" t="s">
        <v>37</v>
      </c>
      <c r="U895" s="3">
        <v>10000.0</v>
      </c>
      <c r="V895" s="5">
        <f>(DATE(2026,2,3)-'RICE_Insured Farms_with PPI Pol'!$G895)+IF('RICE_Insured Farms_with PPI Pol'!$H895&lt;&gt;'RICE_Insured Farms_with PPI Pol'!$G895,18,0)</f>
        <v>49</v>
      </c>
      <c r="W895" s="3" t="str">
        <f t="array" ref="W895">IFS(V895&gt;120, "Harvested", V895&gt;=113, "Yellow Ripening", V895&gt;=101, "Dough Stage", V895&gt;=93, "Milking Stage", V895&gt;=86, "Flowering", V895&gt;=56, "Panicle Initiation/Booting", V895&lt;56, "Vegetative/Tillering")</f>
        <v>Vegetative/Tillering</v>
      </c>
    </row>
    <row r="896" ht="15.75" hidden="1" customHeight="1">
      <c r="A896" s="3">
        <v>895.0</v>
      </c>
      <c r="B896" s="3" t="s">
        <v>23</v>
      </c>
      <c r="C896" s="3" t="s">
        <v>68</v>
      </c>
      <c r="D896" s="3" t="s">
        <v>289</v>
      </c>
      <c r="E896" s="3" t="s">
        <v>352</v>
      </c>
      <c r="F896" s="3">
        <v>1760047.0</v>
      </c>
      <c r="G896" s="4">
        <v>46036.0</v>
      </c>
      <c r="H896" s="4">
        <v>46138.0</v>
      </c>
      <c r="I896" s="3" t="s">
        <v>2472</v>
      </c>
      <c r="J896" s="3" t="s">
        <v>2473</v>
      </c>
      <c r="K896" s="3" t="s">
        <v>910</v>
      </c>
      <c r="L896" s="3">
        <v>0.2331</v>
      </c>
      <c r="M896" s="3">
        <v>5827.5</v>
      </c>
      <c r="N896" s="3">
        <v>2.0</v>
      </c>
      <c r="O896" s="3">
        <v>361948.0</v>
      </c>
      <c r="P896" s="3" t="s">
        <v>2474</v>
      </c>
      <c r="Q896" s="3">
        <v>1285771.0</v>
      </c>
      <c r="R896" s="3"/>
      <c r="S896" s="3">
        <v>4079.25</v>
      </c>
      <c r="T896" s="3" t="s">
        <v>31</v>
      </c>
      <c r="U896" s="3">
        <v>4079.25</v>
      </c>
      <c r="V896" s="5">
        <f>(DATE(2026,2,3)-'RICE_Insured Farms_with PPI Pol'!$G896)+IF('RICE_Insured Farms_with PPI Pol'!$H896&lt;&gt;'RICE_Insured Farms_with PPI Pol'!$G896,18,0)</f>
        <v>38</v>
      </c>
      <c r="W896" s="3" t="str">
        <f t="array" ref="W896">IFS(V896&gt;120, "Harvested", V896&gt;=113, "Yellow Ripening", V896&gt;=101, "Dough Stage", V896&gt;=93, "Milking Stage", V896&gt;=86, "Flowering", V896&gt;=56, "Panicle Initiation/Booting", V896&lt;56, "Vegetative/Tillering")</f>
        <v>Vegetative/Tillering</v>
      </c>
    </row>
    <row r="897" ht="15.75" hidden="1" customHeight="1">
      <c r="A897" s="3">
        <v>896.0</v>
      </c>
      <c r="B897" s="3" t="s">
        <v>23</v>
      </c>
      <c r="C897" s="3" t="s">
        <v>68</v>
      </c>
      <c r="D897" s="3" t="s">
        <v>289</v>
      </c>
      <c r="E897" s="3" t="s">
        <v>290</v>
      </c>
      <c r="F897" s="3">
        <v>1760044.0</v>
      </c>
      <c r="G897" s="4">
        <v>46039.0</v>
      </c>
      <c r="H897" s="4">
        <v>46141.0</v>
      </c>
      <c r="I897" s="3" t="s">
        <v>2475</v>
      </c>
      <c r="J897" s="3" t="s">
        <v>2476</v>
      </c>
      <c r="K897" s="3" t="s">
        <v>2477</v>
      </c>
      <c r="L897" s="3">
        <v>1.239</v>
      </c>
      <c r="M897" s="3">
        <v>30975.0</v>
      </c>
      <c r="N897" s="3">
        <v>2.0</v>
      </c>
      <c r="O897" s="3">
        <v>195049.0</v>
      </c>
      <c r="P897" s="3" t="s">
        <v>2478</v>
      </c>
      <c r="Q897" s="3">
        <v>784621.0</v>
      </c>
      <c r="R897" s="3"/>
      <c r="S897" s="3">
        <v>21682.5</v>
      </c>
      <c r="T897" s="3" t="s">
        <v>31</v>
      </c>
      <c r="U897" s="3">
        <v>21682.5</v>
      </c>
      <c r="V897" s="5">
        <f>(DATE(2026,2,3)-'RICE_Insured Farms_with PPI Pol'!$G897)+IF('RICE_Insured Farms_with PPI Pol'!$H897&lt;&gt;'RICE_Insured Farms_with PPI Pol'!$G897,18,0)</f>
        <v>35</v>
      </c>
      <c r="W897" s="3" t="str">
        <f t="array" ref="W897">IFS(V897&gt;120, "Harvested", V897&gt;=113, "Yellow Ripening", V897&gt;=101, "Dough Stage", V897&gt;=93, "Milking Stage", V897&gt;=86, "Flowering", V897&gt;=56, "Panicle Initiation/Booting", V897&lt;56, "Vegetative/Tillering")</f>
        <v>Vegetative/Tillering</v>
      </c>
    </row>
    <row r="898" ht="15.75" hidden="1" customHeight="1">
      <c r="A898" s="3">
        <v>1231.0</v>
      </c>
      <c r="B898" s="3" t="s">
        <v>23</v>
      </c>
      <c r="C898" s="3" t="s">
        <v>24</v>
      </c>
      <c r="D898" s="3" t="s">
        <v>25</v>
      </c>
      <c r="E898" s="3" t="s">
        <v>1164</v>
      </c>
      <c r="F898" s="3">
        <v>1761008.0</v>
      </c>
      <c r="G898" s="4">
        <v>46019.0</v>
      </c>
      <c r="H898" s="4">
        <v>46097.0</v>
      </c>
      <c r="I898" s="3" t="s">
        <v>1280</v>
      </c>
      <c r="J898" s="3" t="s">
        <v>2479</v>
      </c>
      <c r="K898" s="3" t="s">
        <v>2480</v>
      </c>
      <c r="L898" s="3">
        <v>0.9258</v>
      </c>
      <c r="M898" s="3">
        <v>23145.0</v>
      </c>
      <c r="N898" s="3">
        <v>5.0</v>
      </c>
      <c r="O898" s="3">
        <v>325507.0</v>
      </c>
      <c r="P898" s="3" t="s">
        <v>2481</v>
      </c>
      <c r="Q898" s="3">
        <v>1329904.0</v>
      </c>
      <c r="R898" s="3"/>
      <c r="S898" s="3">
        <v>20830.5</v>
      </c>
      <c r="T898" s="3" t="s">
        <v>1002</v>
      </c>
      <c r="U898" s="3">
        <v>20830.5</v>
      </c>
      <c r="V898" s="5">
        <f>(DATE(2026,2,3)-'RICE_Insured Farms_with PPI Pol'!$G898)+IF('RICE_Insured Farms_with PPI Pol'!$H898&lt;&gt;'RICE_Insured Farms_with PPI Pol'!$G898,18,0)</f>
        <v>55</v>
      </c>
      <c r="W898" s="3" t="str">
        <f t="array" ref="W898">IFS(V898&gt;120, "Harvested", V898&gt;=113, "Yellow Ripening", V898&gt;=101, "Dough Stage", V898&gt;=93, "Milking Stage", V898&gt;=86, "Flowering", V898&gt;=56, "Panicle Initiation/Booting", V898&lt;56, "Vegetative/Tillering")</f>
        <v>Vegetative/Tillering</v>
      </c>
    </row>
    <row r="899" ht="15.75" hidden="1" customHeight="1">
      <c r="A899" s="3">
        <v>1256.0</v>
      </c>
      <c r="B899" s="3" t="s">
        <v>23</v>
      </c>
      <c r="C899" s="3" t="s">
        <v>24</v>
      </c>
      <c r="D899" s="3" t="s">
        <v>25</v>
      </c>
      <c r="E899" s="3" t="s">
        <v>1374</v>
      </c>
      <c r="F899" s="3">
        <v>1760463.0</v>
      </c>
      <c r="G899" s="4">
        <v>46007.0</v>
      </c>
      <c r="H899" s="4">
        <v>46102.0</v>
      </c>
      <c r="I899" s="3" t="s">
        <v>1376</v>
      </c>
      <c r="J899" s="3" t="s">
        <v>2077</v>
      </c>
      <c r="K899" s="3" t="s">
        <v>2482</v>
      </c>
      <c r="L899" s="3">
        <v>2.0</v>
      </c>
      <c r="M899" s="3">
        <v>50000.0</v>
      </c>
      <c r="N899" s="3">
        <v>4.0</v>
      </c>
      <c r="O899" s="3">
        <v>87174.0</v>
      </c>
      <c r="P899" s="3" t="s">
        <v>2483</v>
      </c>
      <c r="Q899" s="3">
        <v>1319185.0</v>
      </c>
      <c r="R899" s="3"/>
      <c r="S899" s="3">
        <v>40000.0</v>
      </c>
      <c r="T899" s="3" t="s">
        <v>56</v>
      </c>
      <c r="U899" s="3">
        <v>40000.0</v>
      </c>
      <c r="V899" s="5">
        <f>(DATE(2026,2,3)-'RICE_Insured Farms_with PPI Pol'!$G899)+IF('RICE_Insured Farms_with PPI Pol'!$H899&lt;&gt;'RICE_Insured Farms_with PPI Pol'!$G899,18,0)</f>
        <v>67</v>
      </c>
      <c r="W899" s="3" t="str">
        <f t="array" ref="W899">IFS(V899&gt;120, "Harvested", V899&gt;=113, "Yellow Ripening", V899&gt;=101, "Dough Stage", V899&gt;=93, "Milking Stage", V899&gt;=86, "Flowering", V899&gt;=56, "Panicle Initiation/Booting", V899&lt;56, "Vegetative/Tillering")</f>
        <v>Panicle Initiation/Booting</v>
      </c>
    </row>
    <row r="900" ht="15.75" hidden="1" customHeight="1">
      <c r="A900" s="3">
        <v>1266.0</v>
      </c>
      <c r="B900" s="3" t="s">
        <v>23</v>
      </c>
      <c r="C900" s="3" t="s">
        <v>24</v>
      </c>
      <c r="D900" s="3" t="s">
        <v>25</v>
      </c>
      <c r="E900" s="3" t="s">
        <v>781</v>
      </c>
      <c r="F900" s="3">
        <v>1760464.0</v>
      </c>
      <c r="G900" s="4">
        <v>46011.0</v>
      </c>
      <c r="H900" s="4">
        <v>46106.0</v>
      </c>
      <c r="I900" s="3" t="s">
        <v>2484</v>
      </c>
      <c r="J900" s="3" t="s">
        <v>2485</v>
      </c>
      <c r="K900" s="3" t="s">
        <v>658</v>
      </c>
      <c r="L900" s="3">
        <v>0.62</v>
      </c>
      <c r="M900" s="3">
        <v>15500.0</v>
      </c>
      <c r="N900" s="3">
        <v>4.0</v>
      </c>
      <c r="O900" s="3">
        <v>309477.0</v>
      </c>
      <c r="P900" s="3" t="s">
        <v>2486</v>
      </c>
      <c r="Q900" s="3">
        <v>1321545.0</v>
      </c>
      <c r="R900" s="3"/>
      <c r="S900" s="3">
        <v>12400.0</v>
      </c>
      <c r="T900" s="3" t="s">
        <v>56</v>
      </c>
      <c r="U900" s="3">
        <v>12400.0</v>
      </c>
      <c r="V900" s="5">
        <f>(DATE(2026,2,3)-'RICE_Insured Farms_with PPI Pol'!$G900)+IF('RICE_Insured Farms_with PPI Pol'!$H900&lt;&gt;'RICE_Insured Farms_with PPI Pol'!$G900,18,0)</f>
        <v>63</v>
      </c>
      <c r="W900" s="3" t="str">
        <f t="array" ref="W900">IFS(V900&gt;120, "Harvested", V900&gt;=113, "Yellow Ripening", V900&gt;=101, "Dough Stage", V900&gt;=93, "Milking Stage", V900&gt;=86, "Flowering", V900&gt;=56, "Panicle Initiation/Booting", V900&lt;56, "Vegetative/Tillering")</f>
        <v>Panicle Initiation/Booting</v>
      </c>
    </row>
    <row r="901" ht="15.75" hidden="1" customHeight="1">
      <c r="A901" s="3">
        <v>900.0</v>
      </c>
      <c r="B901" s="3" t="s">
        <v>23</v>
      </c>
      <c r="C901" s="3" t="s">
        <v>50</v>
      </c>
      <c r="D901" s="3" t="s">
        <v>51</v>
      </c>
      <c r="E901" s="3" t="s">
        <v>321</v>
      </c>
      <c r="F901" s="3">
        <v>1741852.0</v>
      </c>
      <c r="G901" s="4">
        <v>46033.0</v>
      </c>
      <c r="H901" s="4">
        <v>46153.0</v>
      </c>
      <c r="I901" s="3" t="s">
        <v>2487</v>
      </c>
      <c r="J901" s="3" t="s">
        <v>2320</v>
      </c>
      <c r="K901" s="3" t="s">
        <v>2488</v>
      </c>
      <c r="L901" s="3">
        <v>0.9584</v>
      </c>
      <c r="M901" s="3">
        <v>23960.0</v>
      </c>
      <c r="N901" s="3">
        <v>1.0</v>
      </c>
      <c r="O901" s="3">
        <v>101393.0</v>
      </c>
      <c r="P901" s="3" t="s">
        <v>2489</v>
      </c>
      <c r="Q901" s="3">
        <v>1294826.0</v>
      </c>
      <c r="R901" s="3"/>
      <c r="S901" s="3">
        <v>14376.0</v>
      </c>
      <c r="T901" s="3" t="s">
        <v>62</v>
      </c>
      <c r="U901" s="3">
        <v>14376.0</v>
      </c>
      <c r="V901" s="5">
        <f>(DATE(2026,2,3)-'RICE_Insured Farms_with PPI Pol'!$G901)+IF('RICE_Insured Farms_with PPI Pol'!$H901&lt;&gt;'RICE_Insured Farms_with PPI Pol'!$G901,18,0)</f>
        <v>41</v>
      </c>
      <c r="W901" s="3" t="str">
        <f t="array" ref="W901">IFS(V901&gt;120, "Harvested", V901&gt;=113, "Yellow Ripening", V901&gt;=101, "Dough Stage", V901&gt;=93, "Milking Stage", V901&gt;=86, "Flowering", V901&gt;=56, "Panicle Initiation/Booting", V901&lt;56, "Vegetative/Tillering")</f>
        <v>Vegetative/Tillering</v>
      </c>
    </row>
    <row r="902" ht="15.75" hidden="1" customHeight="1">
      <c r="A902" s="3">
        <v>901.0</v>
      </c>
      <c r="B902" s="3" t="s">
        <v>23</v>
      </c>
      <c r="C902" s="3" t="s">
        <v>68</v>
      </c>
      <c r="D902" s="3" t="s">
        <v>679</v>
      </c>
      <c r="E902" s="3" t="s">
        <v>2398</v>
      </c>
      <c r="F902" s="3">
        <v>1175382.0</v>
      </c>
      <c r="G902" s="4">
        <v>46033.0</v>
      </c>
      <c r="H902" s="4">
        <v>46153.0</v>
      </c>
      <c r="I902" s="3" t="s">
        <v>2490</v>
      </c>
      <c r="J902" s="3" t="s">
        <v>2491</v>
      </c>
      <c r="K902" s="3" t="s">
        <v>2492</v>
      </c>
      <c r="L902" s="3">
        <v>0.9986</v>
      </c>
      <c r="M902" s="3">
        <v>24965.0</v>
      </c>
      <c r="N902" s="3">
        <v>1.0</v>
      </c>
      <c r="O902" s="3">
        <v>479466.0</v>
      </c>
      <c r="P902" s="3" t="s">
        <v>2493</v>
      </c>
      <c r="Q902" s="3">
        <v>1149309.0</v>
      </c>
      <c r="R902" s="3"/>
      <c r="S902" s="3">
        <v>14979.0</v>
      </c>
      <c r="T902" s="3" t="s">
        <v>62</v>
      </c>
      <c r="U902" s="3">
        <v>14979.0</v>
      </c>
      <c r="V902" s="5">
        <f>(DATE(2026,2,3)-'RICE_Insured Farms_with PPI Pol'!$G902)+IF('RICE_Insured Farms_with PPI Pol'!$H902&lt;&gt;'RICE_Insured Farms_with PPI Pol'!$G902,18,0)</f>
        <v>41</v>
      </c>
      <c r="W902" s="3" t="str">
        <f t="array" ref="W902">IFS(V902&gt;120, "Harvested", V902&gt;=113, "Yellow Ripening", V902&gt;=101, "Dough Stage", V902&gt;=93, "Milking Stage", V902&gt;=86, "Flowering", V902&gt;=56, "Panicle Initiation/Booting", V902&lt;56, "Vegetative/Tillering")</f>
        <v>Vegetative/Tillering</v>
      </c>
    </row>
    <row r="903" ht="15.75" hidden="1" customHeight="1">
      <c r="A903" s="3">
        <v>902.0</v>
      </c>
      <c r="B903" s="3" t="s">
        <v>23</v>
      </c>
      <c r="C903" s="3" t="s">
        <v>68</v>
      </c>
      <c r="D903" s="3" t="s">
        <v>679</v>
      </c>
      <c r="E903" s="3" t="s">
        <v>680</v>
      </c>
      <c r="F903" s="3">
        <v>1175384.0</v>
      </c>
      <c r="G903" s="4">
        <v>46037.0</v>
      </c>
      <c r="H903" s="4">
        <v>46139.0</v>
      </c>
      <c r="I903" s="3" t="s">
        <v>2494</v>
      </c>
      <c r="J903" s="3" t="s">
        <v>2495</v>
      </c>
      <c r="K903" s="3" t="s">
        <v>2496</v>
      </c>
      <c r="L903" s="3">
        <v>0.4258</v>
      </c>
      <c r="M903" s="3">
        <v>10645.0</v>
      </c>
      <c r="N903" s="3">
        <v>2.0</v>
      </c>
      <c r="O903" s="3">
        <v>329767.0</v>
      </c>
      <c r="P903" s="3" t="s">
        <v>2497</v>
      </c>
      <c r="Q903" s="3">
        <v>1143141.0</v>
      </c>
      <c r="R903" s="3"/>
      <c r="S903" s="3">
        <v>7451.5</v>
      </c>
      <c r="T903" s="3" t="s">
        <v>31</v>
      </c>
      <c r="U903" s="3">
        <v>7451.5</v>
      </c>
      <c r="V903" s="5">
        <f>(DATE(2026,2,3)-'RICE_Insured Farms_with PPI Pol'!$G903)+IF('RICE_Insured Farms_with PPI Pol'!$H903&lt;&gt;'RICE_Insured Farms_with PPI Pol'!$G903,18,0)</f>
        <v>37</v>
      </c>
      <c r="W903" s="3" t="str">
        <f t="array" ref="W903">IFS(V903&gt;120, "Harvested", V903&gt;=113, "Yellow Ripening", V903&gt;=101, "Dough Stage", V903&gt;=93, "Milking Stage", V903&gt;=86, "Flowering", V903&gt;=56, "Panicle Initiation/Booting", V903&lt;56, "Vegetative/Tillering")</f>
        <v>Vegetative/Tillering</v>
      </c>
    </row>
    <row r="904" ht="15.75" customHeight="1">
      <c r="A904" s="3">
        <v>903.0</v>
      </c>
      <c r="B904" s="3" t="s">
        <v>23</v>
      </c>
      <c r="C904" s="3" t="s">
        <v>68</v>
      </c>
      <c r="D904" s="3" t="s">
        <v>289</v>
      </c>
      <c r="E904" s="3" t="s">
        <v>1620</v>
      </c>
      <c r="F904" s="3">
        <v>1760017.0</v>
      </c>
      <c r="G904" s="4">
        <v>46021.0</v>
      </c>
      <c r="H904" s="4">
        <v>46123.0</v>
      </c>
      <c r="I904" s="3" t="s">
        <v>2494</v>
      </c>
      <c r="J904" s="3" t="s">
        <v>1034</v>
      </c>
      <c r="K904" s="3" t="s">
        <v>881</v>
      </c>
      <c r="L904" s="3">
        <v>0.1408</v>
      </c>
      <c r="M904" s="3">
        <v>3520.0</v>
      </c>
      <c r="N904" s="3">
        <v>3.0</v>
      </c>
      <c r="O904" s="3">
        <v>477985.0</v>
      </c>
      <c r="P904" s="3"/>
      <c r="Q904" s="3">
        <v>1134488.0</v>
      </c>
      <c r="R904" s="3"/>
      <c r="S904" s="3">
        <v>2816.0</v>
      </c>
      <c r="T904" s="3" t="s">
        <v>37</v>
      </c>
      <c r="U904" s="3">
        <v>2816.0</v>
      </c>
      <c r="V904" s="5">
        <f>(DATE(2026,2,3)-'RICE_Insured Farms_with PPI Pol'!$G904)+IF('RICE_Insured Farms_with PPI Pol'!$H904&lt;&gt;'RICE_Insured Farms_with PPI Pol'!$G904,18,0)</f>
        <v>53</v>
      </c>
      <c r="W904" s="3" t="str">
        <f t="array" ref="W904">IFS(V904&gt;120, "Harvested", V904&gt;=113, "Yellow Ripening", V904&gt;=101, "Dough Stage", V904&gt;=93, "Milking Stage", V904&gt;=86, "Flowering", V904&gt;=56, "Panicle Initiation/Booting", V904&lt;56, "Vegetative/Tillering")</f>
        <v>Vegetative/Tillering</v>
      </c>
    </row>
    <row r="905" ht="15.75" hidden="1" customHeight="1">
      <c r="A905" s="3">
        <v>904.0</v>
      </c>
      <c r="B905" s="3" t="s">
        <v>23</v>
      </c>
      <c r="C905" s="3" t="s">
        <v>68</v>
      </c>
      <c r="D905" s="3" t="s">
        <v>679</v>
      </c>
      <c r="E905" s="3" t="s">
        <v>680</v>
      </c>
      <c r="F905" s="3">
        <v>1175382.0</v>
      </c>
      <c r="G905" s="4">
        <v>46030.0</v>
      </c>
      <c r="H905" s="4">
        <v>46132.0</v>
      </c>
      <c r="I905" s="3" t="s">
        <v>2494</v>
      </c>
      <c r="J905" s="3" t="s">
        <v>356</v>
      </c>
      <c r="K905" s="3" t="s">
        <v>1011</v>
      </c>
      <c r="L905" s="3">
        <v>0.4636</v>
      </c>
      <c r="M905" s="3">
        <v>11590.0</v>
      </c>
      <c r="N905" s="3">
        <v>2.0</v>
      </c>
      <c r="O905" s="3">
        <v>20603.0</v>
      </c>
      <c r="P905" s="3" t="s">
        <v>2498</v>
      </c>
      <c r="Q905" s="3">
        <v>1143119.0</v>
      </c>
      <c r="R905" s="3"/>
      <c r="S905" s="3">
        <v>8113.0</v>
      </c>
      <c r="T905" s="3" t="s">
        <v>31</v>
      </c>
      <c r="U905" s="3">
        <v>8113.0</v>
      </c>
      <c r="V905" s="5">
        <f>(DATE(2026,2,3)-'RICE_Insured Farms_with PPI Pol'!$G905)+IF('RICE_Insured Farms_with PPI Pol'!$H905&lt;&gt;'RICE_Insured Farms_with PPI Pol'!$G905,18,0)</f>
        <v>44</v>
      </c>
      <c r="W905" s="3" t="str">
        <f t="array" ref="W905">IFS(V905&gt;120, "Harvested", V905&gt;=113, "Yellow Ripening", V905&gt;=101, "Dough Stage", V905&gt;=93, "Milking Stage", V905&gt;=86, "Flowering", V905&gt;=56, "Panicle Initiation/Booting", V905&lt;56, "Vegetative/Tillering")</f>
        <v>Vegetative/Tillering</v>
      </c>
    </row>
    <row r="906" ht="15.75" customHeight="1">
      <c r="A906" s="3">
        <v>905.0</v>
      </c>
      <c r="B906" s="3" t="s">
        <v>23</v>
      </c>
      <c r="C906" s="3" t="s">
        <v>121</v>
      </c>
      <c r="D906" s="3" t="s">
        <v>384</v>
      </c>
      <c r="E906" s="3" t="s">
        <v>321</v>
      </c>
      <c r="F906" s="3">
        <v>1742510.0</v>
      </c>
      <c r="G906" s="4">
        <v>46019.0</v>
      </c>
      <c r="H906" s="4">
        <v>46114.0</v>
      </c>
      <c r="I906" s="3" t="s">
        <v>2494</v>
      </c>
      <c r="J906" s="3" t="s">
        <v>2499</v>
      </c>
      <c r="K906" s="3" t="s">
        <v>2500</v>
      </c>
      <c r="L906" s="3">
        <v>1.5</v>
      </c>
      <c r="M906" s="3">
        <v>37500.0</v>
      </c>
      <c r="N906" s="3">
        <v>3.0</v>
      </c>
      <c r="O906" s="3">
        <v>167538.0</v>
      </c>
      <c r="P906" s="3" t="s">
        <v>2501</v>
      </c>
      <c r="Q906" s="3">
        <v>1148285.0</v>
      </c>
      <c r="R906" s="3"/>
      <c r="S906" s="3">
        <v>30000.0</v>
      </c>
      <c r="T906" s="3" t="s">
        <v>37</v>
      </c>
      <c r="U906" s="3">
        <v>30000.0</v>
      </c>
      <c r="V906" s="5">
        <f>(DATE(2026,2,3)-'RICE_Insured Farms_with PPI Pol'!$G906)+IF('RICE_Insured Farms_with PPI Pol'!$H906&lt;&gt;'RICE_Insured Farms_with PPI Pol'!$G906,18,0)</f>
        <v>55</v>
      </c>
      <c r="W906" s="3" t="str">
        <f t="array" ref="W906">IFS(V906&gt;120, "Harvested", V906&gt;=113, "Yellow Ripening", V906&gt;=101, "Dough Stage", V906&gt;=93, "Milking Stage", V906&gt;=86, "Flowering", V906&gt;=56, "Panicle Initiation/Booting", V906&lt;56, "Vegetative/Tillering")</f>
        <v>Vegetative/Tillering</v>
      </c>
    </row>
    <row r="907" ht="15.75" hidden="1" customHeight="1">
      <c r="A907" s="3">
        <v>906.0</v>
      </c>
      <c r="B907" s="3" t="s">
        <v>23</v>
      </c>
      <c r="C907" s="3" t="s">
        <v>68</v>
      </c>
      <c r="D907" s="3" t="s">
        <v>679</v>
      </c>
      <c r="E907" s="3" t="s">
        <v>2398</v>
      </c>
      <c r="F907" s="3">
        <v>1175381.0</v>
      </c>
      <c r="G907" s="4">
        <v>46037.0</v>
      </c>
      <c r="H907" s="4">
        <v>46139.0</v>
      </c>
      <c r="I907" s="3" t="s">
        <v>2502</v>
      </c>
      <c r="J907" s="3" t="s">
        <v>2503</v>
      </c>
      <c r="K907" s="3" t="s">
        <v>2048</v>
      </c>
      <c r="L907" s="3">
        <v>0.2793</v>
      </c>
      <c r="M907" s="3">
        <v>6982.5</v>
      </c>
      <c r="N907" s="3">
        <v>2.0</v>
      </c>
      <c r="O907" s="3">
        <v>179986.0</v>
      </c>
      <c r="P907" s="3" t="s">
        <v>2504</v>
      </c>
      <c r="Q907" s="3">
        <v>1147329.0</v>
      </c>
      <c r="R907" s="3"/>
      <c r="S907" s="3">
        <v>4887.75</v>
      </c>
      <c r="T907" s="3" t="s">
        <v>31</v>
      </c>
      <c r="U907" s="3">
        <v>4887.75</v>
      </c>
      <c r="V907" s="5">
        <f>(DATE(2026,2,3)-'RICE_Insured Farms_with PPI Pol'!$G907)+IF('RICE_Insured Farms_with PPI Pol'!$H907&lt;&gt;'RICE_Insured Farms_with PPI Pol'!$G907,18,0)</f>
        <v>37</v>
      </c>
      <c r="W907" s="3" t="str">
        <f t="array" ref="W907">IFS(V907&gt;120, "Harvested", V907&gt;=113, "Yellow Ripening", V907&gt;=101, "Dough Stage", V907&gt;=93, "Milking Stage", V907&gt;=86, "Flowering", V907&gt;=56, "Panicle Initiation/Booting", V907&lt;56, "Vegetative/Tillering")</f>
        <v>Vegetative/Tillering</v>
      </c>
    </row>
    <row r="908" ht="15.75" hidden="1" customHeight="1">
      <c r="A908" s="3">
        <v>1286.0</v>
      </c>
      <c r="B908" s="3" t="s">
        <v>23</v>
      </c>
      <c r="C908" s="3" t="s">
        <v>24</v>
      </c>
      <c r="D908" s="3" t="s">
        <v>25</v>
      </c>
      <c r="E908" s="3" t="s">
        <v>1164</v>
      </c>
      <c r="F908" s="3">
        <v>1760491.0</v>
      </c>
      <c r="G908" s="4">
        <v>46011.0</v>
      </c>
      <c r="H908" s="4">
        <v>46109.0</v>
      </c>
      <c r="I908" s="3" t="s">
        <v>2505</v>
      </c>
      <c r="J908" s="3" t="s">
        <v>2506</v>
      </c>
      <c r="K908" s="3" t="s">
        <v>613</v>
      </c>
      <c r="L908" s="3">
        <v>0.3304</v>
      </c>
      <c r="M908" s="3">
        <v>8260.0</v>
      </c>
      <c r="N908" s="3">
        <v>4.0</v>
      </c>
      <c r="O908" s="3">
        <v>370061.0</v>
      </c>
      <c r="P908" s="3" t="s">
        <v>2507</v>
      </c>
      <c r="Q908" s="3">
        <v>1328099.0</v>
      </c>
      <c r="R908" s="3"/>
      <c r="S908" s="3">
        <v>6608.0</v>
      </c>
      <c r="T908" s="3" t="s">
        <v>56</v>
      </c>
      <c r="U908" s="3">
        <v>6608.0</v>
      </c>
      <c r="V908" s="5">
        <f>(DATE(2026,2,3)-'RICE_Insured Farms_with PPI Pol'!$G908)+IF('RICE_Insured Farms_with PPI Pol'!$H908&lt;&gt;'RICE_Insured Farms_with PPI Pol'!$G908,18,0)</f>
        <v>63</v>
      </c>
      <c r="W908" s="3" t="str">
        <f t="array" ref="W908">IFS(V908&gt;120, "Harvested", V908&gt;=113, "Yellow Ripening", V908&gt;=101, "Dough Stage", V908&gt;=93, "Milking Stage", V908&gt;=86, "Flowering", V908&gt;=56, "Panicle Initiation/Booting", V908&lt;56, "Vegetative/Tillering")</f>
        <v>Panicle Initiation/Booting</v>
      </c>
    </row>
    <row r="909" ht="15.75" hidden="1" customHeight="1">
      <c r="A909" s="3">
        <v>908.0</v>
      </c>
      <c r="B909" s="3" t="s">
        <v>23</v>
      </c>
      <c r="C909" s="3" t="s">
        <v>68</v>
      </c>
      <c r="D909" s="3" t="s">
        <v>69</v>
      </c>
      <c r="E909" s="3" t="s">
        <v>131</v>
      </c>
      <c r="F909" s="3">
        <v>1739650.0</v>
      </c>
      <c r="G909" s="4">
        <v>46025.0</v>
      </c>
      <c r="H909" s="4">
        <v>46127.0</v>
      </c>
      <c r="I909" s="3" t="s">
        <v>2508</v>
      </c>
      <c r="J909" s="3" t="s">
        <v>2509</v>
      </c>
      <c r="K909" s="3" t="s">
        <v>600</v>
      </c>
      <c r="L909" s="3">
        <v>1.2102</v>
      </c>
      <c r="M909" s="3">
        <v>30255.0</v>
      </c>
      <c r="N909" s="3">
        <v>2.0</v>
      </c>
      <c r="O909" s="3">
        <v>309375.0</v>
      </c>
      <c r="P909" s="3" t="s">
        <v>2510</v>
      </c>
      <c r="Q909" s="3">
        <v>1137582.0</v>
      </c>
      <c r="R909" s="3"/>
      <c r="S909" s="3">
        <v>21178.5</v>
      </c>
      <c r="T909" s="3" t="s">
        <v>31</v>
      </c>
      <c r="U909" s="3">
        <v>21178.5</v>
      </c>
      <c r="V909" s="5">
        <f>(DATE(2026,2,3)-'RICE_Insured Farms_with PPI Pol'!$G909)+IF('RICE_Insured Farms_with PPI Pol'!$H909&lt;&gt;'RICE_Insured Farms_with PPI Pol'!$G909,18,0)</f>
        <v>49</v>
      </c>
      <c r="W909" s="3" t="str">
        <f t="array" ref="W909">IFS(V909&gt;120, "Harvested", V909&gt;=113, "Yellow Ripening", V909&gt;=101, "Dough Stage", V909&gt;=93, "Milking Stage", V909&gt;=86, "Flowering", V909&gt;=56, "Panicle Initiation/Booting", V909&lt;56, "Vegetative/Tillering")</f>
        <v>Vegetative/Tillering</v>
      </c>
    </row>
    <row r="910" ht="15.75" customHeight="1">
      <c r="A910" s="3">
        <v>909.0</v>
      </c>
      <c r="B910" s="3" t="s">
        <v>23</v>
      </c>
      <c r="C910" s="3" t="s">
        <v>68</v>
      </c>
      <c r="D910" s="3" t="s">
        <v>289</v>
      </c>
      <c r="E910" s="3" t="s">
        <v>507</v>
      </c>
      <c r="F910" s="3">
        <v>1760016.0</v>
      </c>
      <c r="G910" s="4">
        <v>46019.0</v>
      </c>
      <c r="H910" s="4">
        <v>46121.0</v>
      </c>
      <c r="I910" s="3" t="s">
        <v>1017</v>
      </c>
      <c r="J910" s="3" t="s">
        <v>2511</v>
      </c>
      <c r="K910" s="3" t="s">
        <v>1525</v>
      </c>
      <c r="L910" s="3">
        <v>0.1792</v>
      </c>
      <c r="M910" s="3">
        <v>4480.0</v>
      </c>
      <c r="N910" s="3">
        <v>3.0</v>
      </c>
      <c r="O910" s="3">
        <v>298757.0</v>
      </c>
      <c r="P910" s="3" t="s">
        <v>2512</v>
      </c>
      <c r="Q910" s="3">
        <v>1134508.0</v>
      </c>
      <c r="R910" s="3"/>
      <c r="S910" s="3">
        <v>3584.0</v>
      </c>
      <c r="T910" s="3" t="s">
        <v>37</v>
      </c>
      <c r="U910" s="3">
        <v>3584.0</v>
      </c>
      <c r="V910" s="5">
        <f>(DATE(2026,2,3)-'RICE_Insured Farms_with PPI Pol'!$G910)+IF('RICE_Insured Farms_with PPI Pol'!$H910&lt;&gt;'RICE_Insured Farms_with PPI Pol'!$G910,18,0)</f>
        <v>55</v>
      </c>
      <c r="W910" s="3" t="str">
        <f t="array" ref="W910">IFS(V910&gt;120, "Harvested", V910&gt;=113, "Yellow Ripening", V910&gt;=101, "Dough Stage", V910&gt;=93, "Milking Stage", V910&gt;=86, "Flowering", V910&gt;=56, "Panicle Initiation/Booting", V910&lt;56, "Vegetative/Tillering")</f>
        <v>Vegetative/Tillering</v>
      </c>
    </row>
    <row r="911" ht="15.75" hidden="1" customHeight="1">
      <c r="A911" s="3">
        <v>910.0</v>
      </c>
      <c r="B911" s="3" t="s">
        <v>23</v>
      </c>
      <c r="C911" s="3" t="s">
        <v>121</v>
      </c>
      <c r="D911" s="3" t="s">
        <v>1492</v>
      </c>
      <c r="E911" s="3" t="s">
        <v>1493</v>
      </c>
      <c r="F911" s="3">
        <v>1740657.0</v>
      </c>
      <c r="G911" s="4">
        <v>46037.0</v>
      </c>
      <c r="H911" s="4">
        <v>46157.0</v>
      </c>
      <c r="I911" s="3" t="s">
        <v>479</v>
      </c>
      <c r="J911" s="3" t="s">
        <v>1690</v>
      </c>
      <c r="K911" s="3" t="s">
        <v>1946</v>
      </c>
      <c r="L911" s="3">
        <v>2.6207</v>
      </c>
      <c r="M911" s="3">
        <v>65517.5</v>
      </c>
      <c r="N911" s="3">
        <v>1.0</v>
      </c>
      <c r="O911" s="3">
        <v>458674.0</v>
      </c>
      <c r="P911" s="3"/>
      <c r="Q911" s="3">
        <v>1070655.0</v>
      </c>
      <c r="R911" s="3"/>
      <c r="S911" s="3">
        <v>39310.5</v>
      </c>
      <c r="T911" s="3" t="s">
        <v>62</v>
      </c>
      <c r="U911" s="3">
        <v>39310.5</v>
      </c>
      <c r="V911" s="5">
        <f>(DATE(2026,2,3)-'RICE_Insured Farms_with PPI Pol'!$G911)+IF('RICE_Insured Farms_with PPI Pol'!$H911&lt;&gt;'RICE_Insured Farms_with PPI Pol'!$G911,18,0)</f>
        <v>37</v>
      </c>
      <c r="W911" s="3" t="str">
        <f t="array" ref="W911">IFS(V911&gt;120, "Harvested", V911&gt;=113, "Yellow Ripening", V911&gt;=101, "Dough Stage", V911&gt;=93, "Milking Stage", V911&gt;=86, "Flowering", V911&gt;=56, "Panicle Initiation/Booting", V911&lt;56, "Vegetative/Tillering")</f>
        <v>Vegetative/Tillering</v>
      </c>
    </row>
    <row r="912" ht="15.75" hidden="1" customHeight="1">
      <c r="A912" s="3">
        <v>911.0</v>
      </c>
      <c r="B912" s="3" t="s">
        <v>23</v>
      </c>
      <c r="C912" s="3" t="s">
        <v>68</v>
      </c>
      <c r="D912" s="3" t="s">
        <v>122</v>
      </c>
      <c r="E912" s="3" t="s">
        <v>376</v>
      </c>
      <c r="F912" s="3">
        <v>1196930.0</v>
      </c>
      <c r="G912" s="4">
        <v>46026.0</v>
      </c>
      <c r="H912" s="4">
        <v>46128.0</v>
      </c>
      <c r="I912" s="3" t="s">
        <v>2513</v>
      </c>
      <c r="J912" s="3" t="s">
        <v>1128</v>
      </c>
      <c r="K912" s="3" t="s">
        <v>2514</v>
      </c>
      <c r="L912" s="3">
        <v>0.3358</v>
      </c>
      <c r="M912" s="3">
        <v>8395.0</v>
      </c>
      <c r="N912" s="3">
        <v>2.0</v>
      </c>
      <c r="O912" s="3">
        <v>171304.0</v>
      </c>
      <c r="P912" s="3" t="s">
        <v>2515</v>
      </c>
      <c r="Q912" s="3">
        <v>1192327.0</v>
      </c>
      <c r="R912" s="3"/>
      <c r="S912" s="3">
        <v>5876.5</v>
      </c>
      <c r="T912" s="3" t="s">
        <v>31</v>
      </c>
      <c r="U912" s="3">
        <v>5876.5</v>
      </c>
      <c r="V912" s="5">
        <f>(DATE(2026,2,3)-'RICE_Insured Farms_with PPI Pol'!$G912)+IF('RICE_Insured Farms_with PPI Pol'!$H912&lt;&gt;'RICE_Insured Farms_with PPI Pol'!$G912,18,0)</f>
        <v>48</v>
      </c>
      <c r="W912" s="3" t="str">
        <f t="array" ref="W912">IFS(V912&gt;120, "Harvested", V912&gt;=113, "Yellow Ripening", V912&gt;=101, "Dough Stage", V912&gt;=93, "Milking Stage", V912&gt;=86, "Flowering", V912&gt;=56, "Panicle Initiation/Booting", V912&lt;56, "Vegetative/Tillering")</f>
        <v>Vegetative/Tillering</v>
      </c>
    </row>
    <row r="913" ht="15.75" customHeight="1">
      <c r="A913" s="3">
        <v>912.0</v>
      </c>
      <c r="B913" s="3" t="s">
        <v>23</v>
      </c>
      <c r="C913" s="3" t="s">
        <v>68</v>
      </c>
      <c r="D913" s="3" t="s">
        <v>679</v>
      </c>
      <c r="E913" s="3" t="s">
        <v>299</v>
      </c>
      <c r="F913" s="3">
        <v>1175376.0</v>
      </c>
      <c r="G913" s="4">
        <v>46021.0</v>
      </c>
      <c r="H913" s="4">
        <v>46123.0</v>
      </c>
      <c r="I913" s="3" t="s">
        <v>2516</v>
      </c>
      <c r="J913" s="3" t="s">
        <v>34</v>
      </c>
      <c r="K913" s="3" t="s">
        <v>1964</v>
      </c>
      <c r="L913" s="3">
        <v>0.4251</v>
      </c>
      <c r="M913" s="3">
        <v>10627.5</v>
      </c>
      <c r="N913" s="3">
        <v>3.0</v>
      </c>
      <c r="O913" s="3">
        <v>389768.0</v>
      </c>
      <c r="P913" s="3" t="s">
        <v>2517</v>
      </c>
      <c r="Q913" s="3">
        <v>1142324.0</v>
      </c>
      <c r="R913" s="3"/>
      <c r="S913" s="3">
        <v>8502.0</v>
      </c>
      <c r="T913" s="3" t="s">
        <v>37</v>
      </c>
      <c r="U913" s="3">
        <v>8502.0</v>
      </c>
      <c r="V913" s="5">
        <f>(DATE(2026,2,3)-'RICE_Insured Farms_with PPI Pol'!$G913)+IF('RICE_Insured Farms_with PPI Pol'!$H913&lt;&gt;'RICE_Insured Farms_with PPI Pol'!$G913,18,0)</f>
        <v>53</v>
      </c>
      <c r="W913" s="3" t="str">
        <f t="array" ref="W913">IFS(V913&gt;120, "Harvested", V913&gt;=113, "Yellow Ripening", V913&gt;=101, "Dough Stage", V913&gt;=93, "Milking Stage", V913&gt;=86, "Flowering", V913&gt;=56, "Panicle Initiation/Booting", V913&lt;56, "Vegetative/Tillering")</f>
        <v>Vegetative/Tillering</v>
      </c>
    </row>
    <row r="914" ht="15.75" hidden="1" customHeight="1">
      <c r="A914" s="3">
        <v>913.0</v>
      </c>
      <c r="B914" s="3" t="s">
        <v>23</v>
      </c>
      <c r="C914" s="3" t="s">
        <v>68</v>
      </c>
      <c r="D914" s="3" t="s">
        <v>122</v>
      </c>
      <c r="E914" s="3" t="s">
        <v>1122</v>
      </c>
      <c r="F914" s="3">
        <v>1196930.0</v>
      </c>
      <c r="G914" s="4">
        <v>46033.0</v>
      </c>
      <c r="H914" s="4">
        <v>46135.0</v>
      </c>
      <c r="I914" s="3" t="s">
        <v>2518</v>
      </c>
      <c r="J914" s="3" t="s">
        <v>2519</v>
      </c>
      <c r="K914" s="3" t="s">
        <v>1864</v>
      </c>
      <c r="L914" s="3">
        <v>0.4023</v>
      </c>
      <c r="M914" s="3">
        <v>10057.5</v>
      </c>
      <c r="N914" s="3">
        <v>2.0</v>
      </c>
      <c r="O914" s="3">
        <v>334610.0</v>
      </c>
      <c r="P914" s="3" t="s">
        <v>2520</v>
      </c>
      <c r="Q914" s="3">
        <v>1186480.0</v>
      </c>
      <c r="R914" s="3"/>
      <c r="S914" s="3">
        <v>7040.25</v>
      </c>
      <c r="T914" s="3" t="s">
        <v>31</v>
      </c>
      <c r="U914" s="3">
        <v>7040.25</v>
      </c>
      <c r="V914" s="5">
        <f>(DATE(2026,2,3)-'RICE_Insured Farms_with PPI Pol'!$G914)+IF('RICE_Insured Farms_with PPI Pol'!$H914&lt;&gt;'RICE_Insured Farms_with PPI Pol'!$G914,18,0)</f>
        <v>41</v>
      </c>
      <c r="W914" s="3" t="str">
        <f t="array" ref="W914">IFS(V914&gt;120, "Harvested", V914&gt;=113, "Yellow Ripening", V914&gt;=101, "Dough Stage", V914&gt;=93, "Milking Stage", V914&gt;=86, "Flowering", V914&gt;=56, "Panicle Initiation/Booting", V914&lt;56, "Vegetative/Tillering")</f>
        <v>Vegetative/Tillering</v>
      </c>
    </row>
    <row r="915" ht="15.75" hidden="1" customHeight="1">
      <c r="A915" s="3">
        <v>914.0</v>
      </c>
      <c r="B915" s="3" t="s">
        <v>23</v>
      </c>
      <c r="C915" s="3" t="s">
        <v>68</v>
      </c>
      <c r="D915" s="3" t="s">
        <v>122</v>
      </c>
      <c r="E915" s="3" t="s">
        <v>376</v>
      </c>
      <c r="F915" s="3">
        <v>1196933.0</v>
      </c>
      <c r="G915" s="4">
        <v>46033.0</v>
      </c>
      <c r="H915" s="4">
        <v>46135.0</v>
      </c>
      <c r="I915" s="3" t="s">
        <v>2518</v>
      </c>
      <c r="J915" s="3" t="s">
        <v>249</v>
      </c>
      <c r="K915" s="3" t="s">
        <v>2521</v>
      </c>
      <c r="L915" s="3">
        <v>0.8398</v>
      </c>
      <c r="M915" s="3">
        <v>20995.0</v>
      </c>
      <c r="N915" s="3">
        <v>2.0</v>
      </c>
      <c r="O915" s="3">
        <v>334622.0</v>
      </c>
      <c r="P915" s="3" t="s">
        <v>2522</v>
      </c>
      <c r="Q915" s="3">
        <v>639587.0</v>
      </c>
      <c r="R915" s="3"/>
      <c r="S915" s="3">
        <v>14696.5</v>
      </c>
      <c r="T915" s="3" t="s">
        <v>31</v>
      </c>
      <c r="U915" s="3">
        <v>14696.5</v>
      </c>
      <c r="V915" s="5">
        <f>(DATE(2026,2,3)-'RICE_Insured Farms_with PPI Pol'!$G915)+IF('RICE_Insured Farms_with PPI Pol'!$H915&lt;&gt;'RICE_Insured Farms_with PPI Pol'!$G915,18,0)</f>
        <v>41</v>
      </c>
      <c r="W915" s="3" t="str">
        <f t="array" ref="W915">IFS(V915&gt;120, "Harvested", V915&gt;=113, "Yellow Ripening", V915&gt;=101, "Dough Stage", V915&gt;=93, "Milking Stage", V915&gt;=86, "Flowering", V915&gt;=56, "Panicle Initiation/Booting", V915&lt;56, "Vegetative/Tillering")</f>
        <v>Vegetative/Tillering</v>
      </c>
    </row>
    <row r="916" ht="15.75" hidden="1" customHeight="1">
      <c r="A916" s="3">
        <v>915.0</v>
      </c>
      <c r="B916" s="3" t="s">
        <v>23</v>
      </c>
      <c r="C916" s="3" t="s">
        <v>68</v>
      </c>
      <c r="D916" s="3" t="s">
        <v>289</v>
      </c>
      <c r="E916" s="3" t="s">
        <v>431</v>
      </c>
      <c r="F916" s="3">
        <v>1760019.0</v>
      </c>
      <c r="G916" s="4">
        <v>46027.0</v>
      </c>
      <c r="H916" s="4">
        <v>46129.0</v>
      </c>
      <c r="I916" s="3" t="s">
        <v>2523</v>
      </c>
      <c r="J916" s="3" t="s">
        <v>2524</v>
      </c>
      <c r="K916" s="3" t="s">
        <v>1180</v>
      </c>
      <c r="L916" s="3">
        <v>1.4694</v>
      </c>
      <c r="M916" s="3">
        <v>36735.0</v>
      </c>
      <c r="N916" s="3">
        <v>2.0</v>
      </c>
      <c r="O916" s="3">
        <v>128042.0</v>
      </c>
      <c r="P916" s="3" t="s">
        <v>2525</v>
      </c>
      <c r="Q916" s="3">
        <v>1123859.0</v>
      </c>
      <c r="R916" s="3"/>
      <c r="S916" s="3">
        <v>25714.5</v>
      </c>
      <c r="T916" s="3" t="s">
        <v>31</v>
      </c>
      <c r="U916" s="3">
        <v>25714.5</v>
      </c>
      <c r="V916" s="5">
        <f>(DATE(2026,2,3)-'RICE_Insured Farms_with PPI Pol'!$G916)+IF('RICE_Insured Farms_with PPI Pol'!$H916&lt;&gt;'RICE_Insured Farms_with PPI Pol'!$G916,18,0)</f>
        <v>47</v>
      </c>
      <c r="W916" s="3" t="str">
        <f t="array" ref="W916">IFS(V916&gt;120, "Harvested", V916&gt;=113, "Yellow Ripening", V916&gt;=101, "Dough Stage", V916&gt;=93, "Milking Stage", V916&gt;=86, "Flowering", V916&gt;=56, "Panicle Initiation/Booting", V916&lt;56, "Vegetative/Tillering")</f>
        <v>Vegetative/Tillering</v>
      </c>
    </row>
    <row r="917" ht="15.75" hidden="1" customHeight="1">
      <c r="A917" s="3">
        <v>916.0</v>
      </c>
      <c r="B917" s="3" t="s">
        <v>23</v>
      </c>
      <c r="C917" s="3" t="s">
        <v>24</v>
      </c>
      <c r="D917" s="3" t="s">
        <v>25</v>
      </c>
      <c r="E917" s="3" t="s">
        <v>1164</v>
      </c>
      <c r="F917" s="3">
        <v>1760492.0</v>
      </c>
      <c r="G917" s="4">
        <v>46011.0</v>
      </c>
      <c r="H917" s="4">
        <v>46131.0</v>
      </c>
      <c r="I917" s="3" t="s">
        <v>2526</v>
      </c>
      <c r="J917" s="3" t="s">
        <v>949</v>
      </c>
      <c r="K917" s="3" t="s">
        <v>1565</v>
      </c>
      <c r="L917" s="3">
        <v>1.045</v>
      </c>
      <c r="M917" s="3">
        <v>26125.0</v>
      </c>
      <c r="N917" s="3">
        <v>2.0</v>
      </c>
      <c r="O917" s="3">
        <v>392366.0</v>
      </c>
      <c r="P917" s="3" t="s">
        <v>2527</v>
      </c>
      <c r="Q917" s="3">
        <v>1276965.0</v>
      </c>
      <c r="R917" s="3"/>
      <c r="S917" s="3">
        <v>18287.5</v>
      </c>
      <c r="T917" s="3" t="s">
        <v>31</v>
      </c>
      <c r="U917" s="3">
        <v>18287.5</v>
      </c>
      <c r="V917" s="5">
        <f>(DATE(2026,2,3)-'RICE_Insured Farms_with PPI Pol'!$G917)+IF('RICE_Insured Farms_with PPI Pol'!$H917&lt;&gt;'RICE_Insured Farms_with PPI Pol'!$G917,18,0)</f>
        <v>63</v>
      </c>
      <c r="W917" s="3" t="str">
        <f t="array" ref="W917">IFS(V917&gt;120, "Harvested", V917&gt;=113, "Yellow Ripening", V917&gt;=101, "Dough Stage", V917&gt;=93, "Milking Stage", V917&gt;=86, "Flowering", V917&gt;=56, "Panicle Initiation/Booting", V917&lt;56, "Vegetative/Tillering")</f>
        <v>Panicle Initiation/Booting</v>
      </c>
    </row>
    <row r="918" ht="15.75" customHeight="1">
      <c r="A918" s="3">
        <v>917.0</v>
      </c>
      <c r="B918" s="3" t="s">
        <v>23</v>
      </c>
      <c r="C918" s="3" t="s">
        <v>68</v>
      </c>
      <c r="D918" s="3" t="s">
        <v>69</v>
      </c>
      <c r="E918" s="3" t="s">
        <v>184</v>
      </c>
      <c r="F918" s="3">
        <v>1739643.0</v>
      </c>
      <c r="G918" s="4">
        <v>46012.0</v>
      </c>
      <c r="H918" s="4">
        <v>46114.0</v>
      </c>
      <c r="I918" s="3" t="s">
        <v>203</v>
      </c>
      <c r="J918" s="3" t="s">
        <v>2528</v>
      </c>
      <c r="K918" s="3" t="s">
        <v>2529</v>
      </c>
      <c r="L918" s="3">
        <v>0.59</v>
      </c>
      <c r="M918" s="3">
        <v>14750.0</v>
      </c>
      <c r="N918" s="3">
        <v>3.0</v>
      </c>
      <c r="O918" s="3">
        <v>187863.0</v>
      </c>
      <c r="P918" s="3" t="s">
        <v>2530</v>
      </c>
      <c r="Q918" s="3">
        <v>1137530.0</v>
      </c>
      <c r="R918" s="3"/>
      <c r="S918" s="3">
        <v>11800.0</v>
      </c>
      <c r="T918" s="3" t="s">
        <v>37</v>
      </c>
      <c r="U918" s="3">
        <v>11800.0</v>
      </c>
      <c r="V918" s="5">
        <f>(DATE(2026,2,3)-'RICE_Insured Farms_with PPI Pol'!$G918)+IF('RICE_Insured Farms_with PPI Pol'!$H918&lt;&gt;'RICE_Insured Farms_with PPI Pol'!$G918,18,0)</f>
        <v>62</v>
      </c>
      <c r="W918" s="3" t="str">
        <f t="array" ref="W918">IFS(V918&gt;120, "Harvested", V918&gt;=113, "Yellow Ripening", V918&gt;=101, "Dough Stage", V918&gt;=93, "Milking Stage", V918&gt;=86, "Flowering", V918&gt;=56, "Panicle Initiation/Booting", V918&lt;56, "Vegetative/Tillering")</f>
        <v>Panicle Initiation/Booting</v>
      </c>
    </row>
    <row r="919" ht="15.75" hidden="1" customHeight="1">
      <c r="A919" s="3">
        <v>918.0</v>
      </c>
      <c r="B919" s="3" t="s">
        <v>23</v>
      </c>
      <c r="C919" s="3" t="s">
        <v>68</v>
      </c>
      <c r="D919" s="3" t="s">
        <v>69</v>
      </c>
      <c r="E919" s="3" t="s">
        <v>184</v>
      </c>
      <c r="F919" s="3">
        <v>1739643.0</v>
      </c>
      <c r="G919" s="4">
        <v>46013.0</v>
      </c>
      <c r="H919" s="4">
        <v>46133.0</v>
      </c>
      <c r="I919" s="3" t="s">
        <v>203</v>
      </c>
      <c r="J919" s="3" t="s">
        <v>2528</v>
      </c>
      <c r="K919" s="3" t="s">
        <v>2529</v>
      </c>
      <c r="L919" s="3">
        <v>0.9463</v>
      </c>
      <c r="M919" s="3">
        <v>23657.5</v>
      </c>
      <c r="N919" s="3">
        <v>2.0</v>
      </c>
      <c r="O919" s="3">
        <v>187863.0</v>
      </c>
      <c r="P919" s="3" t="s">
        <v>2530</v>
      </c>
      <c r="Q919" s="3">
        <v>1137534.0</v>
      </c>
      <c r="R919" s="3"/>
      <c r="S919" s="3">
        <v>16560.25</v>
      </c>
      <c r="T919" s="3" t="s">
        <v>31</v>
      </c>
      <c r="U919" s="3">
        <v>16560.25</v>
      </c>
      <c r="V919" s="5">
        <f>(DATE(2026,2,3)-'RICE_Insured Farms_with PPI Pol'!$G919)+IF('RICE_Insured Farms_with PPI Pol'!$H919&lt;&gt;'RICE_Insured Farms_with PPI Pol'!$G919,18,0)</f>
        <v>61</v>
      </c>
      <c r="W919" s="3" t="str">
        <f t="array" ref="W919">IFS(V919&gt;120, "Harvested", V919&gt;=113, "Yellow Ripening", V919&gt;=101, "Dough Stage", V919&gt;=93, "Milking Stage", V919&gt;=86, "Flowering", V919&gt;=56, "Panicle Initiation/Booting", V919&lt;56, "Vegetative/Tillering")</f>
        <v>Panicle Initiation/Booting</v>
      </c>
    </row>
    <row r="920" ht="15.75" hidden="1" customHeight="1">
      <c r="A920" s="3">
        <v>919.0</v>
      </c>
      <c r="B920" s="3" t="s">
        <v>23</v>
      </c>
      <c r="C920" s="3" t="s">
        <v>68</v>
      </c>
      <c r="D920" s="3" t="s">
        <v>289</v>
      </c>
      <c r="E920" s="3" t="s">
        <v>743</v>
      </c>
      <c r="F920" s="3">
        <v>1760011.0</v>
      </c>
      <c r="G920" s="4">
        <v>46026.0</v>
      </c>
      <c r="H920" s="4">
        <v>46128.0</v>
      </c>
      <c r="I920" s="3" t="s">
        <v>2531</v>
      </c>
      <c r="J920" s="3" t="s">
        <v>2532</v>
      </c>
      <c r="K920" s="3" t="s">
        <v>2533</v>
      </c>
      <c r="L920" s="3">
        <v>1.0</v>
      </c>
      <c r="M920" s="3">
        <v>25000.0</v>
      </c>
      <c r="N920" s="3">
        <v>2.0</v>
      </c>
      <c r="O920" s="3">
        <v>298575.0</v>
      </c>
      <c r="P920" s="3"/>
      <c r="Q920" s="3">
        <v>1134463.0</v>
      </c>
      <c r="R920" s="3"/>
      <c r="S920" s="3">
        <v>17500.0</v>
      </c>
      <c r="T920" s="3" t="s">
        <v>31</v>
      </c>
      <c r="U920" s="3">
        <v>17500.0</v>
      </c>
      <c r="V920" s="5">
        <f>(DATE(2026,2,3)-'RICE_Insured Farms_with PPI Pol'!$G920)+IF('RICE_Insured Farms_with PPI Pol'!$H920&lt;&gt;'RICE_Insured Farms_with PPI Pol'!$G920,18,0)</f>
        <v>48</v>
      </c>
      <c r="W920" s="3" t="str">
        <f t="array" ref="W920">IFS(V920&gt;120, "Harvested", V920&gt;=113, "Yellow Ripening", V920&gt;=101, "Dough Stage", V920&gt;=93, "Milking Stage", V920&gt;=86, "Flowering", V920&gt;=56, "Panicle Initiation/Booting", V920&lt;56, "Vegetative/Tillering")</f>
        <v>Vegetative/Tillering</v>
      </c>
    </row>
    <row r="921" ht="15.75" hidden="1" customHeight="1">
      <c r="A921" s="3">
        <v>920.0</v>
      </c>
      <c r="B921" s="3" t="s">
        <v>23</v>
      </c>
      <c r="C921" s="3" t="s">
        <v>68</v>
      </c>
      <c r="D921" s="3" t="s">
        <v>289</v>
      </c>
      <c r="E921" s="3" t="s">
        <v>290</v>
      </c>
      <c r="F921" s="3">
        <v>1760031.0</v>
      </c>
      <c r="G921" s="4">
        <v>46027.0</v>
      </c>
      <c r="H921" s="4">
        <v>46129.0</v>
      </c>
      <c r="I921" s="3" t="s">
        <v>2531</v>
      </c>
      <c r="J921" s="3" t="s">
        <v>1123</v>
      </c>
      <c r="K921" s="3" t="s">
        <v>2534</v>
      </c>
      <c r="L921" s="3">
        <v>0.5576</v>
      </c>
      <c r="M921" s="3">
        <v>13940.0</v>
      </c>
      <c r="N921" s="3">
        <v>2.0</v>
      </c>
      <c r="O921" s="3">
        <v>376944.0</v>
      </c>
      <c r="P921" s="3" t="s">
        <v>2535</v>
      </c>
      <c r="Q921" s="3">
        <v>1280428.0</v>
      </c>
      <c r="R921" s="3"/>
      <c r="S921" s="3">
        <v>9758.0</v>
      </c>
      <c r="T921" s="3" t="s">
        <v>31</v>
      </c>
      <c r="U921" s="3">
        <v>9758.0</v>
      </c>
      <c r="V921" s="5">
        <f>(DATE(2026,2,3)-'RICE_Insured Farms_with PPI Pol'!$G921)+IF('RICE_Insured Farms_with PPI Pol'!$H921&lt;&gt;'RICE_Insured Farms_with PPI Pol'!$G921,18,0)</f>
        <v>47</v>
      </c>
      <c r="W921" s="3" t="str">
        <f t="array" ref="W921">IFS(V921&gt;120, "Harvested", V921&gt;=113, "Yellow Ripening", V921&gt;=101, "Dough Stage", V921&gt;=93, "Milking Stage", V921&gt;=86, "Flowering", V921&gt;=56, "Panicle Initiation/Booting", V921&lt;56, "Vegetative/Tillering")</f>
        <v>Vegetative/Tillering</v>
      </c>
    </row>
    <row r="922" ht="15.75" hidden="1" customHeight="1">
      <c r="A922" s="3">
        <v>921.0</v>
      </c>
      <c r="B922" s="3" t="s">
        <v>23</v>
      </c>
      <c r="C922" s="3" t="s">
        <v>68</v>
      </c>
      <c r="D922" s="3" t="s">
        <v>289</v>
      </c>
      <c r="E922" s="3" t="s">
        <v>743</v>
      </c>
      <c r="F922" s="3">
        <v>1760039.0</v>
      </c>
      <c r="G922" s="4">
        <v>46032.0</v>
      </c>
      <c r="H922" s="4">
        <v>46134.0</v>
      </c>
      <c r="I922" s="3" t="s">
        <v>2536</v>
      </c>
      <c r="J922" s="3" t="s">
        <v>2537</v>
      </c>
      <c r="K922" s="3" t="s">
        <v>2295</v>
      </c>
      <c r="L922" s="3">
        <v>0.1554</v>
      </c>
      <c r="M922" s="3">
        <v>3885.0</v>
      </c>
      <c r="N922" s="3">
        <v>2.0</v>
      </c>
      <c r="O922" s="3">
        <v>330241.0</v>
      </c>
      <c r="P922" s="3" t="s">
        <v>2538</v>
      </c>
      <c r="Q922" s="3">
        <v>1136745.0</v>
      </c>
      <c r="R922" s="3"/>
      <c r="S922" s="3">
        <v>2719.5</v>
      </c>
      <c r="T922" s="3" t="s">
        <v>31</v>
      </c>
      <c r="U922" s="3">
        <v>2719.5</v>
      </c>
      <c r="V922" s="5">
        <f>(DATE(2026,2,3)-'RICE_Insured Farms_with PPI Pol'!$G922)+IF('RICE_Insured Farms_with PPI Pol'!$H922&lt;&gt;'RICE_Insured Farms_with PPI Pol'!$G922,18,0)</f>
        <v>42</v>
      </c>
      <c r="W922" s="3" t="str">
        <f t="array" ref="W922">IFS(V922&gt;120, "Harvested", V922&gt;=113, "Yellow Ripening", V922&gt;=101, "Dough Stage", V922&gt;=93, "Milking Stage", V922&gt;=86, "Flowering", V922&gt;=56, "Panicle Initiation/Booting", V922&lt;56, "Vegetative/Tillering")</f>
        <v>Vegetative/Tillering</v>
      </c>
    </row>
    <row r="923" ht="15.75" customHeight="1">
      <c r="A923" s="3">
        <v>922.0</v>
      </c>
      <c r="B923" s="3" t="s">
        <v>23</v>
      </c>
      <c r="C923" s="3" t="s">
        <v>68</v>
      </c>
      <c r="D923" s="3" t="s">
        <v>289</v>
      </c>
      <c r="E923" s="3" t="s">
        <v>290</v>
      </c>
      <c r="F923" s="3">
        <v>1760042.0</v>
      </c>
      <c r="G923" s="4">
        <v>46023.0</v>
      </c>
      <c r="H923" s="4">
        <v>46125.0</v>
      </c>
      <c r="I923" s="3" t="s">
        <v>2115</v>
      </c>
      <c r="J923" s="3" t="s">
        <v>586</v>
      </c>
      <c r="K923" s="3" t="s">
        <v>1507</v>
      </c>
      <c r="L923" s="3">
        <v>1.1403</v>
      </c>
      <c r="M923" s="3">
        <v>28507.5</v>
      </c>
      <c r="N923" s="3">
        <v>3.0</v>
      </c>
      <c r="O923" s="3">
        <v>195621.0</v>
      </c>
      <c r="P923" s="3" t="s">
        <v>2539</v>
      </c>
      <c r="Q923" s="3">
        <v>1142851.0</v>
      </c>
      <c r="R923" s="3"/>
      <c r="S923" s="3">
        <v>22806.0</v>
      </c>
      <c r="T923" s="3" t="s">
        <v>37</v>
      </c>
      <c r="U923" s="3">
        <v>22806.0</v>
      </c>
      <c r="V923" s="5">
        <f>(DATE(2026,2,3)-'RICE_Insured Farms_with PPI Pol'!$G923)+IF('RICE_Insured Farms_with PPI Pol'!$H923&lt;&gt;'RICE_Insured Farms_with PPI Pol'!$G923,18,0)</f>
        <v>51</v>
      </c>
      <c r="W923" s="3" t="str">
        <f t="array" ref="W923">IFS(V923&gt;120, "Harvested", V923&gt;=113, "Yellow Ripening", V923&gt;=101, "Dough Stage", V923&gt;=93, "Milking Stage", V923&gt;=86, "Flowering", V923&gt;=56, "Panicle Initiation/Booting", V923&lt;56, "Vegetative/Tillering")</f>
        <v>Vegetative/Tillering</v>
      </c>
    </row>
    <row r="924" ht="15.75" hidden="1" customHeight="1">
      <c r="A924" s="3">
        <v>923.0</v>
      </c>
      <c r="B924" s="3" t="s">
        <v>23</v>
      </c>
      <c r="C924" s="3" t="s">
        <v>68</v>
      </c>
      <c r="D924" s="3" t="s">
        <v>289</v>
      </c>
      <c r="E924" s="3" t="s">
        <v>290</v>
      </c>
      <c r="F924" s="3">
        <v>1760042.0</v>
      </c>
      <c r="G924" s="4">
        <v>46026.0</v>
      </c>
      <c r="H924" s="4">
        <v>46128.0</v>
      </c>
      <c r="I924" s="3" t="s">
        <v>394</v>
      </c>
      <c r="J924" s="3" t="s">
        <v>2540</v>
      </c>
      <c r="K924" s="3" t="s">
        <v>2541</v>
      </c>
      <c r="L924" s="3">
        <v>0.5365</v>
      </c>
      <c r="M924" s="3">
        <v>13412.5</v>
      </c>
      <c r="N924" s="3">
        <v>2.0</v>
      </c>
      <c r="O924" s="3">
        <v>15909.0</v>
      </c>
      <c r="P924" s="3" t="s">
        <v>2542</v>
      </c>
      <c r="Q924" s="3">
        <v>1285428.0</v>
      </c>
      <c r="R924" s="3"/>
      <c r="S924" s="3">
        <v>9388.75</v>
      </c>
      <c r="T924" s="3" t="s">
        <v>31</v>
      </c>
      <c r="U924" s="3">
        <v>9388.75</v>
      </c>
      <c r="V924" s="5">
        <f>(DATE(2026,2,3)-'RICE_Insured Farms_with PPI Pol'!$G924)+IF('RICE_Insured Farms_with PPI Pol'!$H924&lt;&gt;'RICE_Insured Farms_with PPI Pol'!$G924,18,0)</f>
        <v>48</v>
      </c>
      <c r="W924" s="3" t="str">
        <f t="array" ref="W924">IFS(V924&gt;120, "Harvested", V924&gt;=113, "Yellow Ripening", V924&gt;=101, "Dough Stage", V924&gt;=93, "Milking Stage", V924&gt;=86, "Flowering", V924&gt;=56, "Panicle Initiation/Booting", V924&lt;56, "Vegetative/Tillering")</f>
        <v>Vegetative/Tillering</v>
      </c>
    </row>
    <row r="925" ht="15.75" hidden="1" customHeight="1">
      <c r="A925" s="3">
        <v>924.0</v>
      </c>
      <c r="B925" s="3" t="s">
        <v>23</v>
      </c>
      <c r="C925" s="3" t="s">
        <v>68</v>
      </c>
      <c r="D925" s="3" t="s">
        <v>289</v>
      </c>
      <c r="E925" s="3" t="s">
        <v>507</v>
      </c>
      <c r="F925" s="3">
        <v>1760030.0</v>
      </c>
      <c r="G925" s="4">
        <v>46032.0</v>
      </c>
      <c r="H925" s="4">
        <v>46134.0</v>
      </c>
      <c r="I925" s="3" t="s">
        <v>2543</v>
      </c>
      <c r="J925" s="3" t="s">
        <v>469</v>
      </c>
      <c r="K925" s="3" t="s">
        <v>744</v>
      </c>
      <c r="L925" s="3">
        <v>0.2876</v>
      </c>
      <c r="M925" s="3">
        <v>7190.0</v>
      </c>
      <c r="N925" s="3">
        <v>2.0</v>
      </c>
      <c r="O925" s="3">
        <v>461599.0</v>
      </c>
      <c r="P925" s="3" t="s">
        <v>2544</v>
      </c>
      <c r="Q925" s="3">
        <v>1151588.0</v>
      </c>
      <c r="R925" s="3"/>
      <c r="S925" s="3">
        <v>5033.0</v>
      </c>
      <c r="T925" s="3" t="s">
        <v>31</v>
      </c>
      <c r="U925" s="3">
        <v>5033.0</v>
      </c>
      <c r="V925" s="5">
        <f>(DATE(2026,2,3)-'RICE_Insured Farms_with PPI Pol'!$G925)+IF('RICE_Insured Farms_with PPI Pol'!$H925&lt;&gt;'RICE_Insured Farms_with PPI Pol'!$G925,18,0)</f>
        <v>42</v>
      </c>
      <c r="W925" s="3" t="str">
        <f t="array" ref="W925">IFS(V925&gt;120, "Harvested", V925&gt;=113, "Yellow Ripening", V925&gt;=101, "Dough Stage", V925&gt;=93, "Milking Stage", V925&gt;=86, "Flowering", V925&gt;=56, "Panicle Initiation/Booting", V925&lt;56, "Vegetative/Tillering")</f>
        <v>Vegetative/Tillering</v>
      </c>
    </row>
    <row r="926" ht="15.75" hidden="1" customHeight="1">
      <c r="A926" s="3">
        <v>925.0</v>
      </c>
      <c r="B926" s="3" t="s">
        <v>23</v>
      </c>
      <c r="C926" s="3" t="s">
        <v>68</v>
      </c>
      <c r="D926" s="3" t="s">
        <v>289</v>
      </c>
      <c r="E926" s="3" t="s">
        <v>290</v>
      </c>
      <c r="F926" s="3">
        <v>1760037.0</v>
      </c>
      <c r="G926" s="4">
        <v>46032.0</v>
      </c>
      <c r="H926" s="4">
        <v>46134.0</v>
      </c>
      <c r="I926" s="3" t="s">
        <v>1043</v>
      </c>
      <c r="J926" s="3" t="s">
        <v>1184</v>
      </c>
      <c r="K926" s="3" t="s">
        <v>2545</v>
      </c>
      <c r="L926" s="3">
        <v>1.8113</v>
      </c>
      <c r="M926" s="3">
        <v>45282.5</v>
      </c>
      <c r="N926" s="3">
        <v>2.0</v>
      </c>
      <c r="O926" s="3">
        <v>15911.0</v>
      </c>
      <c r="P926" s="3" t="s">
        <v>2546</v>
      </c>
      <c r="Q926" s="3">
        <v>1282190.0</v>
      </c>
      <c r="R926" s="3"/>
      <c r="S926" s="3">
        <v>31697.75</v>
      </c>
      <c r="T926" s="3" t="s">
        <v>31</v>
      </c>
      <c r="U926" s="3">
        <v>31697.75</v>
      </c>
      <c r="V926" s="5">
        <f>(DATE(2026,2,3)-'RICE_Insured Farms_with PPI Pol'!$G926)+IF('RICE_Insured Farms_with PPI Pol'!$H926&lt;&gt;'RICE_Insured Farms_with PPI Pol'!$G926,18,0)</f>
        <v>42</v>
      </c>
      <c r="W926" s="3" t="str">
        <f t="array" ref="W926">IFS(V926&gt;120, "Harvested", V926&gt;=113, "Yellow Ripening", V926&gt;=101, "Dough Stage", V926&gt;=93, "Milking Stage", V926&gt;=86, "Flowering", V926&gt;=56, "Panicle Initiation/Booting", V926&lt;56, "Vegetative/Tillering")</f>
        <v>Vegetative/Tillering</v>
      </c>
    </row>
    <row r="927" ht="15.75" customHeight="1">
      <c r="A927" s="3">
        <v>926.0</v>
      </c>
      <c r="B927" s="3" t="s">
        <v>23</v>
      </c>
      <c r="C927" s="3" t="s">
        <v>121</v>
      </c>
      <c r="D927" s="3" t="s">
        <v>2002</v>
      </c>
      <c r="E927" s="3" t="s">
        <v>2003</v>
      </c>
      <c r="F927" s="3">
        <v>1760607.0</v>
      </c>
      <c r="G927" s="4">
        <v>46024.0</v>
      </c>
      <c r="H927" s="4">
        <v>46119.0</v>
      </c>
      <c r="I927" s="3" t="s">
        <v>2547</v>
      </c>
      <c r="J927" s="3" t="s">
        <v>1482</v>
      </c>
      <c r="K927" s="3" t="s">
        <v>2548</v>
      </c>
      <c r="L927" s="3">
        <v>0.8826</v>
      </c>
      <c r="M927" s="3">
        <v>22065.0</v>
      </c>
      <c r="N927" s="3">
        <v>3.0</v>
      </c>
      <c r="O927" s="3">
        <v>44688.0</v>
      </c>
      <c r="P927" s="3" t="s">
        <v>2549</v>
      </c>
      <c r="Q927" s="3">
        <v>1078884.0</v>
      </c>
      <c r="R927" s="3"/>
      <c r="S927" s="3">
        <v>17652.0</v>
      </c>
      <c r="T927" s="3" t="s">
        <v>37</v>
      </c>
      <c r="U927" s="3">
        <v>17652.0</v>
      </c>
      <c r="V927" s="5">
        <f>(DATE(2026,2,3)-'RICE_Insured Farms_with PPI Pol'!$G927)+IF('RICE_Insured Farms_with PPI Pol'!$H927&lt;&gt;'RICE_Insured Farms_with PPI Pol'!$G927,18,0)</f>
        <v>50</v>
      </c>
      <c r="W927" s="3" t="str">
        <f t="array" ref="W927">IFS(V927&gt;120, "Harvested", V927&gt;=113, "Yellow Ripening", V927&gt;=101, "Dough Stage", V927&gt;=93, "Milking Stage", V927&gt;=86, "Flowering", V927&gt;=56, "Panicle Initiation/Booting", V927&lt;56, "Vegetative/Tillering")</f>
        <v>Vegetative/Tillering</v>
      </c>
    </row>
    <row r="928" ht="15.75" hidden="1" customHeight="1">
      <c r="A928" s="3">
        <v>927.0</v>
      </c>
      <c r="B928" s="3" t="s">
        <v>23</v>
      </c>
      <c r="C928" s="3" t="s">
        <v>68</v>
      </c>
      <c r="D928" s="3" t="s">
        <v>289</v>
      </c>
      <c r="E928" s="3" t="s">
        <v>352</v>
      </c>
      <c r="F928" s="3">
        <v>1760043.0</v>
      </c>
      <c r="G928" s="4">
        <v>46032.0</v>
      </c>
      <c r="H928" s="4">
        <v>46134.0</v>
      </c>
      <c r="I928" s="3" t="s">
        <v>2550</v>
      </c>
      <c r="J928" s="3" t="s">
        <v>2551</v>
      </c>
      <c r="K928" s="3" t="s">
        <v>1587</v>
      </c>
      <c r="L928" s="3">
        <v>0.325</v>
      </c>
      <c r="M928" s="3">
        <v>8125.0</v>
      </c>
      <c r="N928" s="3">
        <v>2.0</v>
      </c>
      <c r="O928" s="3">
        <v>388904.0</v>
      </c>
      <c r="P928" s="3"/>
      <c r="Q928" s="3">
        <v>1283334.0</v>
      </c>
      <c r="R928" s="3"/>
      <c r="S928" s="3">
        <v>5687.5</v>
      </c>
      <c r="T928" s="3" t="s">
        <v>31</v>
      </c>
      <c r="U928" s="3">
        <v>5687.5</v>
      </c>
      <c r="V928" s="5">
        <f>(DATE(2026,2,3)-'RICE_Insured Farms_with PPI Pol'!$G928)+IF('RICE_Insured Farms_with PPI Pol'!$H928&lt;&gt;'RICE_Insured Farms_with PPI Pol'!$G928,18,0)</f>
        <v>42</v>
      </c>
      <c r="W928" s="3" t="str">
        <f t="array" ref="W928">IFS(V928&gt;120, "Harvested", V928&gt;=113, "Yellow Ripening", V928&gt;=101, "Dough Stage", V928&gt;=93, "Milking Stage", V928&gt;=86, "Flowering", V928&gt;=56, "Panicle Initiation/Booting", V928&lt;56, "Vegetative/Tillering")</f>
        <v>Vegetative/Tillering</v>
      </c>
    </row>
    <row r="929" ht="15.75" hidden="1" customHeight="1">
      <c r="A929" s="3">
        <v>928.0</v>
      </c>
      <c r="B929" s="3" t="s">
        <v>23</v>
      </c>
      <c r="C929" s="3" t="s">
        <v>50</v>
      </c>
      <c r="D929" s="3" t="s">
        <v>2552</v>
      </c>
      <c r="E929" s="3" t="s">
        <v>2553</v>
      </c>
      <c r="F929" s="3">
        <v>1741840.0</v>
      </c>
      <c r="G929" s="4">
        <v>46027.0</v>
      </c>
      <c r="H929" s="4">
        <v>46127.0</v>
      </c>
      <c r="I929" s="3" t="s">
        <v>2554</v>
      </c>
      <c r="J929" s="3" t="s">
        <v>2555</v>
      </c>
      <c r="K929" s="3" t="s">
        <v>2556</v>
      </c>
      <c r="L929" s="3">
        <v>0.7392</v>
      </c>
      <c r="M929" s="3">
        <v>18480.0</v>
      </c>
      <c r="N929" s="3">
        <v>2.0</v>
      </c>
      <c r="O929" s="3">
        <v>103849.0</v>
      </c>
      <c r="P929" s="3" t="s">
        <v>2557</v>
      </c>
      <c r="Q929" s="3">
        <v>1064215.0</v>
      </c>
      <c r="R929" s="3"/>
      <c r="S929" s="3">
        <v>12936.0</v>
      </c>
      <c r="T929" s="3" t="s">
        <v>31</v>
      </c>
      <c r="U929" s="3">
        <v>12936.0</v>
      </c>
      <c r="V929" s="5">
        <f>(DATE(2026,2,3)-'RICE_Insured Farms_with PPI Pol'!$G929)+IF('RICE_Insured Farms_with PPI Pol'!$H929&lt;&gt;'RICE_Insured Farms_with PPI Pol'!$G929,18,0)</f>
        <v>47</v>
      </c>
      <c r="W929" s="3" t="str">
        <f t="array" ref="W929">IFS(V929&gt;120, "Harvested", V929&gt;=113, "Yellow Ripening", V929&gt;=101, "Dough Stage", V929&gt;=93, "Milking Stage", V929&gt;=86, "Flowering", V929&gt;=56, "Panicle Initiation/Booting", V929&lt;56, "Vegetative/Tillering")</f>
        <v>Vegetative/Tillering</v>
      </c>
    </row>
    <row r="930" ht="15.75" customHeight="1">
      <c r="A930" s="3">
        <v>929.0</v>
      </c>
      <c r="B930" s="3" t="s">
        <v>23</v>
      </c>
      <c r="C930" s="3" t="s">
        <v>919</v>
      </c>
      <c r="D930" s="3" t="s">
        <v>2558</v>
      </c>
      <c r="E930" s="3" t="s">
        <v>2559</v>
      </c>
      <c r="F930" s="3">
        <v>1184076.0</v>
      </c>
      <c r="G930" s="4">
        <v>46030.0</v>
      </c>
      <c r="H930" s="4">
        <v>46125.0</v>
      </c>
      <c r="I930" s="3" t="s">
        <v>2560</v>
      </c>
      <c r="J930" s="3" t="s">
        <v>1292</v>
      </c>
      <c r="K930" s="3" t="s">
        <v>2561</v>
      </c>
      <c r="L930" s="3">
        <v>0.9851</v>
      </c>
      <c r="M930" s="3">
        <v>24627.5</v>
      </c>
      <c r="N930" s="3">
        <v>3.0</v>
      </c>
      <c r="O930" s="3">
        <v>436271.0</v>
      </c>
      <c r="P930" s="3" t="s">
        <v>2562</v>
      </c>
      <c r="Q930" s="3">
        <v>1199482.0</v>
      </c>
      <c r="R930" s="3"/>
      <c r="S930" s="3">
        <v>19702.0</v>
      </c>
      <c r="T930" s="3" t="s">
        <v>37</v>
      </c>
      <c r="U930" s="3">
        <v>19702.0</v>
      </c>
      <c r="V930" s="5">
        <f>(DATE(2026,2,3)-'RICE_Insured Farms_with PPI Pol'!$G930)+IF('RICE_Insured Farms_with PPI Pol'!$H930&lt;&gt;'RICE_Insured Farms_with PPI Pol'!$G930,18,0)</f>
        <v>44</v>
      </c>
      <c r="W930" s="3" t="str">
        <f t="array" ref="W930">IFS(V930&gt;120, "Harvested", V930&gt;=113, "Yellow Ripening", V930&gt;=101, "Dough Stage", V930&gt;=93, "Milking Stage", V930&gt;=86, "Flowering", V930&gt;=56, "Panicle Initiation/Booting", V930&lt;56, "Vegetative/Tillering")</f>
        <v>Vegetative/Tillering</v>
      </c>
    </row>
    <row r="931" ht="15.75" hidden="1" customHeight="1">
      <c r="A931" s="3">
        <v>1298.0</v>
      </c>
      <c r="B931" s="3" t="s">
        <v>1213</v>
      </c>
      <c r="C931" s="3" t="s">
        <v>24</v>
      </c>
      <c r="D931" s="3" t="s">
        <v>25</v>
      </c>
      <c r="E931" s="3" t="s">
        <v>348</v>
      </c>
      <c r="F931" s="3">
        <v>1760484.0</v>
      </c>
      <c r="G931" s="4">
        <v>46009.0</v>
      </c>
      <c r="H931" s="4">
        <v>46104.0</v>
      </c>
      <c r="I931" s="3" t="s">
        <v>2563</v>
      </c>
      <c r="J931" s="3" t="s">
        <v>2564</v>
      </c>
      <c r="K931" s="3" t="s">
        <v>2565</v>
      </c>
      <c r="L931" s="3">
        <v>1.3743</v>
      </c>
      <c r="M931" s="3">
        <v>60000.0</v>
      </c>
      <c r="N931" s="3">
        <v>4.0</v>
      </c>
      <c r="O931" s="3">
        <v>17150.0</v>
      </c>
      <c r="P931" s="3"/>
      <c r="Q931" s="3">
        <v>1050920.0</v>
      </c>
      <c r="R931" s="3"/>
      <c r="S931" s="3">
        <v>48000.0</v>
      </c>
      <c r="T931" s="3" t="s">
        <v>56</v>
      </c>
      <c r="U931" s="3">
        <v>48000.0</v>
      </c>
      <c r="V931" s="5">
        <f>(DATE(2026,2,3)-'RICE_Insured Farms_with PPI Pol'!$G931)+IF('RICE_Insured Farms_with PPI Pol'!$H931&lt;&gt;'RICE_Insured Farms_with PPI Pol'!$G931,18,0)</f>
        <v>65</v>
      </c>
      <c r="W931" s="3" t="str">
        <f t="array" ref="W931">IFS(V931&gt;120, "Harvested", V931&gt;=113, "Yellow Ripening", V931&gt;=101, "Dough Stage", V931&gt;=93, "Milking Stage", V931&gt;=86, "Flowering", V931&gt;=56, "Panicle Initiation/Booting", V931&lt;56, "Vegetative/Tillering")</f>
        <v>Panicle Initiation/Booting</v>
      </c>
    </row>
    <row r="932" ht="15.75" customHeight="1">
      <c r="A932" s="3">
        <v>931.0</v>
      </c>
      <c r="B932" s="3" t="s">
        <v>23</v>
      </c>
      <c r="C932" s="3" t="s">
        <v>68</v>
      </c>
      <c r="D932" s="3" t="s">
        <v>289</v>
      </c>
      <c r="E932" s="3" t="s">
        <v>848</v>
      </c>
      <c r="F932" s="3">
        <v>1760002.0</v>
      </c>
      <c r="G932" s="4">
        <v>46013.0</v>
      </c>
      <c r="H932" s="4">
        <v>46115.0</v>
      </c>
      <c r="I932" s="3" t="s">
        <v>2566</v>
      </c>
      <c r="J932" s="3" t="s">
        <v>2567</v>
      </c>
      <c r="K932" s="3" t="s">
        <v>2568</v>
      </c>
      <c r="L932" s="3">
        <v>0.4576</v>
      </c>
      <c r="M932" s="3">
        <v>11440.0</v>
      </c>
      <c r="N932" s="3">
        <v>3.0</v>
      </c>
      <c r="O932" s="3">
        <v>192721.0</v>
      </c>
      <c r="P932" s="3"/>
      <c r="Q932" s="3">
        <v>775806.0</v>
      </c>
      <c r="R932" s="3"/>
      <c r="S932" s="3">
        <v>9152.0</v>
      </c>
      <c r="T932" s="3" t="s">
        <v>37</v>
      </c>
      <c r="U932" s="3">
        <v>9152.0</v>
      </c>
      <c r="V932" s="5">
        <f>(DATE(2026,2,3)-'RICE_Insured Farms_with PPI Pol'!$G932)+IF('RICE_Insured Farms_with PPI Pol'!$H932&lt;&gt;'RICE_Insured Farms_with PPI Pol'!$G932,18,0)</f>
        <v>61</v>
      </c>
      <c r="W932" s="3" t="str">
        <f t="array" ref="W932">IFS(V932&gt;120, "Harvested", V932&gt;=113, "Yellow Ripening", V932&gt;=101, "Dough Stage", V932&gt;=93, "Milking Stage", V932&gt;=86, "Flowering", V932&gt;=56, "Panicle Initiation/Booting", V932&lt;56, "Vegetative/Tillering")</f>
        <v>Panicle Initiation/Booting</v>
      </c>
    </row>
    <row r="933" ht="15.75" hidden="1" customHeight="1">
      <c r="A933" s="3">
        <v>932.0</v>
      </c>
      <c r="B933" s="3" t="s">
        <v>23</v>
      </c>
      <c r="C933" s="3" t="s">
        <v>68</v>
      </c>
      <c r="D933" s="3" t="s">
        <v>69</v>
      </c>
      <c r="E933" s="3" t="s">
        <v>131</v>
      </c>
      <c r="F933" s="3">
        <v>1739654.0</v>
      </c>
      <c r="G933" s="4">
        <v>46025.0</v>
      </c>
      <c r="H933" s="4">
        <v>46127.0</v>
      </c>
      <c r="I933" s="3" t="s">
        <v>2569</v>
      </c>
      <c r="J933" s="3" t="s">
        <v>2570</v>
      </c>
      <c r="K933" s="3" t="s">
        <v>2571</v>
      </c>
      <c r="L933" s="3">
        <v>0.44</v>
      </c>
      <c r="M933" s="3">
        <v>11000.0</v>
      </c>
      <c r="N933" s="3">
        <v>2.0</v>
      </c>
      <c r="O933" s="3">
        <v>198935.0</v>
      </c>
      <c r="P933" s="3" t="s">
        <v>2572</v>
      </c>
      <c r="Q933" s="3">
        <v>1138159.0</v>
      </c>
      <c r="R933" s="3"/>
      <c r="S933" s="3">
        <v>7700.0</v>
      </c>
      <c r="T933" s="3" t="s">
        <v>31</v>
      </c>
      <c r="U933" s="3">
        <v>7700.0</v>
      </c>
      <c r="V933" s="5">
        <f>(DATE(2026,2,3)-'RICE_Insured Farms_with PPI Pol'!$G933)+IF('RICE_Insured Farms_with PPI Pol'!$H933&lt;&gt;'RICE_Insured Farms_with PPI Pol'!$G933,18,0)</f>
        <v>49</v>
      </c>
      <c r="W933" s="3" t="str">
        <f t="array" ref="W933">IFS(V933&gt;120, "Harvested", V933&gt;=113, "Yellow Ripening", V933&gt;=101, "Dough Stage", V933&gt;=93, "Milking Stage", V933&gt;=86, "Flowering", V933&gt;=56, "Panicle Initiation/Booting", V933&lt;56, "Vegetative/Tillering")</f>
        <v>Vegetative/Tillering</v>
      </c>
    </row>
    <row r="934" ht="15.75" hidden="1" customHeight="1">
      <c r="A934" s="3">
        <v>933.0</v>
      </c>
      <c r="B934" s="3" t="s">
        <v>23</v>
      </c>
      <c r="C934" s="3" t="s">
        <v>68</v>
      </c>
      <c r="D934" s="3" t="s">
        <v>69</v>
      </c>
      <c r="E934" s="3" t="s">
        <v>131</v>
      </c>
      <c r="F934" s="3">
        <v>1739654.0</v>
      </c>
      <c r="G934" s="4">
        <v>46025.0</v>
      </c>
      <c r="H934" s="4">
        <v>46127.0</v>
      </c>
      <c r="I934" s="3" t="s">
        <v>2569</v>
      </c>
      <c r="J934" s="3" t="s">
        <v>2570</v>
      </c>
      <c r="K934" s="3" t="s">
        <v>2571</v>
      </c>
      <c r="L934" s="3">
        <v>0.4415</v>
      </c>
      <c r="M934" s="3">
        <v>11037.5</v>
      </c>
      <c r="N934" s="3">
        <v>2.0</v>
      </c>
      <c r="O934" s="3">
        <v>198935.0</v>
      </c>
      <c r="P934" s="3" t="s">
        <v>2572</v>
      </c>
      <c r="Q934" s="3">
        <v>1138161.0</v>
      </c>
      <c r="R934" s="3"/>
      <c r="S934" s="3">
        <v>7726.25</v>
      </c>
      <c r="T934" s="3" t="s">
        <v>31</v>
      </c>
      <c r="U934" s="3">
        <v>7726.25</v>
      </c>
      <c r="V934" s="5">
        <f>(DATE(2026,2,3)-'RICE_Insured Farms_with PPI Pol'!$G934)+IF('RICE_Insured Farms_with PPI Pol'!$H934&lt;&gt;'RICE_Insured Farms_with PPI Pol'!$G934,18,0)</f>
        <v>49</v>
      </c>
      <c r="W934" s="3" t="str">
        <f t="array" ref="W934">IFS(V934&gt;120, "Harvested", V934&gt;=113, "Yellow Ripening", V934&gt;=101, "Dough Stage", V934&gt;=93, "Milking Stage", V934&gt;=86, "Flowering", V934&gt;=56, "Panicle Initiation/Booting", V934&lt;56, "Vegetative/Tillering")</f>
        <v>Vegetative/Tillering</v>
      </c>
    </row>
    <row r="935" ht="15.75" hidden="1" customHeight="1">
      <c r="A935" s="3">
        <v>934.0</v>
      </c>
      <c r="B935" s="3" t="s">
        <v>23</v>
      </c>
      <c r="C935" s="3" t="s">
        <v>1453</v>
      </c>
      <c r="D935" s="3" t="s">
        <v>1454</v>
      </c>
      <c r="E935" s="3" t="s">
        <v>1455</v>
      </c>
      <c r="F935" s="3">
        <v>1742044.0</v>
      </c>
      <c r="G935" s="4">
        <v>46032.0</v>
      </c>
      <c r="H935" s="4">
        <v>46134.0</v>
      </c>
      <c r="I935" s="3" t="s">
        <v>2573</v>
      </c>
      <c r="J935" s="3" t="s">
        <v>2574</v>
      </c>
      <c r="K935" s="3" t="s">
        <v>2575</v>
      </c>
      <c r="L935" s="3">
        <v>0.1577</v>
      </c>
      <c r="M935" s="3">
        <v>3942.5</v>
      </c>
      <c r="N935" s="3">
        <v>2.0</v>
      </c>
      <c r="O935" s="3">
        <v>17053.0</v>
      </c>
      <c r="P935" s="3" t="s">
        <v>2576</v>
      </c>
      <c r="Q935" s="3">
        <v>1139583.0</v>
      </c>
      <c r="R935" s="3"/>
      <c r="S935" s="3">
        <v>2759.75</v>
      </c>
      <c r="T935" s="3" t="s">
        <v>31</v>
      </c>
      <c r="U935" s="3">
        <v>2759.75</v>
      </c>
      <c r="V935" s="5">
        <f>(DATE(2026,2,3)-'RICE_Insured Farms_with PPI Pol'!$G935)+IF('RICE_Insured Farms_with PPI Pol'!$H935&lt;&gt;'RICE_Insured Farms_with PPI Pol'!$G935,18,0)</f>
        <v>42</v>
      </c>
      <c r="W935" s="3" t="str">
        <f t="array" ref="W935">IFS(V935&gt;120, "Harvested", V935&gt;=113, "Yellow Ripening", V935&gt;=101, "Dough Stage", V935&gt;=93, "Milking Stage", V935&gt;=86, "Flowering", V935&gt;=56, "Panicle Initiation/Booting", V935&lt;56, "Vegetative/Tillering")</f>
        <v>Vegetative/Tillering</v>
      </c>
    </row>
    <row r="936" ht="15.75" hidden="1" customHeight="1">
      <c r="A936" s="3">
        <v>935.0</v>
      </c>
      <c r="B936" s="3" t="s">
        <v>23</v>
      </c>
      <c r="C936" s="3" t="s">
        <v>1453</v>
      </c>
      <c r="D936" s="3" t="s">
        <v>1454</v>
      </c>
      <c r="E936" s="3" t="s">
        <v>1455</v>
      </c>
      <c r="F936" s="3">
        <v>1742044.0</v>
      </c>
      <c r="G936" s="4">
        <v>46032.0</v>
      </c>
      <c r="H936" s="4">
        <v>46134.0</v>
      </c>
      <c r="I936" s="3" t="s">
        <v>2573</v>
      </c>
      <c r="J936" s="3" t="s">
        <v>2574</v>
      </c>
      <c r="K936" s="3" t="s">
        <v>2575</v>
      </c>
      <c r="L936" s="3">
        <v>0.1841</v>
      </c>
      <c r="M936" s="3">
        <v>4602.5</v>
      </c>
      <c r="N936" s="3">
        <v>2.0</v>
      </c>
      <c r="O936" s="3">
        <v>17053.0</v>
      </c>
      <c r="P936" s="3" t="s">
        <v>2576</v>
      </c>
      <c r="Q936" s="3">
        <v>1139584.0</v>
      </c>
      <c r="R936" s="3"/>
      <c r="S936" s="3">
        <v>3221.75</v>
      </c>
      <c r="T936" s="3" t="s">
        <v>31</v>
      </c>
      <c r="U936" s="3">
        <v>3221.75</v>
      </c>
      <c r="V936" s="5">
        <f>(DATE(2026,2,3)-'RICE_Insured Farms_with PPI Pol'!$G936)+IF('RICE_Insured Farms_with PPI Pol'!$H936&lt;&gt;'RICE_Insured Farms_with PPI Pol'!$G936,18,0)</f>
        <v>42</v>
      </c>
      <c r="W936" s="3" t="str">
        <f t="array" ref="W936">IFS(V936&gt;120, "Harvested", V936&gt;=113, "Yellow Ripening", V936&gt;=101, "Dough Stage", V936&gt;=93, "Milking Stage", V936&gt;=86, "Flowering", V936&gt;=56, "Panicle Initiation/Booting", V936&lt;56, "Vegetative/Tillering")</f>
        <v>Vegetative/Tillering</v>
      </c>
    </row>
    <row r="937" ht="15.75" customHeight="1">
      <c r="A937" s="3">
        <v>936.0</v>
      </c>
      <c r="B937" s="3" t="s">
        <v>23</v>
      </c>
      <c r="C937" s="3" t="s">
        <v>68</v>
      </c>
      <c r="D937" s="3" t="s">
        <v>289</v>
      </c>
      <c r="E937" s="3" t="s">
        <v>507</v>
      </c>
      <c r="F937" s="3">
        <v>1760026.0</v>
      </c>
      <c r="G937" s="4">
        <v>46032.0</v>
      </c>
      <c r="H937" s="4">
        <v>46124.0</v>
      </c>
      <c r="I937" s="3" t="s">
        <v>508</v>
      </c>
      <c r="J937" s="3" t="s">
        <v>2577</v>
      </c>
      <c r="K937" s="3" t="s">
        <v>510</v>
      </c>
      <c r="L937" s="3">
        <v>0.1935</v>
      </c>
      <c r="M937" s="3">
        <v>4837.5</v>
      </c>
      <c r="N937" s="3">
        <v>3.0</v>
      </c>
      <c r="O937" s="3">
        <v>15868.0</v>
      </c>
      <c r="P937" s="3" t="s">
        <v>2578</v>
      </c>
      <c r="Q937" s="3">
        <v>1286225.0</v>
      </c>
      <c r="R937" s="3"/>
      <c r="S937" s="3">
        <v>3870.0</v>
      </c>
      <c r="T937" s="3" t="s">
        <v>37</v>
      </c>
      <c r="U937" s="3">
        <v>3870.0</v>
      </c>
      <c r="V937" s="5">
        <f>(DATE(2026,2,3)-'RICE_Insured Farms_with PPI Pol'!$G937)+IF('RICE_Insured Farms_with PPI Pol'!$H937&lt;&gt;'RICE_Insured Farms_with PPI Pol'!$G937,18,0)</f>
        <v>42</v>
      </c>
      <c r="W937" s="3" t="str">
        <f t="array" ref="W937">IFS(V937&gt;120, "Harvested", V937&gt;=113, "Yellow Ripening", V937&gt;=101, "Dough Stage", V937&gt;=93, "Milking Stage", V937&gt;=86, "Flowering", V937&gt;=56, "Panicle Initiation/Booting", V937&lt;56, "Vegetative/Tillering")</f>
        <v>Vegetative/Tillering</v>
      </c>
    </row>
    <row r="938" ht="15.75" hidden="1" customHeight="1">
      <c r="A938" s="3">
        <v>937.0</v>
      </c>
      <c r="B938" s="3" t="s">
        <v>23</v>
      </c>
      <c r="C938" s="3" t="s">
        <v>68</v>
      </c>
      <c r="D938" s="3" t="s">
        <v>289</v>
      </c>
      <c r="E938" s="3" t="s">
        <v>507</v>
      </c>
      <c r="F938" s="3">
        <v>1760025.0</v>
      </c>
      <c r="G938" s="4">
        <v>46042.0</v>
      </c>
      <c r="H938" s="4">
        <v>46134.0</v>
      </c>
      <c r="I938" s="3" t="s">
        <v>508</v>
      </c>
      <c r="J938" s="3" t="s">
        <v>2577</v>
      </c>
      <c r="K938" s="3" t="s">
        <v>510</v>
      </c>
      <c r="L938" s="3">
        <v>0.1751</v>
      </c>
      <c r="M938" s="3">
        <v>4377.5</v>
      </c>
      <c r="N938" s="3">
        <v>2.0</v>
      </c>
      <c r="O938" s="3">
        <v>15868.0</v>
      </c>
      <c r="P938" s="3" t="s">
        <v>2578</v>
      </c>
      <c r="Q938" s="3">
        <v>1286229.0</v>
      </c>
      <c r="R938" s="3"/>
      <c r="S938" s="3">
        <v>3064.25</v>
      </c>
      <c r="T938" s="3" t="s">
        <v>31</v>
      </c>
      <c r="U938" s="3">
        <v>3064.25</v>
      </c>
      <c r="V938" s="5">
        <f>(DATE(2026,2,3)-'RICE_Insured Farms_with PPI Pol'!$G938)+IF('RICE_Insured Farms_with PPI Pol'!$H938&lt;&gt;'RICE_Insured Farms_with PPI Pol'!$G938,18,0)</f>
        <v>32</v>
      </c>
      <c r="W938" s="3" t="str">
        <f t="array" ref="W938">IFS(V938&gt;120, "Harvested", V938&gt;=113, "Yellow Ripening", V938&gt;=101, "Dough Stage", V938&gt;=93, "Milking Stage", V938&gt;=86, "Flowering", V938&gt;=56, "Panicle Initiation/Booting", V938&lt;56, "Vegetative/Tillering")</f>
        <v>Vegetative/Tillering</v>
      </c>
    </row>
    <row r="939" ht="15.75" customHeight="1">
      <c r="A939" s="3">
        <v>938.0</v>
      </c>
      <c r="B939" s="3" t="s">
        <v>23</v>
      </c>
      <c r="C939" s="3" t="s">
        <v>68</v>
      </c>
      <c r="D939" s="3" t="s">
        <v>289</v>
      </c>
      <c r="E939" s="3" t="s">
        <v>290</v>
      </c>
      <c r="F939" s="3">
        <v>1760035.0</v>
      </c>
      <c r="G939" s="4">
        <v>46022.0</v>
      </c>
      <c r="H939" s="4">
        <v>46124.0</v>
      </c>
      <c r="I939" s="3" t="s">
        <v>2579</v>
      </c>
      <c r="J939" s="3" t="s">
        <v>2580</v>
      </c>
      <c r="K939" s="3" t="s">
        <v>2206</v>
      </c>
      <c r="L939" s="3">
        <v>0.3075</v>
      </c>
      <c r="M939" s="3">
        <v>7687.5</v>
      </c>
      <c r="N939" s="3">
        <v>3.0</v>
      </c>
      <c r="O939" s="3">
        <v>172199.0</v>
      </c>
      <c r="P939" s="3" t="s">
        <v>2581</v>
      </c>
      <c r="Q939" s="3">
        <v>1280356.0</v>
      </c>
      <c r="R939" s="3"/>
      <c r="S939" s="3">
        <v>6150.0</v>
      </c>
      <c r="T939" s="3" t="s">
        <v>37</v>
      </c>
      <c r="U939" s="3">
        <v>6150.0</v>
      </c>
      <c r="V939" s="5">
        <f>(DATE(2026,2,3)-'RICE_Insured Farms_with PPI Pol'!$G939)+IF('RICE_Insured Farms_with PPI Pol'!$H939&lt;&gt;'RICE_Insured Farms_with PPI Pol'!$G939,18,0)</f>
        <v>52</v>
      </c>
      <c r="W939" s="3" t="str">
        <f t="array" ref="W939">IFS(V939&gt;120, "Harvested", V939&gt;=113, "Yellow Ripening", V939&gt;=101, "Dough Stage", V939&gt;=93, "Milking Stage", V939&gt;=86, "Flowering", V939&gt;=56, "Panicle Initiation/Booting", V939&lt;56, "Vegetative/Tillering")</f>
        <v>Vegetative/Tillering</v>
      </c>
    </row>
    <row r="940" ht="15.75" hidden="1" customHeight="1">
      <c r="A940" s="3">
        <v>939.0</v>
      </c>
      <c r="B940" s="3" t="s">
        <v>23</v>
      </c>
      <c r="C940" s="3" t="s">
        <v>121</v>
      </c>
      <c r="D940" s="3" t="s">
        <v>122</v>
      </c>
      <c r="E940" s="3" t="s">
        <v>655</v>
      </c>
      <c r="F940" s="3">
        <v>1760509.0</v>
      </c>
      <c r="G940" s="4">
        <v>46039.0</v>
      </c>
      <c r="H940" s="4">
        <v>46134.0</v>
      </c>
      <c r="I940" s="3" t="s">
        <v>2579</v>
      </c>
      <c r="J940" s="3" t="s">
        <v>2582</v>
      </c>
      <c r="K940" s="3" t="s">
        <v>276</v>
      </c>
      <c r="L940" s="3">
        <v>0.2836</v>
      </c>
      <c r="M940" s="3">
        <v>7090.0</v>
      </c>
      <c r="N940" s="3">
        <v>2.0</v>
      </c>
      <c r="O940" s="3">
        <v>296169.0</v>
      </c>
      <c r="P940" s="3"/>
      <c r="Q940" s="3">
        <v>1040890.0</v>
      </c>
      <c r="R940" s="3"/>
      <c r="S940" s="3">
        <v>4963.0</v>
      </c>
      <c r="T940" s="3" t="s">
        <v>31</v>
      </c>
      <c r="U940" s="3">
        <v>4963.0</v>
      </c>
      <c r="V940" s="5">
        <f>(DATE(2026,2,3)-'RICE_Insured Farms_with PPI Pol'!$G940)+IF('RICE_Insured Farms_with PPI Pol'!$H940&lt;&gt;'RICE_Insured Farms_with PPI Pol'!$G940,18,0)</f>
        <v>35</v>
      </c>
      <c r="W940" s="3" t="str">
        <f t="array" ref="W940">IFS(V940&gt;120, "Harvested", V940&gt;=113, "Yellow Ripening", V940&gt;=101, "Dough Stage", V940&gt;=93, "Milking Stage", V940&gt;=86, "Flowering", V940&gt;=56, "Panicle Initiation/Booting", V940&lt;56, "Vegetative/Tillering")</f>
        <v>Vegetative/Tillering</v>
      </c>
    </row>
    <row r="941" ht="15.75" customHeight="1">
      <c r="A941" s="3">
        <v>940.0</v>
      </c>
      <c r="B941" s="3" t="s">
        <v>23</v>
      </c>
      <c r="C941" s="3" t="s">
        <v>68</v>
      </c>
      <c r="D941" s="3" t="s">
        <v>69</v>
      </c>
      <c r="E941" s="3" t="s">
        <v>184</v>
      </c>
      <c r="F941" s="3">
        <v>1739642.0</v>
      </c>
      <c r="G941" s="4">
        <v>46013.0</v>
      </c>
      <c r="H941" s="4">
        <v>46115.0</v>
      </c>
      <c r="I941" s="3" t="s">
        <v>246</v>
      </c>
      <c r="J941" s="3" t="s">
        <v>2583</v>
      </c>
      <c r="K941" s="3" t="s">
        <v>2584</v>
      </c>
      <c r="L941" s="3">
        <v>0.687</v>
      </c>
      <c r="M941" s="3">
        <v>17175.0</v>
      </c>
      <c r="N941" s="3">
        <v>3.0</v>
      </c>
      <c r="O941" s="3">
        <v>99005.0</v>
      </c>
      <c r="P941" s="3" t="s">
        <v>2585</v>
      </c>
      <c r="Q941" s="3">
        <v>1137522.0</v>
      </c>
      <c r="R941" s="3"/>
      <c r="S941" s="3">
        <v>13740.0</v>
      </c>
      <c r="T941" s="3" t="s">
        <v>37</v>
      </c>
      <c r="U941" s="3">
        <v>13740.0</v>
      </c>
      <c r="V941" s="5">
        <f>(DATE(2026,2,3)-'RICE_Insured Farms_with PPI Pol'!$G941)+IF('RICE_Insured Farms_with PPI Pol'!$H941&lt;&gt;'RICE_Insured Farms_with PPI Pol'!$G941,18,0)</f>
        <v>61</v>
      </c>
      <c r="W941" s="3" t="str">
        <f t="array" ref="W941">IFS(V941&gt;120, "Harvested", V941&gt;=113, "Yellow Ripening", V941&gt;=101, "Dough Stage", V941&gt;=93, "Milking Stage", V941&gt;=86, "Flowering", V941&gt;=56, "Panicle Initiation/Booting", V941&lt;56, "Vegetative/Tillering")</f>
        <v>Panicle Initiation/Booting</v>
      </c>
    </row>
    <row r="942" ht="15.75" customHeight="1">
      <c r="A942" s="3">
        <v>941.0</v>
      </c>
      <c r="B942" s="3" t="s">
        <v>23</v>
      </c>
      <c r="C942" s="3" t="s">
        <v>68</v>
      </c>
      <c r="D942" s="3" t="s">
        <v>69</v>
      </c>
      <c r="E942" s="3" t="s">
        <v>184</v>
      </c>
      <c r="F942" s="3">
        <v>1739642.0</v>
      </c>
      <c r="G942" s="4">
        <v>46013.0</v>
      </c>
      <c r="H942" s="4">
        <v>46115.0</v>
      </c>
      <c r="I942" s="3" t="s">
        <v>246</v>
      </c>
      <c r="J942" s="3" t="s">
        <v>2583</v>
      </c>
      <c r="K942" s="3" t="s">
        <v>2584</v>
      </c>
      <c r="L942" s="3">
        <v>0.1699</v>
      </c>
      <c r="M942" s="3">
        <v>4247.5</v>
      </c>
      <c r="N942" s="3">
        <v>3.0</v>
      </c>
      <c r="O942" s="3">
        <v>99005.0</v>
      </c>
      <c r="P942" s="3" t="s">
        <v>2585</v>
      </c>
      <c r="Q942" s="3">
        <v>1137524.0</v>
      </c>
      <c r="R942" s="3"/>
      <c r="S942" s="3">
        <v>3398.0</v>
      </c>
      <c r="T942" s="3" t="s">
        <v>37</v>
      </c>
      <c r="U942" s="3">
        <v>3398.0</v>
      </c>
      <c r="V942" s="5">
        <f>(DATE(2026,2,3)-'RICE_Insured Farms_with PPI Pol'!$G942)+IF('RICE_Insured Farms_with PPI Pol'!$H942&lt;&gt;'RICE_Insured Farms_with PPI Pol'!$G942,18,0)</f>
        <v>61</v>
      </c>
      <c r="W942" s="3" t="str">
        <f t="array" ref="W942">IFS(V942&gt;120, "Harvested", V942&gt;=113, "Yellow Ripening", V942&gt;=101, "Dough Stage", V942&gt;=93, "Milking Stage", V942&gt;=86, "Flowering", V942&gt;=56, "Panicle Initiation/Booting", V942&lt;56, "Vegetative/Tillering")</f>
        <v>Panicle Initiation/Booting</v>
      </c>
    </row>
    <row r="943" ht="15.75" customHeight="1">
      <c r="A943" s="3">
        <v>942.0</v>
      </c>
      <c r="B943" s="3" t="s">
        <v>23</v>
      </c>
      <c r="C943" s="3" t="s">
        <v>1453</v>
      </c>
      <c r="D943" s="3" t="s">
        <v>1454</v>
      </c>
      <c r="E943" s="3" t="s">
        <v>1455</v>
      </c>
      <c r="F943" s="3">
        <v>1742045.0</v>
      </c>
      <c r="G943" s="4">
        <v>46018.0</v>
      </c>
      <c r="H943" s="4">
        <v>46120.0</v>
      </c>
      <c r="I943" s="3" t="s">
        <v>2586</v>
      </c>
      <c r="J943" s="3" t="s">
        <v>2039</v>
      </c>
      <c r="K943" s="3" t="s">
        <v>1640</v>
      </c>
      <c r="L943" s="3">
        <v>0.4226</v>
      </c>
      <c r="M943" s="3">
        <v>10565.0</v>
      </c>
      <c r="N943" s="3">
        <v>3.0</v>
      </c>
      <c r="O943" s="3">
        <v>78075.0</v>
      </c>
      <c r="P943" s="3" t="s">
        <v>2587</v>
      </c>
      <c r="Q943" s="3">
        <v>1189428.0</v>
      </c>
      <c r="R943" s="3"/>
      <c r="S943" s="3">
        <v>8452.0</v>
      </c>
      <c r="T943" s="3" t="s">
        <v>37</v>
      </c>
      <c r="U943" s="3">
        <v>8452.0</v>
      </c>
      <c r="V943" s="5">
        <f>(DATE(2026,2,3)-'RICE_Insured Farms_with PPI Pol'!$G943)+IF('RICE_Insured Farms_with PPI Pol'!$H943&lt;&gt;'RICE_Insured Farms_with PPI Pol'!$G943,18,0)</f>
        <v>56</v>
      </c>
      <c r="W943" s="3" t="str">
        <f t="array" ref="W943">IFS(V943&gt;120, "Harvested", V943&gt;=113, "Yellow Ripening", V943&gt;=101, "Dough Stage", V943&gt;=93, "Milking Stage", V943&gt;=86, "Flowering", V943&gt;=56, "Panicle Initiation/Booting", V943&lt;56, "Vegetative/Tillering")</f>
        <v>Panicle Initiation/Booting</v>
      </c>
    </row>
    <row r="944" ht="15.75" hidden="1" customHeight="1">
      <c r="A944" s="3">
        <v>943.0</v>
      </c>
      <c r="B944" s="3" t="s">
        <v>23</v>
      </c>
      <c r="C944" s="3" t="s">
        <v>68</v>
      </c>
      <c r="D944" s="3" t="s">
        <v>289</v>
      </c>
      <c r="E944" s="3" t="s">
        <v>507</v>
      </c>
      <c r="F944" s="3">
        <v>1760017.0</v>
      </c>
      <c r="G944" s="4">
        <v>46027.0</v>
      </c>
      <c r="H944" s="4">
        <v>46129.0</v>
      </c>
      <c r="I944" s="3" t="s">
        <v>2588</v>
      </c>
      <c r="J944" s="3" t="s">
        <v>2589</v>
      </c>
      <c r="K944" s="3" t="s">
        <v>2590</v>
      </c>
      <c r="L944" s="3">
        <v>0.273</v>
      </c>
      <c r="M944" s="3">
        <v>6825.0</v>
      </c>
      <c r="N944" s="3">
        <v>2.0</v>
      </c>
      <c r="O944" s="3">
        <v>437370.0</v>
      </c>
      <c r="P944" s="3" t="s">
        <v>2591</v>
      </c>
      <c r="Q944" s="3">
        <v>1277134.0</v>
      </c>
      <c r="R944" s="3"/>
      <c r="S944" s="3">
        <v>4777.5</v>
      </c>
      <c r="T944" s="3" t="s">
        <v>31</v>
      </c>
      <c r="U944" s="3">
        <v>4777.5</v>
      </c>
      <c r="V944" s="5">
        <f>(DATE(2026,2,3)-'RICE_Insured Farms_with PPI Pol'!$G944)+IF('RICE_Insured Farms_with PPI Pol'!$H944&lt;&gt;'RICE_Insured Farms_with PPI Pol'!$G944,18,0)</f>
        <v>47</v>
      </c>
      <c r="W944" s="3" t="str">
        <f t="array" ref="W944">IFS(V944&gt;120, "Harvested", V944&gt;=113, "Yellow Ripening", V944&gt;=101, "Dough Stage", V944&gt;=93, "Milking Stage", V944&gt;=86, "Flowering", V944&gt;=56, "Panicle Initiation/Booting", V944&lt;56, "Vegetative/Tillering")</f>
        <v>Vegetative/Tillering</v>
      </c>
    </row>
    <row r="945" ht="15.75" hidden="1" customHeight="1">
      <c r="A945" s="3">
        <v>1299.0</v>
      </c>
      <c r="B945" s="3" t="s">
        <v>1213</v>
      </c>
      <c r="C945" s="3" t="s">
        <v>24</v>
      </c>
      <c r="D945" s="3" t="s">
        <v>25</v>
      </c>
      <c r="E945" s="3" t="s">
        <v>348</v>
      </c>
      <c r="F945" s="3">
        <v>1760484.0</v>
      </c>
      <c r="G945" s="4">
        <v>46009.0</v>
      </c>
      <c r="H945" s="4">
        <v>46104.0</v>
      </c>
      <c r="I945" s="3" t="s">
        <v>2592</v>
      </c>
      <c r="J945" s="3" t="s">
        <v>2593</v>
      </c>
      <c r="K945" s="3" t="s">
        <v>2594</v>
      </c>
      <c r="L945" s="3">
        <v>0.5</v>
      </c>
      <c r="M945" s="3">
        <v>20000.0</v>
      </c>
      <c r="N945" s="3">
        <v>4.0</v>
      </c>
      <c r="O945" s="3">
        <v>490343.0</v>
      </c>
      <c r="P945" s="3"/>
      <c r="Q945" s="3">
        <v>1199119.0</v>
      </c>
      <c r="R945" s="3"/>
      <c r="S945" s="3">
        <v>16000.0</v>
      </c>
      <c r="T945" s="3" t="s">
        <v>56</v>
      </c>
      <c r="U945" s="3">
        <v>16000.0</v>
      </c>
      <c r="V945" s="5">
        <f>(DATE(2026,2,3)-'RICE_Insured Farms_with PPI Pol'!$G945)+IF('RICE_Insured Farms_with PPI Pol'!$H945&lt;&gt;'RICE_Insured Farms_with PPI Pol'!$G945,18,0)</f>
        <v>65</v>
      </c>
      <c r="W945" s="3" t="str">
        <f t="array" ref="W945">IFS(V945&gt;120, "Harvested", V945&gt;=113, "Yellow Ripening", V945&gt;=101, "Dough Stage", V945&gt;=93, "Milking Stage", V945&gt;=86, "Flowering", V945&gt;=56, "Panicle Initiation/Booting", V945&lt;56, "Vegetative/Tillering")</f>
        <v>Panicle Initiation/Booting</v>
      </c>
    </row>
    <row r="946" ht="15.75" hidden="1" customHeight="1">
      <c r="A946" s="3">
        <v>1300.0</v>
      </c>
      <c r="B946" s="3" t="s">
        <v>23</v>
      </c>
      <c r="C946" s="3" t="s">
        <v>24</v>
      </c>
      <c r="D946" s="3" t="s">
        <v>25</v>
      </c>
      <c r="E946" s="3" t="s">
        <v>1164</v>
      </c>
      <c r="F946" s="3">
        <v>1760492.0</v>
      </c>
      <c r="G946" s="4">
        <v>46012.0</v>
      </c>
      <c r="H946" s="4">
        <v>46107.0</v>
      </c>
      <c r="I946" s="3" t="s">
        <v>610</v>
      </c>
      <c r="J946" s="3" t="s">
        <v>681</v>
      </c>
      <c r="K946" s="3" t="s">
        <v>968</v>
      </c>
      <c r="L946" s="3">
        <v>1.004</v>
      </c>
      <c r="M946" s="3">
        <v>25100.0</v>
      </c>
      <c r="N946" s="3">
        <v>4.0</v>
      </c>
      <c r="O946" s="3">
        <v>435757.0</v>
      </c>
      <c r="P946" s="3" t="s">
        <v>2595</v>
      </c>
      <c r="Q946" s="3">
        <v>1113873.0</v>
      </c>
      <c r="R946" s="3"/>
      <c r="S946" s="3">
        <v>20080.0</v>
      </c>
      <c r="T946" s="3" t="s">
        <v>56</v>
      </c>
      <c r="U946" s="3">
        <v>20080.0</v>
      </c>
      <c r="V946" s="5">
        <f>(DATE(2026,2,3)-'RICE_Insured Farms_with PPI Pol'!$G946)+IF('RICE_Insured Farms_with PPI Pol'!$H946&lt;&gt;'RICE_Insured Farms_with PPI Pol'!$G946,18,0)</f>
        <v>62</v>
      </c>
      <c r="W946" s="3" t="str">
        <f t="array" ref="W946">IFS(V946&gt;120, "Harvested", V946&gt;=113, "Yellow Ripening", V946&gt;=101, "Dough Stage", V946&gt;=93, "Milking Stage", V946&gt;=86, "Flowering", V946&gt;=56, "Panicle Initiation/Booting", V946&lt;56, "Vegetative/Tillering")</f>
        <v>Panicle Initiation/Booting</v>
      </c>
    </row>
    <row r="947" ht="15.75" customHeight="1">
      <c r="A947" s="3">
        <v>946.0</v>
      </c>
      <c r="B947" s="3" t="s">
        <v>1776</v>
      </c>
      <c r="C947" s="3" t="s">
        <v>24</v>
      </c>
      <c r="D947" s="3" t="s">
        <v>25</v>
      </c>
      <c r="E947" s="3" t="s">
        <v>1374</v>
      </c>
      <c r="F947" s="3">
        <v>1760471.0</v>
      </c>
      <c r="G947" s="4">
        <v>46017.0</v>
      </c>
      <c r="H947" s="4">
        <v>46112.0</v>
      </c>
      <c r="I947" s="3" t="s">
        <v>2596</v>
      </c>
      <c r="J947" s="3" t="s">
        <v>1138</v>
      </c>
      <c r="K947" s="3" t="s">
        <v>1525</v>
      </c>
      <c r="L947" s="3">
        <v>0.3891</v>
      </c>
      <c r="M947" s="3">
        <v>7782.0</v>
      </c>
      <c r="N947" s="3">
        <v>3.0</v>
      </c>
      <c r="O947" s="3">
        <v>383734.0</v>
      </c>
      <c r="P947" s="3" t="s">
        <v>2597</v>
      </c>
      <c r="Q947" s="3">
        <v>1228983.0</v>
      </c>
      <c r="R947" s="3"/>
      <c r="S947" s="3">
        <v>6225.6</v>
      </c>
      <c r="T947" s="3" t="s">
        <v>37</v>
      </c>
      <c r="U947" s="3">
        <v>6225.6</v>
      </c>
      <c r="V947" s="5">
        <f>(DATE(2026,2,3)-'RICE_Insured Farms_with PPI Pol'!$G947)+IF('RICE_Insured Farms_with PPI Pol'!$H947&lt;&gt;'RICE_Insured Farms_with PPI Pol'!$G947,18,0)</f>
        <v>57</v>
      </c>
      <c r="W947" s="3" t="str">
        <f t="array" ref="W947">IFS(V947&gt;120, "Harvested", V947&gt;=113, "Yellow Ripening", V947&gt;=101, "Dough Stage", V947&gt;=93, "Milking Stage", V947&gt;=86, "Flowering", V947&gt;=56, "Panicle Initiation/Booting", V947&lt;56, "Vegetative/Tillering")</f>
        <v>Panicle Initiation/Booting</v>
      </c>
    </row>
    <row r="948" ht="15.75" customHeight="1">
      <c r="A948" s="3">
        <v>947.0</v>
      </c>
      <c r="B948" s="3" t="s">
        <v>1776</v>
      </c>
      <c r="C948" s="3" t="s">
        <v>24</v>
      </c>
      <c r="D948" s="3" t="s">
        <v>25</v>
      </c>
      <c r="E948" s="3" t="s">
        <v>1374</v>
      </c>
      <c r="F948" s="3">
        <v>1760471.0</v>
      </c>
      <c r="G948" s="4">
        <v>46017.0</v>
      </c>
      <c r="H948" s="4">
        <v>46112.0</v>
      </c>
      <c r="I948" s="3" t="s">
        <v>2596</v>
      </c>
      <c r="J948" s="3" t="s">
        <v>1138</v>
      </c>
      <c r="K948" s="3" t="s">
        <v>1525</v>
      </c>
      <c r="L948" s="3">
        <v>0.376</v>
      </c>
      <c r="M948" s="3">
        <v>7520.0</v>
      </c>
      <c r="N948" s="3">
        <v>3.0</v>
      </c>
      <c r="O948" s="3">
        <v>383734.0</v>
      </c>
      <c r="P948" s="3" t="s">
        <v>2597</v>
      </c>
      <c r="Q948" s="3">
        <v>1228986.0</v>
      </c>
      <c r="R948" s="3"/>
      <c r="S948" s="3">
        <v>6016.0</v>
      </c>
      <c r="T948" s="3" t="s">
        <v>37</v>
      </c>
      <c r="U948" s="3">
        <v>6016.0</v>
      </c>
      <c r="V948" s="5">
        <f>(DATE(2026,2,3)-'RICE_Insured Farms_with PPI Pol'!$G948)+IF('RICE_Insured Farms_with PPI Pol'!$H948&lt;&gt;'RICE_Insured Farms_with PPI Pol'!$G948,18,0)</f>
        <v>57</v>
      </c>
      <c r="W948" s="3" t="str">
        <f t="array" ref="W948">IFS(V948&gt;120, "Harvested", V948&gt;=113, "Yellow Ripening", V948&gt;=101, "Dough Stage", V948&gt;=93, "Milking Stage", V948&gt;=86, "Flowering", V948&gt;=56, "Panicle Initiation/Booting", V948&lt;56, "Vegetative/Tillering")</f>
        <v>Panicle Initiation/Booting</v>
      </c>
    </row>
    <row r="949" ht="15.75" hidden="1" customHeight="1">
      <c r="A949" s="3">
        <v>948.0</v>
      </c>
      <c r="B949" s="3" t="s">
        <v>23</v>
      </c>
      <c r="C949" s="3" t="s">
        <v>68</v>
      </c>
      <c r="D949" s="3" t="s">
        <v>69</v>
      </c>
      <c r="E949" s="3" t="s">
        <v>131</v>
      </c>
      <c r="F949" s="3">
        <v>1739652.0</v>
      </c>
      <c r="G949" s="4">
        <v>46029.0</v>
      </c>
      <c r="H949" s="4">
        <v>46131.0</v>
      </c>
      <c r="I949" s="3" t="s">
        <v>132</v>
      </c>
      <c r="J949" s="3" t="s">
        <v>2598</v>
      </c>
      <c r="K949" s="3" t="s">
        <v>323</v>
      </c>
      <c r="L949" s="3">
        <v>0.1119</v>
      </c>
      <c r="M949" s="3">
        <v>2797.5</v>
      </c>
      <c r="N949" s="3">
        <v>2.0</v>
      </c>
      <c r="O949" s="3">
        <v>187744.0</v>
      </c>
      <c r="P949" s="3" t="s">
        <v>2599</v>
      </c>
      <c r="Q949" s="3">
        <v>1137490.0</v>
      </c>
      <c r="R949" s="3"/>
      <c r="S949" s="3">
        <v>1958.25</v>
      </c>
      <c r="T949" s="3" t="s">
        <v>31</v>
      </c>
      <c r="U949" s="3">
        <v>1958.25</v>
      </c>
      <c r="V949" s="5">
        <f>(DATE(2026,2,3)-'RICE_Insured Farms_with PPI Pol'!$G949)+IF('RICE_Insured Farms_with PPI Pol'!$H949&lt;&gt;'RICE_Insured Farms_with PPI Pol'!$G949,18,0)</f>
        <v>45</v>
      </c>
      <c r="W949" s="3" t="str">
        <f t="array" ref="W949">IFS(V949&gt;120, "Harvested", V949&gt;=113, "Yellow Ripening", V949&gt;=101, "Dough Stage", V949&gt;=93, "Milking Stage", V949&gt;=86, "Flowering", V949&gt;=56, "Panicle Initiation/Booting", V949&lt;56, "Vegetative/Tillering")</f>
        <v>Vegetative/Tillering</v>
      </c>
    </row>
    <row r="950" ht="15.75" hidden="1" customHeight="1">
      <c r="A950" s="3">
        <v>949.0</v>
      </c>
      <c r="B950" s="3" t="s">
        <v>23</v>
      </c>
      <c r="C950" s="3" t="s">
        <v>68</v>
      </c>
      <c r="D950" s="3" t="s">
        <v>69</v>
      </c>
      <c r="E950" s="3" t="s">
        <v>131</v>
      </c>
      <c r="F950" s="3">
        <v>1739652.0</v>
      </c>
      <c r="G950" s="4">
        <v>46029.0</v>
      </c>
      <c r="H950" s="4">
        <v>46131.0</v>
      </c>
      <c r="I950" s="3" t="s">
        <v>132</v>
      </c>
      <c r="J950" s="3" t="s">
        <v>2598</v>
      </c>
      <c r="K950" s="3" t="s">
        <v>323</v>
      </c>
      <c r="L950" s="3">
        <v>0.5108</v>
      </c>
      <c r="M950" s="3">
        <v>12770.0</v>
      </c>
      <c r="N950" s="3">
        <v>2.0</v>
      </c>
      <c r="O950" s="3">
        <v>187744.0</v>
      </c>
      <c r="P950" s="3" t="s">
        <v>2599</v>
      </c>
      <c r="Q950" s="3">
        <v>773567.0</v>
      </c>
      <c r="R950" s="3"/>
      <c r="S950" s="3">
        <v>8939.0</v>
      </c>
      <c r="T950" s="3" t="s">
        <v>31</v>
      </c>
      <c r="U950" s="3">
        <v>8939.0</v>
      </c>
      <c r="V950" s="5">
        <f>(DATE(2026,2,3)-'RICE_Insured Farms_with PPI Pol'!$G950)+IF('RICE_Insured Farms_with PPI Pol'!$H950&lt;&gt;'RICE_Insured Farms_with PPI Pol'!$G950,18,0)</f>
        <v>45</v>
      </c>
      <c r="W950" s="3" t="str">
        <f t="array" ref="W950">IFS(V950&gt;120, "Harvested", V950&gt;=113, "Yellow Ripening", V950&gt;=101, "Dough Stage", V950&gt;=93, "Milking Stage", V950&gt;=86, "Flowering", V950&gt;=56, "Panicle Initiation/Booting", V950&lt;56, "Vegetative/Tillering")</f>
        <v>Vegetative/Tillering</v>
      </c>
    </row>
    <row r="951" ht="15.75" customHeight="1">
      <c r="A951" s="3">
        <v>950.0</v>
      </c>
      <c r="B951" s="3" t="s">
        <v>23</v>
      </c>
      <c r="C951" s="3" t="s">
        <v>68</v>
      </c>
      <c r="D951" s="3" t="s">
        <v>289</v>
      </c>
      <c r="E951" s="3" t="s">
        <v>685</v>
      </c>
      <c r="F951" s="3">
        <v>1760005.0</v>
      </c>
      <c r="G951" s="4">
        <v>46024.0</v>
      </c>
      <c r="H951" s="4">
        <v>46116.0</v>
      </c>
      <c r="I951" s="3" t="s">
        <v>2600</v>
      </c>
      <c r="J951" s="3" t="s">
        <v>454</v>
      </c>
      <c r="K951" s="3" t="s">
        <v>685</v>
      </c>
      <c r="L951" s="3">
        <v>3.0</v>
      </c>
      <c r="M951" s="3">
        <v>75000.0</v>
      </c>
      <c r="N951" s="3">
        <v>3.0</v>
      </c>
      <c r="O951" s="3">
        <v>119508.0</v>
      </c>
      <c r="P951" s="3" t="s">
        <v>2601</v>
      </c>
      <c r="Q951" s="3">
        <v>694718.0</v>
      </c>
      <c r="R951" s="3"/>
      <c r="S951" s="3">
        <v>60000.0</v>
      </c>
      <c r="T951" s="3" t="s">
        <v>37</v>
      </c>
      <c r="U951" s="3">
        <v>60000.0</v>
      </c>
      <c r="V951" s="5">
        <f>(DATE(2026,2,3)-'RICE_Insured Farms_with PPI Pol'!$G951)+IF('RICE_Insured Farms_with PPI Pol'!$H951&lt;&gt;'RICE_Insured Farms_with PPI Pol'!$G951,18,0)</f>
        <v>50</v>
      </c>
      <c r="W951" s="3" t="str">
        <f t="array" ref="W951">IFS(V951&gt;120, "Harvested", V951&gt;=113, "Yellow Ripening", V951&gt;=101, "Dough Stage", V951&gt;=93, "Milking Stage", V951&gt;=86, "Flowering", V951&gt;=56, "Panicle Initiation/Booting", V951&lt;56, "Vegetative/Tillering")</f>
        <v>Vegetative/Tillering</v>
      </c>
    </row>
    <row r="952" ht="15.75" hidden="1" customHeight="1">
      <c r="A952" s="3">
        <v>1312.0</v>
      </c>
      <c r="B952" s="3" t="s">
        <v>23</v>
      </c>
      <c r="C952" s="3" t="s">
        <v>24</v>
      </c>
      <c r="D952" s="3" t="s">
        <v>25</v>
      </c>
      <c r="E952" s="3" t="s">
        <v>1374</v>
      </c>
      <c r="F952" s="3">
        <v>1760463.0</v>
      </c>
      <c r="G952" s="4">
        <v>46009.0</v>
      </c>
      <c r="H952" s="4">
        <v>46104.0</v>
      </c>
      <c r="I952" s="3" t="s">
        <v>2602</v>
      </c>
      <c r="J952" s="3" t="s">
        <v>1199</v>
      </c>
      <c r="K952" s="3"/>
      <c r="L952" s="3">
        <v>2.0</v>
      </c>
      <c r="M952" s="3">
        <v>50000.0</v>
      </c>
      <c r="N952" s="3">
        <v>4.0</v>
      </c>
      <c r="O952" s="3">
        <v>102215.0</v>
      </c>
      <c r="P952" s="3" t="s">
        <v>2603</v>
      </c>
      <c r="Q952" s="3">
        <v>1276269.0</v>
      </c>
      <c r="R952" s="3"/>
      <c r="S952" s="3">
        <v>40000.0</v>
      </c>
      <c r="T952" s="3" t="s">
        <v>56</v>
      </c>
      <c r="U952" s="3">
        <v>40000.0</v>
      </c>
      <c r="V952" s="5">
        <f>(DATE(2026,2,3)-'RICE_Insured Farms_with PPI Pol'!$G952)+IF('RICE_Insured Farms_with PPI Pol'!$H952&lt;&gt;'RICE_Insured Farms_with PPI Pol'!$G952,18,0)</f>
        <v>65</v>
      </c>
      <c r="W952" s="3" t="str">
        <f t="array" ref="W952">IFS(V952&gt;120, "Harvested", V952&gt;=113, "Yellow Ripening", V952&gt;=101, "Dough Stage", V952&gt;=93, "Milking Stage", V952&gt;=86, "Flowering", V952&gt;=56, "Panicle Initiation/Booting", V952&lt;56, "Vegetative/Tillering")</f>
        <v>Panicle Initiation/Booting</v>
      </c>
    </row>
    <row r="953" ht="15.75" hidden="1" customHeight="1">
      <c r="A953" s="3">
        <v>1315.0</v>
      </c>
      <c r="B953" s="3" t="s">
        <v>23</v>
      </c>
      <c r="C953" s="3" t="s">
        <v>24</v>
      </c>
      <c r="D953" s="3" t="s">
        <v>25</v>
      </c>
      <c r="E953" s="3" t="s">
        <v>1374</v>
      </c>
      <c r="F953" s="3">
        <v>1760463.0</v>
      </c>
      <c r="G953" s="4">
        <v>46006.0</v>
      </c>
      <c r="H953" s="4">
        <v>46101.0</v>
      </c>
      <c r="I953" s="3" t="s">
        <v>2604</v>
      </c>
      <c r="J953" s="3" t="s">
        <v>2605</v>
      </c>
      <c r="K953" s="3" t="s">
        <v>1376</v>
      </c>
      <c r="L953" s="3">
        <v>2.0</v>
      </c>
      <c r="M953" s="3">
        <v>50000.0</v>
      </c>
      <c r="N953" s="3">
        <v>5.0</v>
      </c>
      <c r="O953" s="3">
        <v>334404.0</v>
      </c>
      <c r="P953" s="3" t="s">
        <v>2606</v>
      </c>
      <c r="Q953" s="3">
        <v>716349.0</v>
      </c>
      <c r="R953" s="3"/>
      <c r="S953" s="3">
        <v>45000.0</v>
      </c>
      <c r="T953" s="3" t="s">
        <v>1002</v>
      </c>
      <c r="U953" s="3">
        <v>45000.0</v>
      </c>
      <c r="V953" s="5">
        <f>(DATE(2026,2,3)-'RICE_Insured Farms_with PPI Pol'!$G953)+IF('RICE_Insured Farms_with PPI Pol'!$H953&lt;&gt;'RICE_Insured Farms_with PPI Pol'!$G953,18,0)</f>
        <v>68</v>
      </c>
      <c r="W953" s="3" t="str">
        <f t="array" ref="W953">IFS(V953&gt;120, "Harvested", V953&gt;=113, "Yellow Ripening", V953&gt;=101, "Dough Stage", V953&gt;=93, "Milking Stage", V953&gt;=86, "Flowering", V953&gt;=56, "Panicle Initiation/Booting", V953&lt;56, "Vegetative/Tillering")</f>
        <v>Panicle Initiation/Booting</v>
      </c>
    </row>
    <row r="954" ht="15.75" hidden="1" customHeight="1">
      <c r="A954" s="3">
        <v>953.0</v>
      </c>
      <c r="B954" s="3" t="s">
        <v>23</v>
      </c>
      <c r="C954" s="3" t="s">
        <v>24</v>
      </c>
      <c r="D954" s="3" t="s">
        <v>25</v>
      </c>
      <c r="E954" s="3" t="s">
        <v>1164</v>
      </c>
      <c r="F954" s="3">
        <v>1761010.0</v>
      </c>
      <c r="G954" s="4">
        <v>46018.0</v>
      </c>
      <c r="H954" s="4">
        <v>46131.0</v>
      </c>
      <c r="I954" s="3" t="s">
        <v>1956</v>
      </c>
      <c r="J954" s="3" t="s">
        <v>712</v>
      </c>
      <c r="K954" s="3" t="s">
        <v>1601</v>
      </c>
      <c r="L954" s="3">
        <v>0.6442</v>
      </c>
      <c r="M954" s="3">
        <v>16105.0</v>
      </c>
      <c r="N954" s="3">
        <v>2.0</v>
      </c>
      <c r="O954" s="3">
        <v>131798.0</v>
      </c>
      <c r="P954" s="3" t="s">
        <v>2607</v>
      </c>
      <c r="Q954" s="3">
        <v>1276709.0</v>
      </c>
      <c r="R954" s="3"/>
      <c r="S954" s="3">
        <v>11273.5</v>
      </c>
      <c r="T954" s="3" t="s">
        <v>31</v>
      </c>
      <c r="U954" s="3">
        <v>11273.5</v>
      </c>
      <c r="V954" s="5">
        <f>(DATE(2026,2,3)-'RICE_Insured Farms_with PPI Pol'!$G954)+IF('RICE_Insured Farms_with PPI Pol'!$H954&lt;&gt;'RICE_Insured Farms_with PPI Pol'!$G954,18,0)</f>
        <v>56</v>
      </c>
      <c r="W954" s="3" t="str">
        <f t="array" ref="W954">IFS(V954&gt;120, "Harvested", V954&gt;=113, "Yellow Ripening", V954&gt;=101, "Dough Stage", V954&gt;=93, "Milking Stage", V954&gt;=86, "Flowering", V954&gt;=56, "Panicle Initiation/Booting", V954&lt;56, "Vegetative/Tillering")</f>
        <v>Panicle Initiation/Booting</v>
      </c>
    </row>
    <row r="955" ht="15.75" customHeight="1">
      <c r="A955" s="3">
        <v>954.0</v>
      </c>
      <c r="B955" s="3" t="s">
        <v>23</v>
      </c>
      <c r="C955" s="3" t="s">
        <v>68</v>
      </c>
      <c r="D955" s="3" t="s">
        <v>69</v>
      </c>
      <c r="E955" s="3" t="s">
        <v>131</v>
      </c>
      <c r="F955" s="3">
        <v>1739655.0</v>
      </c>
      <c r="G955" s="4">
        <v>46024.0</v>
      </c>
      <c r="H955" s="4">
        <v>46126.0</v>
      </c>
      <c r="I955" s="3" t="s">
        <v>169</v>
      </c>
      <c r="J955" s="3" t="s">
        <v>170</v>
      </c>
      <c r="K955" s="3" t="s">
        <v>134</v>
      </c>
      <c r="L955" s="3">
        <v>0.4607</v>
      </c>
      <c r="M955" s="3">
        <v>11517.5</v>
      </c>
      <c r="N955" s="3">
        <v>3.0</v>
      </c>
      <c r="O955" s="3">
        <v>430895.0</v>
      </c>
      <c r="P955" s="3" t="s">
        <v>2608</v>
      </c>
      <c r="Q955" s="3">
        <v>1138147.0</v>
      </c>
      <c r="R955" s="3"/>
      <c r="S955" s="3">
        <v>9214.0</v>
      </c>
      <c r="T955" s="3" t="s">
        <v>37</v>
      </c>
      <c r="U955" s="3">
        <v>9214.0</v>
      </c>
      <c r="V955" s="5">
        <f>(DATE(2026,2,3)-'RICE_Insured Farms_with PPI Pol'!$G955)+IF('RICE_Insured Farms_with PPI Pol'!$H955&lt;&gt;'RICE_Insured Farms_with PPI Pol'!$G955,18,0)</f>
        <v>50</v>
      </c>
      <c r="W955" s="3" t="str">
        <f t="array" ref="W955">IFS(V955&gt;120, "Harvested", V955&gt;=113, "Yellow Ripening", V955&gt;=101, "Dough Stage", V955&gt;=93, "Milking Stage", V955&gt;=86, "Flowering", V955&gt;=56, "Panicle Initiation/Booting", V955&lt;56, "Vegetative/Tillering")</f>
        <v>Vegetative/Tillering</v>
      </c>
    </row>
    <row r="956" ht="15.75" hidden="1" customHeight="1">
      <c r="A956" s="3">
        <v>955.0</v>
      </c>
      <c r="B956" s="3" t="s">
        <v>23</v>
      </c>
      <c r="C956" s="3" t="s">
        <v>68</v>
      </c>
      <c r="D956" s="3" t="s">
        <v>262</v>
      </c>
      <c r="E956" s="3" t="s">
        <v>263</v>
      </c>
      <c r="F956" s="3">
        <v>1739584.0</v>
      </c>
      <c r="G956" s="4">
        <v>46027.0</v>
      </c>
      <c r="H956" s="4">
        <v>46129.0</v>
      </c>
      <c r="I956" s="3" t="s">
        <v>2609</v>
      </c>
      <c r="J956" s="3" t="s">
        <v>2610</v>
      </c>
      <c r="K956" s="3" t="s">
        <v>2611</v>
      </c>
      <c r="L956" s="3">
        <v>0.8596</v>
      </c>
      <c r="M956" s="3">
        <v>21490.0</v>
      </c>
      <c r="N956" s="3">
        <v>2.0</v>
      </c>
      <c r="O956" s="3">
        <v>487360.0</v>
      </c>
      <c r="P956" s="3" t="s">
        <v>2612</v>
      </c>
      <c r="Q956" s="3">
        <v>1184796.0</v>
      </c>
      <c r="R956" s="3"/>
      <c r="S956" s="3">
        <v>15043.0</v>
      </c>
      <c r="T956" s="3" t="s">
        <v>31</v>
      </c>
      <c r="U956" s="3">
        <v>15043.0</v>
      </c>
      <c r="V956" s="5">
        <f>(DATE(2026,2,3)-'RICE_Insured Farms_with PPI Pol'!$G956)+IF('RICE_Insured Farms_with PPI Pol'!$H956&lt;&gt;'RICE_Insured Farms_with PPI Pol'!$G956,18,0)</f>
        <v>47</v>
      </c>
      <c r="W956" s="3" t="str">
        <f t="array" ref="W956">IFS(V956&gt;120, "Harvested", V956&gt;=113, "Yellow Ripening", V956&gt;=101, "Dough Stage", V956&gt;=93, "Milking Stage", V956&gt;=86, "Flowering", V956&gt;=56, "Panicle Initiation/Booting", V956&lt;56, "Vegetative/Tillering")</f>
        <v>Vegetative/Tillering</v>
      </c>
    </row>
    <row r="957" ht="15.75" customHeight="1">
      <c r="A957" s="3">
        <v>956.0</v>
      </c>
      <c r="B957" s="3" t="s">
        <v>23</v>
      </c>
      <c r="C957" s="3" t="s">
        <v>24</v>
      </c>
      <c r="D957" s="3" t="s">
        <v>25</v>
      </c>
      <c r="E957" s="3" t="s">
        <v>1164</v>
      </c>
      <c r="F957" s="3">
        <v>1761010.0</v>
      </c>
      <c r="G957" s="4">
        <v>46017.0</v>
      </c>
      <c r="H957" s="4">
        <v>46119.0</v>
      </c>
      <c r="I957" s="3" t="s">
        <v>2613</v>
      </c>
      <c r="J957" s="3" t="s">
        <v>2614</v>
      </c>
      <c r="K957" s="3" t="s">
        <v>2615</v>
      </c>
      <c r="L957" s="3">
        <v>1.5683</v>
      </c>
      <c r="M957" s="3">
        <v>39207.5</v>
      </c>
      <c r="N957" s="3">
        <v>3.0</v>
      </c>
      <c r="O957" s="3">
        <v>370072.0</v>
      </c>
      <c r="P957" s="3"/>
      <c r="Q957" s="3">
        <v>1225841.0</v>
      </c>
      <c r="R957" s="3"/>
      <c r="S957" s="3">
        <v>31366.0</v>
      </c>
      <c r="T957" s="3" t="s">
        <v>37</v>
      </c>
      <c r="U957" s="3">
        <v>31366.0</v>
      </c>
      <c r="V957" s="5">
        <f>(DATE(2026,2,3)-'RICE_Insured Farms_with PPI Pol'!$G957)+IF('RICE_Insured Farms_with PPI Pol'!$H957&lt;&gt;'RICE_Insured Farms_with PPI Pol'!$G957,18,0)</f>
        <v>57</v>
      </c>
      <c r="W957" s="3" t="str">
        <f t="array" ref="W957">IFS(V957&gt;120, "Harvested", V957&gt;=113, "Yellow Ripening", V957&gt;=101, "Dough Stage", V957&gt;=93, "Milking Stage", V957&gt;=86, "Flowering", V957&gt;=56, "Panicle Initiation/Booting", V957&lt;56, "Vegetative/Tillering")</f>
        <v>Panicle Initiation/Booting</v>
      </c>
    </row>
    <row r="958" ht="15.75" hidden="1" customHeight="1">
      <c r="A958" s="3">
        <v>957.0</v>
      </c>
      <c r="B958" s="3" t="s">
        <v>23</v>
      </c>
      <c r="C958" s="3" t="s">
        <v>50</v>
      </c>
      <c r="D958" s="3" t="s">
        <v>1484</v>
      </c>
      <c r="E958" s="3" t="s">
        <v>1485</v>
      </c>
      <c r="F958" s="3">
        <v>1741845.0</v>
      </c>
      <c r="G958" s="4">
        <v>46041.0</v>
      </c>
      <c r="H958" s="4">
        <v>46136.0</v>
      </c>
      <c r="I958" s="3" t="s">
        <v>2359</v>
      </c>
      <c r="J958" s="3" t="s">
        <v>2616</v>
      </c>
      <c r="K958" s="3" t="s">
        <v>2617</v>
      </c>
      <c r="L958" s="3">
        <v>0.6738</v>
      </c>
      <c r="M958" s="3">
        <v>16845.0</v>
      </c>
      <c r="N958" s="3">
        <v>2.0</v>
      </c>
      <c r="O958" s="3">
        <v>391192.0</v>
      </c>
      <c r="P958" s="3" t="s">
        <v>2618</v>
      </c>
      <c r="Q958" s="3">
        <v>1284167.0</v>
      </c>
      <c r="R958" s="3"/>
      <c r="S958" s="3">
        <v>11791.5</v>
      </c>
      <c r="T958" s="3" t="s">
        <v>31</v>
      </c>
      <c r="U958" s="3">
        <v>11791.5</v>
      </c>
      <c r="V958" s="5">
        <f>(DATE(2026,2,3)-'RICE_Insured Farms_with PPI Pol'!$G958)+IF('RICE_Insured Farms_with PPI Pol'!$H958&lt;&gt;'RICE_Insured Farms_with PPI Pol'!$G958,18,0)</f>
        <v>33</v>
      </c>
      <c r="W958" s="3" t="str">
        <f t="array" ref="W958">IFS(V958&gt;120, "Harvested", V958&gt;=113, "Yellow Ripening", V958&gt;=101, "Dough Stage", V958&gt;=93, "Milking Stage", V958&gt;=86, "Flowering", V958&gt;=56, "Panicle Initiation/Booting", V958&lt;56, "Vegetative/Tillering")</f>
        <v>Vegetative/Tillering</v>
      </c>
    </row>
    <row r="959" ht="15.75" hidden="1" customHeight="1">
      <c r="A959" s="3">
        <v>958.0</v>
      </c>
      <c r="B959" s="3" t="s">
        <v>23</v>
      </c>
      <c r="C959" s="3" t="s">
        <v>1453</v>
      </c>
      <c r="D959" s="3" t="s">
        <v>1454</v>
      </c>
      <c r="E959" s="3" t="s">
        <v>1246</v>
      </c>
      <c r="F959" s="3">
        <v>1742098.0</v>
      </c>
      <c r="G959" s="4">
        <v>46053.0</v>
      </c>
      <c r="H959" s="4">
        <v>46155.0</v>
      </c>
      <c r="I959" s="3" t="s">
        <v>2619</v>
      </c>
      <c r="J959" s="3" t="s">
        <v>2620</v>
      </c>
      <c r="K959" s="3" t="s">
        <v>2621</v>
      </c>
      <c r="L959" s="3">
        <v>0.5</v>
      </c>
      <c r="M959" s="3">
        <v>12500.0</v>
      </c>
      <c r="N959" s="3">
        <v>1.0</v>
      </c>
      <c r="O959" s="3">
        <v>479117.0</v>
      </c>
      <c r="P959" s="3" t="s">
        <v>2622</v>
      </c>
      <c r="Q959" s="3">
        <v>1317649.0</v>
      </c>
      <c r="R959" s="3"/>
      <c r="S959" s="3">
        <v>7500.0</v>
      </c>
      <c r="T959" s="3" t="s">
        <v>62</v>
      </c>
      <c r="U959" s="3">
        <v>7500.0</v>
      </c>
      <c r="V959" s="5">
        <f>(DATE(2026,2,3)-'RICE_Insured Farms_with PPI Pol'!$G959)+IF('RICE_Insured Farms_with PPI Pol'!$H959&lt;&gt;'RICE_Insured Farms_with PPI Pol'!$G959,18,0)</f>
        <v>21</v>
      </c>
      <c r="W959" s="3" t="str">
        <f t="array" ref="W959">IFS(V959&gt;120, "Harvested", V959&gt;=113, "Yellow Ripening", V959&gt;=101, "Dough Stage", V959&gt;=93, "Milking Stage", V959&gt;=86, "Flowering", V959&gt;=56, "Panicle Initiation/Booting", V959&lt;56, "Vegetative/Tillering")</f>
        <v>Vegetative/Tillering</v>
      </c>
    </row>
    <row r="960" ht="15.75" hidden="1" customHeight="1">
      <c r="A960" s="3">
        <v>959.0</v>
      </c>
      <c r="B960" s="3" t="s">
        <v>23</v>
      </c>
      <c r="C960" s="3" t="s">
        <v>68</v>
      </c>
      <c r="D960" s="3" t="s">
        <v>420</v>
      </c>
      <c r="E960" s="3" t="s">
        <v>421</v>
      </c>
      <c r="F960" s="3">
        <v>1196999.0</v>
      </c>
      <c r="G960" s="4">
        <v>46058.0</v>
      </c>
      <c r="H960" s="4">
        <v>46160.0</v>
      </c>
      <c r="I960" s="3" t="s">
        <v>658</v>
      </c>
      <c r="J960" s="3" t="s">
        <v>2623</v>
      </c>
      <c r="K960" s="3" t="s">
        <v>1521</v>
      </c>
      <c r="L960" s="3">
        <v>0.3058</v>
      </c>
      <c r="M960" s="3">
        <v>7645.0</v>
      </c>
      <c r="N960" s="3">
        <v>1.0</v>
      </c>
      <c r="O960" s="3">
        <v>77516.0</v>
      </c>
      <c r="P960" s="3" t="s">
        <v>2624</v>
      </c>
      <c r="Q960" s="3">
        <v>1289166.0</v>
      </c>
      <c r="R960" s="3"/>
      <c r="S960" s="3">
        <v>4587.0</v>
      </c>
      <c r="T960" s="3" t="s">
        <v>62</v>
      </c>
      <c r="U960" s="3">
        <v>4587.0</v>
      </c>
      <c r="V960" s="5">
        <f>(DATE(2026,2,3)-'RICE_Insured Farms_with PPI Pol'!$G960)+IF('RICE_Insured Farms_with PPI Pol'!$H960&lt;&gt;'RICE_Insured Farms_with PPI Pol'!$G960,18,0)</f>
        <v>16</v>
      </c>
      <c r="W960" s="3" t="str">
        <f t="array" ref="W960">IFS(V960&gt;120, "Harvested", V960&gt;=113, "Yellow Ripening", V960&gt;=101, "Dough Stage", V960&gt;=93, "Milking Stage", V960&gt;=86, "Flowering", V960&gt;=56, "Panicle Initiation/Booting", V960&lt;56, "Vegetative/Tillering")</f>
        <v>Vegetative/Tillering</v>
      </c>
    </row>
    <row r="961" ht="15.75" hidden="1" customHeight="1">
      <c r="A961" s="3">
        <v>960.0</v>
      </c>
      <c r="B961" s="3" t="s">
        <v>23</v>
      </c>
      <c r="C961" s="3" t="s">
        <v>68</v>
      </c>
      <c r="D961" s="3" t="s">
        <v>420</v>
      </c>
      <c r="E961" s="3" t="s">
        <v>421</v>
      </c>
      <c r="F961" s="3">
        <v>1196998.0</v>
      </c>
      <c r="G961" s="4">
        <v>46052.0</v>
      </c>
      <c r="H961" s="4">
        <v>46154.0</v>
      </c>
      <c r="I961" s="3" t="s">
        <v>658</v>
      </c>
      <c r="J961" s="3" t="s">
        <v>2623</v>
      </c>
      <c r="K961" s="3" t="s">
        <v>1521</v>
      </c>
      <c r="L961" s="3">
        <v>0.5446</v>
      </c>
      <c r="M961" s="3">
        <v>13615.0</v>
      </c>
      <c r="N961" s="3">
        <v>1.0</v>
      </c>
      <c r="O961" s="3">
        <v>77516.0</v>
      </c>
      <c r="P961" s="3" t="s">
        <v>2624</v>
      </c>
      <c r="Q961" s="3">
        <v>772447.0</v>
      </c>
      <c r="R961" s="3"/>
      <c r="S961" s="3">
        <v>8169.0</v>
      </c>
      <c r="T961" s="3" t="s">
        <v>62</v>
      </c>
      <c r="U961" s="3">
        <v>8169.0</v>
      </c>
      <c r="V961" s="5">
        <f>(DATE(2026,2,3)-'RICE_Insured Farms_with PPI Pol'!$G961)+IF('RICE_Insured Farms_with PPI Pol'!$H961&lt;&gt;'RICE_Insured Farms_with PPI Pol'!$G961,18,0)</f>
        <v>22</v>
      </c>
      <c r="W961" s="3" t="str">
        <f t="array" ref="W961">IFS(V961&gt;120, "Harvested", V961&gt;=113, "Yellow Ripening", V961&gt;=101, "Dough Stage", V961&gt;=93, "Milking Stage", V961&gt;=86, "Flowering", V961&gt;=56, "Panicle Initiation/Booting", V961&lt;56, "Vegetative/Tillering")</f>
        <v>Vegetative/Tillering</v>
      </c>
    </row>
    <row r="962" ht="15.75" hidden="1" customHeight="1">
      <c r="A962" s="3">
        <v>961.0</v>
      </c>
      <c r="B962" s="3" t="s">
        <v>23</v>
      </c>
      <c r="C962" s="3" t="s">
        <v>68</v>
      </c>
      <c r="D962" s="3" t="s">
        <v>420</v>
      </c>
      <c r="E962" s="3" t="s">
        <v>421</v>
      </c>
      <c r="F962" s="3">
        <v>1196999.0</v>
      </c>
      <c r="G962" s="4">
        <v>46055.0</v>
      </c>
      <c r="H962" s="4">
        <v>46157.0</v>
      </c>
      <c r="I962" s="3" t="s">
        <v>658</v>
      </c>
      <c r="J962" s="3" t="s">
        <v>1991</v>
      </c>
      <c r="K962" s="3" t="s">
        <v>993</v>
      </c>
      <c r="L962" s="3">
        <v>0.7387</v>
      </c>
      <c r="M962" s="3">
        <v>18467.5</v>
      </c>
      <c r="N962" s="3">
        <v>1.0</v>
      </c>
      <c r="O962" s="3">
        <v>333715.0</v>
      </c>
      <c r="P962" s="3" t="s">
        <v>2625</v>
      </c>
      <c r="Q962" s="3">
        <v>1288416.0</v>
      </c>
      <c r="R962" s="3"/>
      <c r="S962" s="3">
        <v>11080.5</v>
      </c>
      <c r="T962" s="3" t="s">
        <v>62</v>
      </c>
      <c r="U962" s="3">
        <v>11080.5</v>
      </c>
      <c r="V962" s="5">
        <f>(DATE(2026,2,3)-'RICE_Insured Farms_with PPI Pol'!$G962)+IF('RICE_Insured Farms_with PPI Pol'!$H962&lt;&gt;'RICE_Insured Farms_with PPI Pol'!$G962,18,0)</f>
        <v>19</v>
      </c>
      <c r="W962" s="3" t="str">
        <f t="array" ref="W962">IFS(V962&gt;120, "Harvested", V962&gt;=113, "Yellow Ripening", V962&gt;=101, "Dough Stage", V962&gt;=93, "Milking Stage", V962&gt;=86, "Flowering", V962&gt;=56, "Panicle Initiation/Booting", V962&lt;56, "Vegetative/Tillering")</f>
        <v>Vegetative/Tillering</v>
      </c>
    </row>
    <row r="963" ht="15.75" hidden="1" customHeight="1">
      <c r="A963" s="3">
        <v>1336.0</v>
      </c>
      <c r="B963" s="3" t="s">
        <v>1776</v>
      </c>
      <c r="C963" s="3" t="s">
        <v>24</v>
      </c>
      <c r="D963" s="3" t="s">
        <v>25</v>
      </c>
      <c r="E963" s="3" t="s">
        <v>1374</v>
      </c>
      <c r="F963" s="3">
        <v>1760471.0</v>
      </c>
      <c r="G963" s="4">
        <v>46003.0</v>
      </c>
      <c r="H963" s="4">
        <v>46098.0</v>
      </c>
      <c r="I963" s="3" t="s">
        <v>2626</v>
      </c>
      <c r="J963" s="3" t="s">
        <v>2627</v>
      </c>
      <c r="K963" s="3" t="s">
        <v>1344</v>
      </c>
      <c r="L963" s="3">
        <v>0.5015</v>
      </c>
      <c r="M963" s="3">
        <v>10030.0</v>
      </c>
      <c r="N963" s="3">
        <v>5.0</v>
      </c>
      <c r="O963" s="3">
        <v>476841.0</v>
      </c>
      <c r="P963" s="3" t="s">
        <v>2628</v>
      </c>
      <c r="Q963" s="3">
        <v>1324332.0</v>
      </c>
      <c r="R963" s="3"/>
      <c r="S963" s="3">
        <v>9027.0</v>
      </c>
      <c r="T963" s="3" t="s">
        <v>1002</v>
      </c>
      <c r="U963" s="3">
        <v>9027.0</v>
      </c>
      <c r="V963" s="5">
        <f>(DATE(2026,2,3)-'RICE_Insured Farms_with PPI Pol'!$G963)+IF('RICE_Insured Farms_with PPI Pol'!$H963&lt;&gt;'RICE_Insured Farms_with PPI Pol'!$G963,18,0)</f>
        <v>71</v>
      </c>
      <c r="W963" s="3" t="str">
        <f t="array" ref="W963">IFS(V963&gt;120, "Harvested", V963&gt;=113, "Yellow Ripening", V963&gt;=101, "Dough Stage", V963&gt;=93, "Milking Stage", V963&gt;=86, "Flowering", V963&gt;=56, "Panicle Initiation/Booting", V963&lt;56, "Vegetative/Tillering")</f>
        <v>Panicle Initiation/Booting</v>
      </c>
    </row>
    <row r="964" ht="15.75" hidden="1" customHeight="1">
      <c r="A964" s="3">
        <v>1337.0</v>
      </c>
      <c r="B964" s="3" t="s">
        <v>1776</v>
      </c>
      <c r="C964" s="3" t="s">
        <v>24</v>
      </c>
      <c r="D964" s="3" t="s">
        <v>25</v>
      </c>
      <c r="E964" s="3" t="s">
        <v>1374</v>
      </c>
      <c r="F964" s="3">
        <v>1760471.0</v>
      </c>
      <c r="G964" s="4">
        <v>46003.0</v>
      </c>
      <c r="H964" s="4">
        <v>46098.0</v>
      </c>
      <c r="I964" s="3" t="s">
        <v>2626</v>
      </c>
      <c r="J964" s="3" t="s">
        <v>2629</v>
      </c>
      <c r="K964" s="3" t="s">
        <v>1200</v>
      </c>
      <c r="L964" s="3">
        <v>0.5564</v>
      </c>
      <c r="M964" s="3">
        <v>11128.0</v>
      </c>
      <c r="N964" s="3">
        <v>5.0</v>
      </c>
      <c r="O964" s="3">
        <v>325322.0</v>
      </c>
      <c r="P964" s="3" t="s">
        <v>2630</v>
      </c>
      <c r="Q964" s="3">
        <v>1275867.0</v>
      </c>
      <c r="R964" s="3"/>
      <c r="S964" s="3">
        <v>10015.2</v>
      </c>
      <c r="T964" s="3" t="s">
        <v>1002</v>
      </c>
      <c r="U964" s="3">
        <v>10015.2</v>
      </c>
      <c r="V964" s="5">
        <f>(DATE(2026,2,3)-'RICE_Insured Farms_with PPI Pol'!$G964)+IF('RICE_Insured Farms_with PPI Pol'!$H964&lt;&gt;'RICE_Insured Farms_with PPI Pol'!$G964,18,0)</f>
        <v>71</v>
      </c>
      <c r="W964" s="3" t="str">
        <f t="array" ref="W964">IFS(V964&gt;120, "Harvested", V964&gt;=113, "Yellow Ripening", V964&gt;=101, "Dough Stage", V964&gt;=93, "Milking Stage", V964&gt;=86, "Flowering", V964&gt;=56, "Panicle Initiation/Booting", V964&lt;56, "Vegetative/Tillering")</f>
        <v>Panicle Initiation/Booting</v>
      </c>
    </row>
    <row r="965" ht="15.75" customHeight="1">
      <c r="A965" s="3">
        <v>964.0</v>
      </c>
      <c r="B965" s="3" t="s">
        <v>23</v>
      </c>
      <c r="C965" s="3" t="s">
        <v>68</v>
      </c>
      <c r="D965" s="3" t="s">
        <v>289</v>
      </c>
      <c r="E965" s="3" t="s">
        <v>352</v>
      </c>
      <c r="F965" s="3">
        <v>1760048.0</v>
      </c>
      <c r="G965" s="4">
        <v>46018.0</v>
      </c>
      <c r="H965" s="4">
        <v>46120.0</v>
      </c>
      <c r="I965" s="3" t="s">
        <v>2631</v>
      </c>
      <c r="J965" s="3" t="s">
        <v>2632</v>
      </c>
      <c r="K965" s="3" t="s">
        <v>1587</v>
      </c>
      <c r="L965" s="3">
        <v>0.904</v>
      </c>
      <c r="M965" s="3">
        <v>22600.0</v>
      </c>
      <c r="N965" s="3">
        <v>3.0</v>
      </c>
      <c r="O965" s="3">
        <v>293986.0</v>
      </c>
      <c r="P965" s="3"/>
      <c r="Q965" s="3">
        <v>971666.0</v>
      </c>
      <c r="R965" s="3"/>
      <c r="S965" s="3">
        <v>18080.0</v>
      </c>
      <c r="T965" s="3" t="s">
        <v>37</v>
      </c>
      <c r="U965" s="3">
        <v>18080.0</v>
      </c>
      <c r="V965" s="5">
        <f>(DATE(2026,2,3)-'RICE_Insured Farms_with PPI Pol'!$G965)+IF('RICE_Insured Farms_with PPI Pol'!$H965&lt;&gt;'RICE_Insured Farms_with PPI Pol'!$G965,18,0)</f>
        <v>56</v>
      </c>
      <c r="W965" s="3" t="str">
        <f t="array" ref="W965">IFS(V965&gt;120, "Harvested", V965&gt;=113, "Yellow Ripening", V965&gt;=101, "Dough Stage", V965&gt;=93, "Milking Stage", V965&gt;=86, "Flowering", V965&gt;=56, "Panicle Initiation/Booting", V965&lt;56, "Vegetative/Tillering")</f>
        <v>Panicle Initiation/Booting</v>
      </c>
    </row>
    <row r="966" ht="15.75" hidden="1" customHeight="1">
      <c r="A966" s="3">
        <v>965.0</v>
      </c>
      <c r="B966" s="3" t="s">
        <v>23</v>
      </c>
      <c r="C966" s="3" t="s">
        <v>68</v>
      </c>
      <c r="D966" s="3" t="s">
        <v>289</v>
      </c>
      <c r="E966" s="3" t="s">
        <v>685</v>
      </c>
      <c r="F966" s="3">
        <v>1760005.0</v>
      </c>
      <c r="G966" s="4">
        <v>46027.0</v>
      </c>
      <c r="H966" s="4">
        <v>46129.0</v>
      </c>
      <c r="I966" s="3" t="s">
        <v>1393</v>
      </c>
      <c r="J966" s="3" t="s">
        <v>2633</v>
      </c>
      <c r="K966" s="3" t="s">
        <v>2117</v>
      </c>
      <c r="L966" s="3">
        <v>0.68</v>
      </c>
      <c r="M966" s="3">
        <v>17000.0</v>
      </c>
      <c r="N966" s="3">
        <v>2.0</v>
      </c>
      <c r="O966" s="3">
        <v>192959.0</v>
      </c>
      <c r="P966" s="3" t="s">
        <v>2634</v>
      </c>
      <c r="Q966" s="3">
        <v>619234.0</v>
      </c>
      <c r="R966" s="3"/>
      <c r="S966" s="3">
        <v>11900.0</v>
      </c>
      <c r="T966" s="3" t="s">
        <v>31</v>
      </c>
      <c r="U966" s="3">
        <v>11900.0</v>
      </c>
      <c r="V966" s="5">
        <f>(DATE(2026,2,3)-'RICE_Insured Farms_with PPI Pol'!$G966)+IF('RICE_Insured Farms_with PPI Pol'!$H966&lt;&gt;'RICE_Insured Farms_with PPI Pol'!$G966,18,0)</f>
        <v>47</v>
      </c>
      <c r="W966" s="3" t="str">
        <f t="array" ref="W966">IFS(V966&gt;120, "Harvested", V966&gt;=113, "Yellow Ripening", V966&gt;=101, "Dough Stage", V966&gt;=93, "Milking Stage", V966&gt;=86, "Flowering", V966&gt;=56, "Panicle Initiation/Booting", V966&lt;56, "Vegetative/Tillering")</f>
        <v>Vegetative/Tillering</v>
      </c>
    </row>
    <row r="967" ht="15.75" hidden="1" customHeight="1">
      <c r="A967" s="3">
        <v>966.0</v>
      </c>
      <c r="B967" s="3" t="s">
        <v>23</v>
      </c>
      <c r="C967" s="3" t="s">
        <v>68</v>
      </c>
      <c r="D967" s="3" t="s">
        <v>289</v>
      </c>
      <c r="E967" s="3" t="s">
        <v>743</v>
      </c>
      <c r="F967" s="3">
        <v>1760042.0</v>
      </c>
      <c r="G967" s="4">
        <v>46035.0</v>
      </c>
      <c r="H967" s="4">
        <v>46137.0</v>
      </c>
      <c r="I967" s="3" t="s">
        <v>2635</v>
      </c>
      <c r="J967" s="3" t="s">
        <v>2636</v>
      </c>
      <c r="K967" s="3" t="s">
        <v>1822</v>
      </c>
      <c r="L967" s="3">
        <v>0.8425</v>
      </c>
      <c r="M967" s="3">
        <v>21062.5</v>
      </c>
      <c r="N967" s="3">
        <v>2.0</v>
      </c>
      <c r="O967" s="3">
        <v>195265.0</v>
      </c>
      <c r="P967" s="3"/>
      <c r="Q967" s="3">
        <v>1315152.0</v>
      </c>
      <c r="R967" s="3"/>
      <c r="S967" s="3">
        <v>14743.75</v>
      </c>
      <c r="T967" s="3" t="s">
        <v>31</v>
      </c>
      <c r="U967" s="3">
        <v>14743.75</v>
      </c>
      <c r="V967" s="5">
        <f>(DATE(2026,2,3)-'RICE_Insured Farms_with PPI Pol'!$G967)+IF('RICE_Insured Farms_with PPI Pol'!$H967&lt;&gt;'RICE_Insured Farms_with PPI Pol'!$G967,18,0)</f>
        <v>39</v>
      </c>
      <c r="W967" s="3" t="str">
        <f t="array" ref="W967">IFS(V967&gt;120, "Harvested", V967&gt;=113, "Yellow Ripening", V967&gt;=101, "Dough Stage", V967&gt;=93, "Milking Stage", V967&gt;=86, "Flowering", V967&gt;=56, "Panicle Initiation/Booting", V967&lt;56, "Vegetative/Tillering")</f>
        <v>Vegetative/Tillering</v>
      </c>
    </row>
    <row r="968" ht="15.75" customHeight="1">
      <c r="A968" s="3">
        <v>967.0</v>
      </c>
      <c r="B968" s="3" t="s">
        <v>23</v>
      </c>
      <c r="C968" s="3" t="s">
        <v>68</v>
      </c>
      <c r="D968" s="3" t="s">
        <v>289</v>
      </c>
      <c r="E968" s="3" t="s">
        <v>743</v>
      </c>
      <c r="F968" s="3">
        <v>1760042.0</v>
      </c>
      <c r="G968" s="4">
        <v>46030.0</v>
      </c>
      <c r="H968" s="4">
        <v>46122.0</v>
      </c>
      <c r="I968" s="3" t="s">
        <v>2635</v>
      </c>
      <c r="J968" s="3" t="s">
        <v>1893</v>
      </c>
      <c r="K968" s="3" t="s">
        <v>1822</v>
      </c>
      <c r="L968" s="3">
        <v>0.7928</v>
      </c>
      <c r="M968" s="3">
        <v>19820.0</v>
      </c>
      <c r="N968" s="3">
        <v>3.0</v>
      </c>
      <c r="O968" s="3">
        <v>78311.0</v>
      </c>
      <c r="P968" s="3" t="s">
        <v>2637</v>
      </c>
      <c r="Q968" s="3">
        <v>1136674.0</v>
      </c>
      <c r="R968" s="3"/>
      <c r="S968" s="3">
        <v>15856.0</v>
      </c>
      <c r="T968" s="3" t="s">
        <v>37</v>
      </c>
      <c r="U968" s="3">
        <v>15856.0</v>
      </c>
      <c r="V968" s="5">
        <f>(DATE(2026,2,3)-'RICE_Insured Farms_with PPI Pol'!$G968)+IF('RICE_Insured Farms_with PPI Pol'!$H968&lt;&gt;'RICE_Insured Farms_with PPI Pol'!$G968,18,0)</f>
        <v>44</v>
      </c>
      <c r="W968" s="3" t="str">
        <f t="array" ref="W968">IFS(V968&gt;120, "Harvested", V968&gt;=113, "Yellow Ripening", V968&gt;=101, "Dough Stage", V968&gt;=93, "Milking Stage", V968&gt;=86, "Flowering", V968&gt;=56, "Panicle Initiation/Booting", V968&lt;56, "Vegetative/Tillering")</f>
        <v>Vegetative/Tillering</v>
      </c>
    </row>
    <row r="969" ht="15.75" hidden="1" customHeight="1">
      <c r="A969" s="3">
        <v>968.0</v>
      </c>
      <c r="B969" s="3" t="s">
        <v>23</v>
      </c>
      <c r="C969" s="3" t="s">
        <v>68</v>
      </c>
      <c r="D969" s="3" t="s">
        <v>289</v>
      </c>
      <c r="E969" s="3" t="s">
        <v>743</v>
      </c>
      <c r="F969" s="3">
        <v>1760042.0</v>
      </c>
      <c r="G969" s="4">
        <v>46030.0</v>
      </c>
      <c r="H969" s="4">
        <v>46132.0</v>
      </c>
      <c r="I969" s="3" t="s">
        <v>2635</v>
      </c>
      <c r="J969" s="3" t="s">
        <v>1893</v>
      </c>
      <c r="K969" s="3" t="s">
        <v>1822</v>
      </c>
      <c r="L969" s="3">
        <v>0.3727</v>
      </c>
      <c r="M969" s="3">
        <v>9317.5</v>
      </c>
      <c r="N969" s="3">
        <v>2.0</v>
      </c>
      <c r="O969" s="3">
        <v>78311.0</v>
      </c>
      <c r="P969" s="3" t="s">
        <v>2637</v>
      </c>
      <c r="Q969" s="3">
        <v>1136684.0</v>
      </c>
      <c r="R969" s="3"/>
      <c r="S969" s="3">
        <v>6522.25</v>
      </c>
      <c r="T969" s="3" t="s">
        <v>31</v>
      </c>
      <c r="U969" s="3">
        <v>6522.25</v>
      </c>
      <c r="V969" s="5">
        <f>(DATE(2026,2,3)-'RICE_Insured Farms_with PPI Pol'!$G969)+IF('RICE_Insured Farms_with PPI Pol'!$H969&lt;&gt;'RICE_Insured Farms_with PPI Pol'!$G969,18,0)</f>
        <v>44</v>
      </c>
      <c r="W969" s="3" t="str">
        <f t="array" ref="W969">IFS(V969&gt;120, "Harvested", V969&gt;=113, "Yellow Ripening", V969&gt;=101, "Dough Stage", V969&gt;=93, "Milking Stage", V969&gt;=86, "Flowering", V969&gt;=56, "Panicle Initiation/Booting", V969&lt;56, "Vegetative/Tillering")</f>
        <v>Vegetative/Tillering</v>
      </c>
    </row>
    <row r="970" ht="15.75" hidden="1" customHeight="1">
      <c r="A970" s="3">
        <v>969.0</v>
      </c>
      <c r="B970" s="3" t="s">
        <v>23</v>
      </c>
      <c r="C970" s="3" t="s">
        <v>121</v>
      </c>
      <c r="D970" s="3" t="s">
        <v>1368</v>
      </c>
      <c r="E970" s="3" t="s">
        <v>321</v>
      </c>
      <c r="F970" s="3">
        <v>1742652.0</v>
      </c>
      <c r="G970" s="4">
        <v>46024.0</v>
      </c>
      <c r="H970" s="4">
        <v>46144.0</v>
      </c>
      <c r="I970" s="3" t="s">
        <v>2635</v>
      </c>
      <c r="J970" s="3" t="s">
        <v>1963</v>
      </c>
      <c r="K970" s="3" t="s">
        <v>2638</v>
      </c>
      <c r="L970" s="3">
        <v>1.1328</v>
      </c>
      <c r="M970" s="3">
        <v>28320.0</v>
      </c>
      <c r="N970" s="3">
        <v>2.0</v>
      </c>
      <c r="O970" s="3">
        <v>52273.0</v>
      </c>
      <c r="P970" s="3"/>
      <c r="Q970" s="3">
        <v>1168281.0</v>
      </c>
      <c r="R970" s="3"/>
      <c r="S970" s="3">
        <v>19824.0</v>
      </c>
      <c r="T970" s="3" t="s">
        <v>31</v>
      </c>
      <c r="U970" s="3">
        <v>19824.0</v>
      </c>
      <c r="V970" s="5">
        <f>(DATE(2026,2,3)-'RICE_Insured Farms_with PPI Pol'!$G970)+IF('RICE_Insured Farms_with PPI Pol'!$H970&lt;&gt;'RICE_Insured Farms_with PPI Pol'!$G970,18,0)</f>
        <v>50</v>
      </c>
      <c r="W970" s="3" t="str">
        <f t="array" ref="W970">IFS(V970&gt;120, "Harvested", V970&gt;=113, "Yellow Ripening", V970&gt;=101, "Dough Stage", V970&gt;=93, "Milking Stage", V970&gt;=86, "Flowering", V970&gt;=56, "Panicle Initiation/Booting", V970&lt;56, "Vegetative/Tillering")</f>
        <v>Vegetative/Tillering</v>
      </c>
    </row>
    <row r="971" ht="15.75" hidden="1" customHeight="1">
      <c r="A971" s="3">
        <v>970.0</v>
      </c>
      <c r="B971" s="3" t="s">
        <v>23</v>
      </c>
      <c r="C971" s="3" t="s">
        <v>121</v>
      </c>
      <c r="D971" s="3" t="s">
        <v>1368</v>
      </c>
      <c r="E971" s="3" t="s">
        <v>321</v>
      </c>
      <c r="F971" s="3">
        <v>1742652.0</v>
      </c>
      <c r="G971" s="4">
        <v>46026.0</v>
      </c>
      <c r="H971" s="4">
        <v>46136.0</v>
      </c>
      <c r="I971" s="3" t="s">
        <v>2635</v>
      </c>
      <c r="J971" s="3" t="s">
        <v>1963</v>
      </c>
      <c r="K971" s="3" t="s">
        <v>2638</v>
      </c>
      <c r="L971" s="3">
        <v>1.2528</v>
      </c>
      <c r="M971" s="3">
        <v>31320.0</v>
      </c>
      <c r="N971" s="3">
        <v>2.0</v>
      </c>
      <c r="O971" s="3">
        <v>52273.0</v>
      </c>
      <c r="P971" s="3"/>
      <c r="Q971" s="3">
        <v>1168285.0</v>
      </c>
      <c r="R971" s="3"/>
      <c r="S971" s="3">
        <v>21924.0</v>
      </c>
      <c r="T971" s="3" t="s">
        <v>31</v>
      </c>
      <c r="U971" s="3">
        <v>21924.0</v>
      </c>
      <c r="V971" s="5">
        <f>(DATE(2026,2,3)-'RICE_Insured Farms_with PPI Pol'!$G971)+IF('RICE_Insured Farms_with PPI Pol'!$H971&lt;&gt;'RICE_Insured Farms_with PPI Pol'!$G971,18,0)</f>
        <v>48</v>
      </c>
      <c r="W971" s="3" t="str">
        <f t="array" ref="W971">IFS(V971&gt;120, "Harvested", V971&gt;=113, "Yellow Ripening", V971&gt;=101, "Dough Stage", V971&gt;=93, "Milking Stage", V971&gt;=86, "Flowering", V971&gt;=56, "Panicle Initiation/Booting", V971&lt;56, "Vegetative/Tillering")</f>
        <v>Vegetative/Tillering</v>
      </c>
    </row>
    <row r="972" ht="15.75" hidden="1" customHeight="1">
      <c r="A972" s="3">
        <v>971.0</v>
      </c>
      <c r="B972" s="3" t="s">
        <v>23</v>
      </c>
      <c r="C972" s="3" t="s">
        <v>121</v>
      </c>
      <c r="D972" s="3" t="s">
        <v>399</v>
      </c>
      <c r="E972" s="3" t="s">
        <v>400</v>
      </c>
      <c r="F972" s="3">
        <v>1760153.0</v>
      </c>
      <c r="G972" s="4">
        <v>46030.0</v>
      </c>
      <c r="H972" s="4">
        <v>46150.0</v>
      </c>
      <c r="I972" s="3" t="s">
        <v>1578</v>
      </c>
      <c r="J972" s="3" t="s">
        <v>544</v>
      </c>
      <c r="K972" s="3" t="s">
        <v>2639</v>
      </c>
      <c r="L972" s="3">
        <v>0.2618</v>
      </c>
      <c r="M972" s="3">
        <v>6545.0</v>
      </c>
      <c r="N972" s="3">
        <v>1.0</v>
      </c>
      <c r="O972" s="3">
        <v>434500.0</v>
      </c>
      <c r="P972" s="3" t="s">
        <v>2640</v>
      </c>
      <c r="Q972" s="3">
        <v>1195280.0</v>
      </c>
      <c r="R972" s="3"/>
      <c r="S972" s="3">
        <v>3927.0</v>
      </c>
      <c r="T972" s="3" t="s">
        <v>62</v>
      </c>
      <c r="U972" s="3">
        <v>3927.0</v>
      </c>
      <c r="V972" s="5">
        <f>(DATE(2026,2,3)-'RICE_Insured Farms_with PPI Pol'!$G972)+IF('RICE_Insured Farms_with PPI Pol'!$H972&lt;&gt;'RICE_Insured Farms_with PPI Pol'!$G972,18,0)</f>
        <v>44</v>
      </c>
      <c r="W972" s="3" t="str">
        <f t="array" ref="W972">IFS(V972&gt;120, "Harvested", V972&gt;=113, "Yellow Ripening", V972&gt;=101, "Dough Stage", V972&gt;=93, "Milking Stage", V972&gt;=86, "Flowering", V972&gt;=56, "Panicle Initiation/Booting", V972&lt;56, "Vegetative/Tillering")</f>
        <v>Vegetative/Tillering</v>
      </c>
    </row>
    <row r="973" ht="15.75" customHeight="1">
      <c r="A973" s="3">
        <v>972.0</v>
      </c>
      <c r="B973" s="3" t="s">
        <v>23</v>
      </c>
      <c r="C973" s="3" t="s">
        <v>50</v>
      </c>
      <c r="D973" s="3" t="s">
        <v>51</v>
      </c>
      <c r="E973" s="3" t="s">
        <v>321</v>
      </c>
      <c r="F973" s="3">
        <v>1741851.0</v>
      </c>
      <c r="G973" s="4">
        <v>46026.0</v>
      </c>
      <c r="H973" s="4">
        <v>46121.0</v>
      </c>
      <c r="I973" s="3" t="s">
        <v>2641</v>
      </c>
      <c r="J973" s="3" t="s">
        <v>2642</v>
      </c>
      <c r="K973" s="3" t="s">
        <v>2643</v>
      </c>
      <c r="L973" s="3">
        <v>1.8</v>
      </c>
      <c r="M973" s="3">
        <v>45000.0</v>
      </c>
      <c r="N973" s="3">
        <v>3.0</v>
      </c>
      <c r="O973" s="3">
        <v>137842.0</v>
      </c>
      <c r="P973" s="3" t="s">
        <v>2644</v>
      </c>
      <c r="Q973" s="3">
        <v>1294751.0</v>
      </c>
      <c r="R973" s="3"/>
      <c r="S973" s="3">
        <v>36000.0</v>
      </c>
      <c r="T973" s="3" t="s">
        <v>37</v>
      </c>
      <c r="U973" s="3">
        <v>36000.0</v>
      </c>
      <c r="V973" s="5">
        <f>(DATE(2026,2,3)-'RICE_Insured Farms_with PPI Pol'!$G973)+IF('RICE_Insured Farms_with PPI Pol'!$H973&lt;&gt;'RICE_Insured Farms_with PPI Pol'!$G973,18,0)</f>
        <v>48</v>
      </c>
      <c r="W973" s="3" t="str">
        <f t="array" ref="W973">IFS(V973&gt;120, "Harvested", V973&gt;=113, "Yellow Ripening", V973&gt;=101, "Dough Stage", V973&gt;=93, "Milking Stage", V973&gt;=86, "Flowering", V973&gt;=56, "Panicle Initiation/Booting", V973&lt;56, "Vegetative/Tillering")</f>
        <v>Vegetative/Tillering</v>
      </c>
    </row>
    <row r="974" ht="15.75" customHeight="1">
      <c r="A974" s="3">
        <v>973.0</v>
      </c>
      <c r="B974" s="3" t="s">
        <v>23</v>
      </c>
      <c r="C974" s="3" t="s">
        <v>50</v>
      </c>
      <c r="D974" s="3" t="s">
        <v>51</v>
      </c>
      <c r="E974" s="3" t="s">
        <v>321</v>
      </c>
      <c r="F974" s="3">
        <v>1741851.0</v>
      </c>
      <c r="G974" s="4">
        <v>46026.0</v>
      </c>
      <c r="H974" s="4">
        <v>46121.0</v>
      </c>
      <c r="I974" s="3" t="s">
        <v>2641</v>
      </c>
      <c r="J974" s="3" t="s">
        <v>2645</v>
      </c>
      <c r="K974" s="3" t="s">
        <v>2646</v>
      </c>
      <c r="L974" s="3">
        <v>1.2</v>
      </c>
      <c r="M974" s="3">
        <v>30000.0</v>
      </c>
      <c r="N974" s="3">
        <v>3.0</v>
      </c>
      <c r="O974" s="3">
        <v>86675.0</v>
      </c>
      <c r="P974" s="3" t="s">
        <v>2647</v>
      </c>
      <c r="Q974" s="3">
        <v>1294745.0</v>
      </c>
      <c r="R974" s="3"/>
      <c r="S974" s="3">
        <v>24000.0</v>
      </c>
      <c r="T974" s="3" t="s">
        <v>37</v>
      </c>
      <c r="U974" s="3">
        <v>24000.0</v>
      </c>
      <c r="V974" s="5">
        <f>(DATE(2026,2,3)-'RICE_Insured Farms_with PPI Pol'!$G974)+IF('RICE_Insured Farms_with PPI Pol'!$H974&lt;&gt;'RICE_Insured Farms_with PPI Pol'!$G974,18,0)</f>
        <v>48</v>
      </c>
      <c r="W974" s="3" t="str">
        <f t="array" ref="W974">IFS(V974&gt;120, "Harvested", V974&gt;=113, "Yellow Ripening", V974&gt;=101, "Dough Stage", V974&gt;=93, "Milking Stage", V974&gt;=86, "Flowering", V974&gt;=56, "Panicle Initiation/Booting", V974&lt;56, "Vegetative/Tillering")</f>
        <v>Vegetative/Tillering</v>
      </c>
    </row>
    <row r="975" ht="15.75" hidden="1" customHeight="1">
      <c r="A975" s="3">
        <v>974.0</v>
      </c>
      <c r="B975" s="3" t="s">
        <v>23</v>
      </c>
      <c r="C975" s="3" t="s">
        <v>1453</v>
      </c>
      <c r="D975" s="3" t="s">
        <v>1454</v>
      </c>
      <c r="E975" s="3" t="s">
        <v>1455</v>
      </c>
      <c r="F975" s="3">
        <v>1742042.0</v>
      </c>
      <c r="G975" s="4">
        <v>46025.0</v>
      </c>
      <c r="H975" s="4">
        <v>46127.0</v>
      </c>
      <c r="I975" s="3" t="s">
        <v>2648</v>
      </c>
      <c r="J975" s="3" t="s">
        <v>2649</v>
      </c>
      <c r="K975" s="3" t="s">
        <v>211</v>
      </c>
      <c r="L975" s="3">
        <v>0.7064</v>
      </c>
      <c r="M975" s="3">
        <v>17660.0</v>
      </c>
      <c r="N975" s="3">
        <v>2.0</v>
      </c>
      <c r="O975" s="3">
        <v>17029.0</v>
      </c>
      <c r="P975" s="3" t="s">
        <v>2650</v>
      </c>
      <c r="Q975" s="3">
        <v>1318511.0</v>
      </c>
      <c r="R975" s="3"/>
      <c r="S975" s="3">
        <v>12362.0</v>
      </c>
      <c r="T975" s="3" t="s">
        <v>31</v>
      </c>
      <c r="U975" s="3">
        <v>12362.0</v>
      </c>
      <c r="V975" s="5">
        <f>(DATE(2026,2,3)-'RICE_Insured Farms_with PPI Pol'!$G975)+IF('RICE_Insured Farms_with PPI Pol'!$H975&lt;&gt;'RICE_Insured Farms_with PPI Pol'!$G975,18,0)</f>
        <v>49</v>
      </c>
      <c r="W975" s="3" t="str">
        <f t="array" ref="W975">IFS(V975&gt;120, "Harvested", V975&gt;=113, "Yellow Ripening", V975&gt;=101, "Dough Stage", V975&gt;=93, "Milking Stage", V975&gt;=86, "Flowering", V975&gt;=56, "Panicle Initiation/Booting", V975&lt;56, "Vegetative/Tillering")</f>
        <v>Vegetative/Tillering</v>
      </c>
    </row>
    <row r="976" ht="15.75" customHeight="1">
      <c r="A976" s="3">
        <v>975.0</v>
      </c>
      <c r="B976" s="3" t="s">
        <v>23</v>
      </c>
      <c r="C976" s="3" t="s">
        <v>1453</v>
      </c>
      <c r="D976" s="3" t="s">
        <v>1454</v>
      </c>
      <c r="E976" s="3" t="s">
        <v>1455</v>
      </c>
      <c r="F976" s="3">
        <v>1742042.0</v>
      </c>
      <c r="G976" s="4">
        <v>46023.0</v>
      </c>
      <c r="H976" s="4">
        <v>46125.0</v>
      </c>
      <c r="I976" s="3" t="s">
        <v>2648</v>
      </c>
      <c r="J976" s="3" t="s">
        <v>1963</v>
      </c>
      <c r="K976" s="3" t="s">
        <v>1538</v>
      </c>
      <c r="L976" s="3">
        <v>0.5</v>
      </c>
      <c r="M976" s="3">
        <v>12500.0</v>
      </c>
      <c r="N976" s="3">
        <v>3.0</v>
      </c>
      <c r="O976" s="3">
        <v>314384.0</v>
      </c>
      <c r="P976" s="3"/>
      <c r="Q976" s="3">
        <v>1318696.0</v>
      </c>
      <c r="R976" s="3"/>
      <c r="S976" s="3">
        <v>10000.0</v>
      </c>
      <c r="T976" s="3" t="s">
        <v>37</v>
      </c>
      <c r="U976" s="3">
        <v>10000.0</v>
      </c>
      <c r="V976" s="5">
        <f>(DATE(2026,2,3)-'RICE_Insured Farms_with PPI Pol'!$G976)+IF('RICE_Insured Farms_with PPI Pol'!$H976&lt;&gt;'RICE_Insured Farms_with PPI Pol'!$G976,18,0)</f>
        <v>51</v>
      </c>
      <c r="W976" s="3" t="str">
        <f t="array" ref="W976">IFS(V976&gt;120, "Harvested", V976&gt;=113, "Yellow Ripening", V976&gt;=101, "Dough Stage", V976&gt;=93, "Milking Stage", V976&gt;=86, "Flowering", V976&gt;=56, "Panicle Initiation/Booting", V976&lt;56, "Vegetative/Tillering")</f>
        <v>Vegetative/Tillering</v>
      </c>
    </row>
    <row r="977" ht="15.75" hidden="1" customHeight="1">
      <c r="A977" s="3">
        <v>976.0</v>
      </c>
      <c r="B977" s="3" t="s">
        <v>23</v>
      </c>
      <c r="C977" s="3" t="s">
        <v>311</v>
      </c>
      <c r="D977" s="3" t="s">
        <v>1670</v>
      </c>
      <c r="E977" s="3" t="s">
        <v>2651</v>
      </c>
      <c r="F977" s="3">
        <v>1760656.0</v>
      </c>
      <c r="G977" s="4">
        <v>46034.0</v>
      </c>
      <c r="H977" s="4">
        <v>46154.0</v>
      </c>
      <c r="I977" s="3" t="s">
        <v>993</v>
      </c>
      <c r="J977" s="3" t="s">
        <v>2652</v>
      </c>
      <c r="K977" s="3" t="s">
        <v>2653</v>
      </c>
      <c r="L977" s="3">
        <v>1.2623</v>
      </c>
      <c r="M977" s="3">
        <v>31557.5</v>
      </c>
      <c r="N977" s="3">
        <v>1.0</v>
      </c>
      <c r="O977" s="3">
        <v>303714.0</v>
      </c>
      <c r="P977" s="3" t="s">
        <v>2654</v>
      </c>
      <c r="Q977" s="3">
        <v>1271758.0</v>
      </c>
      <c r="R977" s="3"/>
      <c r="S977" s="3">
        <v>18934.5</v>
      </c>
      <c r="T977" s="3" t="s">
        <v>62</v>
      </c>
      <c r="U977" s="3">
        <v>18934.5</v>
      </c>
      <c r="V977" s="5">
        <f>(DATE(2026,2,3)-'RICE_Insured Farms_with PPI Pol'!$G977)+IF('RICE_Insured Farms_with PPI Pol'!$H977&lt;&gt;'RICE_Insured Farms_with PPI Pol'!$G977,18,0)</f>
        <v>40</v>
      </c>
      <c r="W977" s="3" t="str">
        <f t="array" ref="W977">IFS(V977&gt;120, "Harvested", V977&gt;=113, "Yellow Ripening", V977&gt;=101, "Dough Stage", V977&gt;=93, "Milking Stage", V977&gt;=86, "Flowering", V977&gt;=56, "Panicle Initiation/Booting", V977&lt;56, "Vegetative/Tillering")</f>
        <v>Vegetative/Tillering</v>
      </c>
    </row>
    <row r="978" ht="15.75" hidden="1" customHeight="1">
      <c r="A978" s="3">
        <v>977.0</v>
      </c>
      <c r="B978" s="3" t="s">
        <v>23</v>
      </c>
      <c r="C978" s="3" t="s">
        <v>121</v>
      </c>
      <c r="D978" s="3" t="s">
        <v>399</v>
      </c>
      <c r="E978" s="3" t="s">
        <v>400</v>
      </c>
      <c r="F978" s="3">
        <v>1760154.0</v>
      </c>
      <c r="G978" s="4">
        <v>46028.0</v>
      </c>
      <c r="H978" s="4">
        <v>46148.0</v>
      </c>
      <c r="I978" s="3" t="s">
        <v>2655</v>
      </c>
      <c r="J978" s="3" t="s">
        <v>2656</v>
      </c>
      <c r="K978" s="3" t="s">
        <v>2657</v>
      </c>
      <c r="L978" s="3">
        <v>0.43</v>
      </c>
      <c r="M978" s="3">
        <v>10750.0</v>
      </c>
      <c r="N978" s="3">
        <v>1.0</v>
      </c>
      <c r="O978" s="3">
        <v>478273.0</v>
      </c>
      <c r="P978" s="3" t="s">
        <v>2658</v>
      </c>
      <c r="Q978" s="3">
        <v>1199480.0</v>
      </c>
      <c r="R978" s="3"/>
      <c r="S978" s="3">
        <v>6450.0</v>
      </c>
      <c r="T978" s="3" t="s">
        <v>62</v>
      </c>
      <c r="U978" s="3">
        <v>6450.0</v>
      </c>
      <c r="V978" s="5">
        <f>(DATE(2026,2,3)-'RICE_Insured Farms_with PPI Pol'!$G978)+IF('RICE_Insured Farms_with PPI Pol'!$H978&lt;&gt;'RICE_Insured Farms_with PPI Pol'!$G978,18,0)</f>
        <v>46</v>
      </c>
      <c r="W978" s="3" t="str">
        <f t="array" ref="W978">IFS(V978&gt;120, "Harvested", V978&gt;=113, "Yellow Ripening", V978&gt;=101, "Dough Stage", V978&gt;=93, "Milking Stage", V978&gt;=86, "Flowering", V978&gt;=56, "Panicle Initiation/Booting", V978&lt;56, "Vegetative/Tillering")</f>
        <v>Vegetative/Tillering</v>
      </c>
    </row>
    <row r="979" ht="15.75" customHeight="1">
      <c r="A979" s="3">
        <v>978.0</v>
      </c>
      <c r="B979" s="3" t="s">
        <v>23</v>
      </c>
      <c r="C979" s="3" t="s">
        <v>121</v>
      </c>
      <c r="D979" s="3" t="s">
        <v>399</v>
      </c>
      <c r="E979" s="3" t="s">
        <v>400</v>
      </c>
      <c r="F979" s="3">
        <v>1760154.0</v>
      </c>
      <c r="G979" s="4">
        <v>46029.0</v>
      </c>
      <c r="H979" s="4">
        <v>46114.0</v>
      </c>
      <c r="I979" s="3" t="s">
        <v>2655</v>
      </c>
      <c r="J979" s="3" t="s">
        <v>2659</v>
      </c>
      <c r="K979" s="3" t="s">
        <v>2660</v>
      </c>
      <c r="L979" s="3">
        <v>0.78</v>
      </c>
      <c r="M979" s="3">
        <v>19500.0</v>
      </c>
      <c r="N979" s="3">
        <v>3.0</v>
      </c>
      <c r="O979" s="3">
        <v>96111.0</v>
      </c>
      <c r="P979" s="3" t="s">
        <v>2661</v>
      </c>
      <c r="Q979" s="3">
        <v>1198985.0</v>
      </c>
      <c r="R979" s="3"/>
      <c r="S979" s="3">
        <v>15600.0</v>
      </c>
      <c r="T979" s="3" t="s">
        <v>37</v>
      </c>
      <c r="U979" s="3">
        <v>15600.0</v>
      </c>
      <c r="V979" s="5">
        <f>(DATE(2026,2,3)-'RICE_Insured Farms_with PPI Pol'!$G979)+IF('RICE_Insured Farms_with PPI Pol'!$H979&lt;&gt;'RICE_Insured Farms_with PPI Pol'!$G979,18,0)</f>
        <v>45</v>
      </c>
      <c r="W979" s="3" t="str">
        <f t="array" ref="W979">IFS(V979&gt;120, "Harvested", V979&gt;=113, "Yellow Ripening", V979&gt;=101, "Dough Stage", V979&gt;=93, "Milking Stage", V979&gt;=86, "Flowering", V979&gt;=56, "Panicle Initiation/Booting", V979&lt;56, "Vegetative/Tillering")</f>
        <v>Vegetative/Tillering</v>
      </c>
    </row>
    <row r="980" ht="15.75" hidden="1" customHeight="1">
      <c r="A980" s="3">
        <v>979.0</v>
      </c>
      <c r="B980" s="3" t="s">
        <v>23</v>
      </c>
      <c r="C980" s="3" t="s">
        <v>68</v>
      </c>
      <c r="D980" s="3" t="s">
        <v>289</v>
      </c>
      <c r="E980" s="3" t="s">
        <v>1620</v>
      </c>
      <c r="F980" s="3">
        <v>1760036.0</v>
      </c>
      <c r="G980" s="4">
        <v>46031.0</v>
      </c>
      <c r="H980" s="4">
        <v>46133.0</v>
      </c>
      <c r="I980" s="3" t="s">
        <v>2662</v>
      </c>
      <c r="J980" s="3" t="s">
        <v>2663</v>
      </c>
      <c r="K980" s="3" t="s">
        <v>2664</v>
      </c>
      <c r="L980" s="3">
        <v>0.2564</v>
      </c>
      <c r="M980" s="3">
        <v>6410.0</v>
      </c>
      <c r="N980" s="3">
        <v>2.0</v>
      </c>
      <c r="O980" s="3">
        <v>147062.0</v>
      </c>
      <c r="P980" s="3" t="s">
        <v>2665</v>
      </c>
      <c r="Q980" s="3">
        <v>1287339.0</v>
      </c>
      <c r="R980" s="3"/>
      <c r="S980" s="3">
        <v>4487.0</v>
      </c>
      <c r="T980" s="3" t="s">
        <v>31</v>
      </c>
      <c r="U980" s="3">
        <v>4487.0</v>
      </c>
      <c r="V980" s="5">
        <f>(DATE(2026,2,3)-'RICE_Insured Farms_with PPI Pol'!$G980)+IF('RICE_Insured Farms_with PPI Pol'!$H980&lt;&gt;'RICE_Insured Farms_with PPI Pol'!$G980,18,0)</f>
        <v>43</v>
      </c>
      <c r="W980" s="3" t="str">
        <f t="array" ref="W980">IFS(V980&gt;120, "Harvested", V980&gt;=113, "Yellow Ripening", V980&gt;=101, "Dough Stage", V980&gt;=93, "Milking Stage", V980&gt;=86, "Flowering", V980&gt;=56, "Panicle Initiation/Booting", V980&lt;56, "Vegetative/Tillering")</f>
        <v>Vegetative/Tillering</v>
      </c>
    </row>
    <row r="981" ht="15.75" customHeight="1">
      <c r="A981" s="3">
        <v>980.0</v>
      </c>
      <c r="B981" s="3" t="s">
        <v>23</v>
      </c>
      <c r="C981" s="3" t="s">
        <v>68</v>
      </c>
      <c r="D981" s="3" t="s">
        <v>289</v>
      </c>
      <c r="E981" s="3" t="s">
        <v>1620</v>
      </c>
      <c r="F981" s="3">
        <v>1760008.0</v>
      </c>
      <c r="G981" s="4">
        <v>46012.0</v>
      </c>
      <c r="H981" s="4">
        <v>46114.0</v>
      </c>
      <c r="I981" s="3" t="s">
        <v>2662</v>
      </c>
      <c r="J981" s="3" t="s">
        <v>2666</v>
      </c>
      <c r="K981" s="3" t="s">
        <v>2667</v>
      </c>
      <c r="L981" s="3">
        <v>0.2802</v>
      </c>
      <c r="M981" s="3">
        <v>7005.0</v>
      </c>
      <c r="N981" s="3">
        <v>3.0</v>
      </c>
      <c r="O981" s="3">
        <v>352507.0</v>
      </c>
      <c r="P981" s="3"/>
      <c r="Q981" s="3">
        <v>1134537.0</v>
      </c>
      <c r="R981" s="3"/>
      <c r="S981" s="3">
        <v>5604.0</v>
      </c>
      <c r="T981" s="3" t="s">
        <v>37</v>
      </c>
      <c r="U981" s="3">
        <v>5604.0</v>
      </c>
      <c r="V981" s="5">
        <f>(DATE(2026,2,3)-'RICE_Insured Farms_with PPI Pol'!$G981)+IF('RICE_Insured Farms_with PPI Pol'!$H981&lt;&gt;'RICE_Insured Farms_with PPI Pol'!$G981,18,0)</f>
        <v>62</v>
      </c>
      <c r="W981" s="3" t="str">
        <f t="array" ref="W981">IFS(V981&gt;120, "Harvested", V981&gt;=113, "Yellow Ripening", V981&gt;=101, "Dough Stage", V981&gt;=93, "Milking Stage", V981&gt;=86, "Flowering", V981&gt;=56, "Panicle Initiation/Booting", V981&lt;56, "Vegetative/Tillering")</f>
        <v>Panicle Initiation/Booting</v>
      </c>
    </row>
    <row r="982" ht="15.75" customHeight="1">
      <c r="A982" s="3">
        <v>981.0</v>
      </c>
      <c r="B982" s="3" t="s">
        <v>23</v>
      </c>
      <c r="C982" s="3" t="s">
        <v>68</v>
      </c>
      <c r="D982" s="3" t="s">
        <v>289</v>
      </c>
      <c r="E982" s="3" t="s">
        <v>1535</v>
      </c>
      <c r="F982" s="3">
        <v>1760009.0</v>
      </c>
      <c r="G982" s="4">
        <v>46021.0</v>
      </c>
      <c r="H982" s="4">
        <v>46123.0</v>
      </c>
      <c r="I982" s="3" t="s">
        <v>2668</v>
      </c>
      <c r="J982" s="3" t="s">
        <v>2669</v>
      </c>
      <c r="K982" s="3" t="s">
        <v>2670</v>
      </c>
      <c r="L982" s="3">
        <v>0.29</v>
      </c>
      <c r="M982" s="3">
        <v>7250.0</v>
      </c>
      <c r="N982" s="3">
        <v>3.0</v>
      </c>
      <c r="O982" s="3">
        <v>298946.0</v>
      </c>
      <c r="P982" s="3"/>
      <c r="Q982" s="3">
        <v>1140670.0</v>
      </c>
      <c r="R982" s="3"/>
      <c r="S982" s="3">
        <v>5800.0</v>
      </c>
      <c r="T982" s="3" t="s">
        <v>37</v>
      </c>
      <c r="U982" s="3">
        <v>5800.0</v>
      </c>
      <c r="V982" s="5">
        <f>(DATE(2026,2,3)-'RICE_Insured Farms_with PPI Pol'!$G982)+IF('RICE_Insured Farms_with PPI Pol'!$H982&lt;&gt;'RICE_Insured Farms_with PPI Pol'!$G982,18,0)</f>
        <v>53</v>
      </c>
      <c r="W982" s="3" t="str">
        <f t="array" ref="W982">IFS(V982&gt;120, "Harvested", V982&gt;=113, "Yellow Ripening", V982&gt;=101, "Dough Stage", V982&gt;=93, "Milking Stage", V982&gt;=86, "Flowering", V982&gt;=56, "Panicle Initiation/Booting", V982&lt;56, "Vegetative/Tillering")</f>
        <v>Vegetative/Tillering</v>
      </c>
    </row>
    <row r="983" ht="15.75" customHeight="1">
      <c r="A983" s="3">
        <v>982.0</v>
      </c>
      <c r="B983" s="3" t="s">
        <v>23</v>
      </c>
      <c r="C983" s="3" t="s">
        <v>68</v>
      </c>
      <c r="D983" s="3" t="s">
        <v>289</v>
      </c>
      <c r="E983" s="3" t="s">
        <v>1535</v>
      </c>
      <c r="F983" s="3">
        <v>1760007.0</v>
      </c>
      <c r="G983" s="4">
        <v>46021.0</v>
      </c>
      <c r="H983" s="4">
        <v>46123.0</v>
      </c>
      <c r="I983" s="3" t="s">
        <v>2668</v>
      </c>
      <c r="J983" s="3" t="s">
        <v>2671</v>
      </c>
      <c r="K983" s="3" t="s">
        <v>2670</v>
      </c>
      <c r="L983" s="3">
        <v>0.5</v>
      </c>
      <c r="M983" s="3">
        <v>12500.0</v>
      </c>
      <c r="N983" s="3">
        <v>3.0</v>
      </c>
      <c r="O983" s="3">
        <v>192848.0</v>
      </c>
      <c r="P983" s="3" t="s">
        <v>2672</v>
      </c>
      <c r="Q983" s="3">
        <v>965695.0</v>
      </c>
      <c r="R983" s="3"/>
      <c r="S983" s="3">
        <v>10000.0</v>
      </c>
      <c r="T983" s="3" t="s">
        <v>37</v>
      </c>
      <c r="U983" s="3">
        <v>10000.0</v>
      </c>
      <c r="V983" s="5">
        <f>(DATE(2026,2,3)-'RICE_Insured Farms_with PPI Pol'!$G983)+IF('RICE_Insured Farms_with PPI Pol'!$H983&lt;&gt;'RICE_Insured Farms_with PPI Pol'!$G983,18,0)</f>
        <v>53</v>
      </c>
      <c r="W983" s="3" t="str">
        <f t="array" ref="W983">IFS(V983&gt;120, "Harvested", V983&gt;=113, "Yellow Ripening", V983&gt;=101, "Dough Stage", V983&gt;=93, "Milking Stage", V983&gt;=86, "Flowering", V983&gt;=56, "Panicle Initiation/Booting", V983&lt;56, "Vegetative/Tillering")</f>
        <v>Vegetative/Tillering</v>
      </c>
    </row>
    <row r="984" ht="15.75" hidden="1" customHeight="1">
      <c r="A984" s="3">
        <v>1338.0</v>
      </c>
      <c r="B984" s="3" t="s">
        <v>1776</v>
      </c>
      <c r="C984" s="3" t="s">
        <v>24</v>
      </c>
      <c r="D984" s="3" t="s">
        <v>25</v>
      </c>
      <c r="E984" s="3" t="s">
        <v>1374</v>
      </c>
      <c r="F984" s="3">
        <v>1760471.0</v>
      </c>
      <c r="G984" s="4">
        <v>46008.0</v>
      </c>
      <c r="H984" s="4">
        <v>46103.0</v>
      </c>
      <c r="I984" s="3" t="s">
        <v>2626</v>
      </c>
      <c r="J984" s="3" t="s">
        <v>2673</v>
      </c>
      <c r="K984" s="3" t="s">
        <v>1344</v>
      </c>
      <c r="L984" s="3">
        <v>0.339</v>
      </c>
      <c r="M984" s="3">
        <v>6780.0</v>
      </c>
      <c r="N984" s="3">
        <v>4.0</v>
      </c>
      <c r="O984" s="3">
        <v>476882.0</v>
      </c>
      <c r="P984" s="3"/>
      <c r="Q984" s="3">
        <v>1324334.0</v>
      </c>
      <c r="R984" s="3"/>
      <c r="S984" s="3">
        <v>5424.0</v>
      </c>
      <c r="T984" s="3" t="s">
        <v>56</v>
      </c>
      <c r="U984" s="3">
        <v>5424.0</v>
      </c>
      <c r="V984" s="5">
        <f>(DATE(2026,2,3)-'RICE_Insured Farms_with PPI Pol'!$G984)+IF('RICE_Insured Farms_with PPI Pol'!$H984&lt;&gt;'RICE_Insured Farms_with PPI Pol'!$G984,18,0)</f>
        <v>66</v>
      </c>
      <c r="W984" s="3" t="str">
        <f t="array" ref="W984">IFS(V984&gt;120, "Harvested", V984&gt;=113, "Yellow Ripening", V984&gt;=101, "Dough Stage", V984&gt;=93, "Milking Stage", V984&gt;=86, "Flowering", V984&gt;=56, "Panicle Initiation/Booting", V984&lt;56, "Vegetative/Tillering")</f>
        <v>Panicle Initiation/Booting</v>
      </c>
    </row>
    <row r="985" ht="15.75" hidden="1" customHeight="1">
      <c r="A985" s="3">
        <v>984.0</v>
      </c>
      <c r="B985" s="3" t="s">
        <v>23</v>
      </c>
      <c r="C985" s="3" t="s">
        <v>68</v>
      </c>
      <c r="D985" s="3" t="s">
        <v>420</v>
      </c>
      <c r="E985" s="3" t="s">
        <v>421</v>
      </c>
      <c r="F985" s="3">
        <v>1196999.0</v>
      </c>
      <c r="G985" s="4">
        <v>46058.0</v>
      </c>
      <c r="H985" s="4">
        <v>46160.0</v>
      </c>
      <c r="I985" s="3" t="s">
        <v>1085</v>
      </c>
      <c r="J985" s="3" t="s">
        <v>1795</v>
      </c>
      <c r="K985" s="3" t="s">
        <v>1713</v>
      </c>
      <c r="L985" s="3">
        <v>1.1437</v>
      </c>
      <c r="M985" s="3">
        <v>28592.5</v>
      </c>
      <c r="N985" s="3">
        <v>1.0</v>
      </c>
      <c r="O985" s="3">
        <v>299104.0</v>
      </c>
      <c r="P985" s="3" t="s">
        <v>2674</v>
      </c>
      <c r="Q985" s="3">
        <v>1289155.0</v>
      </c>
      <c r="R985" s="3"/>
      <c r="S985" s="3">
        <v>17155.5</v>
      </c>
      <c r="T985" s="3" t="s">
        <v>62</v>
      </c>
      <c r="U985" s="3">
        <v>17155.5</v>
      </c>
      <c r="V985" s="5">
        <f>(DATE(2026,2,3)-'RICE_Insured Farms_with PPI Pol'!$G985)+IF('RICE_Insured Farms_with PPI Pol'!$H985&lt;&gt;'RICE_Insured Farms_with PPI Pol'!$G985,18,0)</f>
        <v>16</v>
      </c>
      <c r="W985" s="3" t="str">
        <f t="array" ref="W985">IFS(V985&gt;120, "Harvested", V985&gt;=113, "Yellow Ripening", V985&gt;=101, "Dough Stage", V985&gt;=93, "Milking Stage", V985&gt;=86, "Flowering", V985&gt;=56, "Panicle Initiation/Booting", V985&lt;56, "Vegetative/Tillering")</f>
        <v>Vegetative/Tillering</v>
      </c>
    </row>
    <row r="986" ht="15.75" hidden="1" customHeight="1">
      <c r="A986" s="3">
        <v>985.0</v>
      </c>
      <c r="B986" s="3" t="s">
        <v>23</v>
      </c>
      <c r="C986" s="3" t="s">
        <v>68</v>
      </c>
      <c r="D986" s="3" t="s">
        <v>420</v>
      </c>
      <c r="E986" s="3" t="s">
        <v>421</v>
      </c>
      <c r="F986" s="3">
        <v>1197000.0</v>
      </c>
      <c r="G986" s="4">
        <v>46050.0</v>
      </c>
      <c r="H986" s="4">
        <v>46152.0</v>
      </c>
      <c r="I986" s="3" t="s">
        <v>1085</v>
      </c>
      <c r="J986" s="3" t="s">
        <v>2675</v>
      </c>
      <c r="K986" s="3" t="s">
        <v>1087</v>
      </c>
      <c r="L986" s="3">
        <v>1.0424</v>
      </c>
      <c r="M986" s="3">
        <v>26060.0</v>
      </c>
      <c r="N986" s="3">
        <v>1.0</v>
      </c>
      <c r="O986" s="3">
        <v>358929.0</v>
      </c>
      <c r="P986" s="3" t="s">
        <v>2676</v>
      </c>
      <c r="Q986" s="3">
        <v>1289194.0</v>
      </c>
      <c r="R986" s="3"/>
      <c r="S986" s="3">
        <v>15636.0</v>
      </c>
      <c r="T986" s="3" t="s">
        <v>62</v>
      </c>
      <c r="U986" s="3">
        <v>15636.0</v>
      </c>
      <c r="V986" s="5">
        <f>(DATE(2026,2,3)-'RICE_Insured Farms_with PPI Pol'!$G986)+IF('RICE_Insured Farms_with PPI Pol'!$H986&lt;&gt;'RICE_Insured Farms_with PPI Pol'!$G986,18,0)</f>
        <v>24</v>
      </c>
      <c r="W986" s="3" t="str">
        <f t="array" ref="W986">IFS(V986&gt;120, "Harvested", V986&gt;=113, "Yellow Ripening", V986&gt;=101, "Dough Stage", V986&gt;=93, "Milking Stage", V986&gt;=86, "Flowering", V986&gt;=56, "Panicle Initiation/Booting", V986&lt;56, "Vegetative/Tillering")</f>
        <v>Vegetative/Tillering</v>
      </c>
    </row>
    <row r="987" ht="15.75" hidden="1" customHeight="1">
      <c r="A987" s="3">
        <v>986.0</v>
      </c>
      <c r="B987" s="3" t="s">
        <v>23</v>
      </c>
      <c r="C987" s="3" t="s">
        <v>68</v>
      </c>
      <c r="D987" s="3" t="s">
        <v>289</v>
      </c>
      <c r="E987" s="3" t="s">
        <v>848</v>
      </c>
      <c r="F987" s="3">
        <v>1760003.0</v>
      </c>
      <c r="G987" s="4">
        <v>46032.0</v>
      </c>
      <c r="H987" s="4">
        <v>46134.0</v>
      </c>
      <c r="I987" s="3" t="s">
        <v>1091</v>
      </c>
      <c r="J987" s="3" t="s">
        <v>2677</v>
      </c>
      <c r="K987" s="3" t="s">
        <v>1287</v>
      </c>
      <c r="L987" s="3">
        <v>1.0315</v>
      </c>
      <c r="M987" s="3">
        <v>25787.5</v>
      </c>
      <c r="N987" s="3">
        <v>2.0</v>
      </c>
      <c r="O987" s="3">
        <v>293779.0</v>
      </c>
      <c r="P987" s="3" t="s">
        <v>2678</v>
      </c>
      <c r="Q987" s="3">
        <v>693650.0</v>
      </c>
      <c r="R987" s="3"/>
      <c r="S987" s="3">
        <v>18051.25</v>
      </c>
      <c r="T987" s="3" t="s">
        <v>31</v>
      </c>
      <c r="U987" s="3">
        <v>18051.25</v>
      </c>
      <c r="V987" s="5">
        <f>(DATE(2026,2,3)-'RICE_Insured Farms_with PPI Pol'!$G987)+IF('RICE_Insured Farms_with PPI Pol'!$H987&lt;&gt;'RICE_Insured Farms_with PPI Pol'!$G987,18,0)</f>
        <v>42</v>
      </c>
      <c r="W987" s="3" t="str">
        <f t="array" ref="W987">IFS(V987&gt;120, "Harvested", V987&gt;=113, "Yellow Ripening", V987&gt;=101, "Dough Stage", V987&gt;=93, "Milking Stage", V987&gt;=86, "Flowering", V987&gt;=56, "Panicle Initiation/Booting", V987&lt;56, "Vegetative/Tillering")</f>
        <v>Vegetative/Tillering</v>
      </c>
    </row>
    <row r="988" ht="15.75" hidden="1" customHeight="1">
      <c r="A988" s="3">
        <v>987.0</v>
      </c>
      <c r="B988" s="3" t="s">
        <v>23</v>
      </c>
      <c r="C988" s="3" t="s">
        <v>68</v>
      </c>
      <c r="D988" s="3" t="s">
        <v>289</v>
      </c>
      <c r="E988" s="3" t="s">
        <v>848</v>
      </c>
      <c r="F988" s="3">
        <v>1760003.0</v>
      </c>
      <c r="G988" s="4">
        <v>46032.0</v>
      </c>
      <c r="H988" s="4">
        <v>46134.0</v>
      </c>
      <c r="I988" s="3" t="s">
        <v>1091</v>
      </c>
      <c r="J988" s="3" t="s">
        <v>1199</v>
      </c>
      <c r="K988" s="3" t="s">
        <v>2679</v>
      </c>
      <c r="L988" s="3">
        <v>1.1528</v>
      </c>
      <c r="M988" s="3">
        <v>28820.0</v>
      </c>
      <c r="N988" s="3">
        <v>2.0</v>
      </c>
      <c r="O988" s="3">
        <v>30964.0</v>
      </c>
      <c r="P988" s="3" t="s">
        <v>2680</v>
      </c>
      <c r="Q988" s="3">
        <v>544249.0</v>
      </c>
      <c r="R988" s="3"/>
      <c r="S988" s="3">
        <v>20174.0</v>
      </c>
      <c r="T988" s="3" t="s">
        <v>31</v>
      </c>
      <c r="U988" s="3">
        <v>20174.0</v>
      </c>
      <c r="V988" s="5">
        <f>(DATE(2026,2,3)-'RICE_Insured Farms_with PPI Pol'!$G988)+IF('RICE_Insured Farms_with PPI Pol'!$H988&lt;&gt;'RICE_Insured Farms_with PPI Pol'!$G988,18,0)</f>
        <v>42</v>
      </c>
      <c r="W988" s="3" t="str">
        <f t="array" ref="W988">IFS(V988&gt;120, "Harvested", V988&gt;=113, "Yellow Ripening", V988&gt;=101, "Dough Stage", V988&gt;=93, "Milking Stage", V988&gt;=86, "Flowering", V988&gt;=56, "Panicle Initiation/Booting", V988&lt;56, "Vegetative/Tillering")</f>
        <v>Vegetative/Tillering</v>
      </c>
    </row>
    <row r="989" ht="15.75" hidden="1" customHeight="1">
      <c r="A989" s="3">
        <v>988.0</v>
      </c>
      <c r="B989" s="3" t="s">
        <v>23</v>
      </c>
      <c r="C989" s="3" t="s">
        <v>68</v>
      </c>
      <c r="D989" s="3" t="s">
        <v>262</v>
      </c>
      <c r="E989" s="3" t="s">
        <v>810</v>
      </c>
      <c r="F989" s="3">
        <v>1739646.0</v>
      </c>
      <c r="G989" s="4">
        <v>46025.0</v>
      </c>
      <c r="H989" s="4">
        <v>46127.0</v>
      </c>
      <c r="I989" s="3" t="s">
        <v>2681</v>
      </c>
      <c r="J989" s="3" t="s">
        <v>2682</v>
      </c>
      <c r="K989" s="3" t="s">
        <v>2252</v>
      </c>
      <c r="L989" s="3">
        <v>0.4842</v>
      </c>
      <c r="M989" s="3">
        <v>12105.0</v>
      </c>
      <c r="N989" s="3">
        <v>2.0</v>
      </c>
      <c r="O989" s="3">
        <v>435912.0</v>
      </c>
      <c r="P989" s="3" t="s">
        <v>2683</v>
      </c>
      <c r="Q989" s="3">
        <v>1189218.0</v>
      </c>
      <c r="R989" s="3"/>
      <c r="S989" s="3">
        <v>8473.5</v>
      </c>
      <c r="T989" s="3" t="s">
        <v>31</v>
      </c>
      <c r="U989" s="3">
        <v>8473.5</v>
      </c>
      <c r="V989" s="5">
        <f>(DATE(2026,2,3)-'RICE_Insured Farms_with PPI Pol'!$G989)+IF('RICE_Insured Farms_with PPI Pol'!$H989&lt;&gt;'RICE_Insured Farms_with PPI Pol'!$G989,18,0)</f>
        <v>49</v>
      </c>
      <c r="W989" s="3" t="str">
        <f t="array" ref="W989">IFS(V989&gt;120, "Harvested", V989&gt;=113, "Yellow Ripening", V989&gt;=101, "Dough Stage", V989&gt;=93, "Milking Stage", V989&gt;=86, "Flowering", V989&gt;=56, "Panicle Initiation/Booting", V989&lt;56, "Vegetative/Tillering")</f>
        <v>Vegetative/Tillering</v>
      </c>
    </row>
    <row r="990" ht="15.75" hidden="1" customHeight="1">
      <c r="A990" s="3">
        <v>1339.0</v>
      </c>
      <c r="B990" s="3" t="s">
        <v>23</v>
      </c>
      <c r="C990" s="3" t="s">
        <v>24</v>
      </c>
      <c r="D990" s="3" t="s">
        <v>25</v>
      </c>
      <c r="E990" s="3" t="s">
        <v>1164</v>
      </c>
      <c r="F990" s="3">
        <v>1760492.0</v>
      </c>
      <c r="G990" s="4">
        <v>46014.0</v>
      </c>
      <c r="H990" s="4">
        <v>46109.0</v>
      </c>
      <c r="I990" s="3" t="s">
        <v>2684</v>
      </c>
      <c r="J990" s="3" t="s">
        <v>2685</v>
      </c>
      <c r="K990" s="3" t="s">
        <v>1601</v>
      </c>
      <c r="L990" s="3">
        <v>0.2003</v>
      </c>
      <c r="M990" s="3">
        <v>5007.5</v>
      </c>
      <c r="N990" s="3">
        <v>4.0</v>
      </c>
      <c r="O990" s="3">
        <v>332025.0</v>
      </c>
      <c r="P990" s="3" t="s">
        <v>2686</v>
      </c>
      <c r="Q990" s="3">
        <v>1231345.0</v>
      </c>
      <c r="R990" s="3"/>
      <c r="S990" s="3">
        <v>4006.0</v>
      </c>
      <c r="T990" s="3" t="s">
        <v>56</v>
      </c>
      <c r="U990" s="3">
        <v>4006.0</v>
      </c>
      <c r="V990" s="5">
        <f>(DATE(2026,2,3)-'RICE_Insured Farms_with PPI Pol'!$G990)+IF('RICE_Insured Farms_with PPI Pol'!$H990&lt;&gt;'RICE_Insured Farms_with PPI Pol'!$G990,18,0)</f>
        <v>60</v>
      </c>
      <c r="W990" s="3" t="str">
        <f t="array" ref="W990">IFS(V990&gt;120, "Harvested", V990&gt;=113, "Yellow Ripening", V990&gt;=101, "Dough Stage", V990&gt;=93, "Milking Stage", V990&gt;=86, "Flowering", V990&gt;=56, "Panicle Initiation/Booting", V990&lt;56, "Vegetative/Tillering")</f>
        <v>Panicle Initiation/Booting</v>
      </c>
    </row>
    <row r="991" ht="15.75" customHeight="1">
      <c r="A991" s="3">
        <v>990.0</v>
      </c>
      <c r="B991" s="3" t="s">
        <v>23</v>
      </c>
      <c r="C991" s="3" t="s">
        <v>68</v>
      </c>
      <c r="D991" s="3" t="s">
        <v>289</v>
      </c>
      <c r="E991" s="3" t="s">
        <v>290</v>
      </c>
      <c r="F991" s="3">
        <v>1760035.0</v>
      </c>
      <c r="G991" s="4">
        <v>46022.0</v>
      </c>
      <c r="H991" s="4">
        <v>46124.0</v>
      </c>
      <c r="I991" s="3" t="s">
        <v>2206</v>
      </c>
      <c r="J991" s="3" t="s">
        <v>2687</v>
      </c>
      <c r="K991" s="3" t="s">
        <v>1315</v>
      </c>
      <c r="L991" s="3">
        <v>0.931</v>
      </c>
      <c r="M991" s="3">
        <v>23275.0</v>
      </c>
      <c r="N991" s="3">
        <v>3.0</v>
      </c>
      <c r="O991" s="3">
        <v>195617.0</v>
      </c>
      <c r="P991" s="3" t="s">
        <v>2688</v>
      </c>
      <c r="Q991" s="3">
        <v>1281257.0</v>
      </c>
      <c r="R991" s="3"/>
      <c r="S991" s="3">
        <v>18620.0</v>
      </c>
      <c r="T991" s="3" t="s">
        <v>37</v>
      </c>
      <c r="U991" s="3">
        <v>18620.0</v>
      </c>
      <c r="V991" s="5">
        <f>(DATE(2026,2,3)-'RICE_Insured Farms_with PPI Pol'!$G991)+IF('RICE_Insured Farms_with PPI Pol'!$H991&lt;&gt;'RICE_Insured Farms_with PPI Pol'!$G991,18,0)</f>
        <v>52</v>
      </c>
      <c r="W991" s="3" t="str">
        <f t="array" ref="W991">IFS(V991&gt;120, "Harvested", V991&gt;=113, "Yellow Ripening", V991&gt;=101, "Dough Stage", V991&gt;=93, "Milking Stage", V991&gt;=86, "Flowering", V991&gt;=56, "Panicle Initiation/Booting", V991&lt;56, "Vegetative/Tillering")</f>
        <v>Vegetative/Tillering</v>
      </c>
    </row>
    <row r="992" ht="15.75" customHeight="1">
      <c r="A992" s="3">
        <v>991.0</v>
      </c>
      <c r="B992" s="3" t="s">
        <v>23</v>
      </c>
      <c r="C992" s="3" t="s">
        <v>68</v>
      </c>
      <c r="D992" s="3" t="s">
        <v>289</v>
      </c>
      <c r="E992" s="3" t="s">
        <v>290</v>
      </c>
      <c r="F992" s="3">
        <v>1760035.0</v>
      </c>
      <c r="G992" s="4">
        <v>46022.0</v>
      </c>
      <c r="H992" s="4">
        <v>46124.0</v>
      </c>
      <c r="I992" s="3" t="s">
        <v>2206</v>
      </c>
      <c r="J992" s="3" t="s">
        <v>2689</v>
      </c>
      <c r="K992" s="3" t="s">
        <v>1315</v>
      </c>
      <c r="L992" s="3">
        <v>0.5363</v>
      </c>
      <c r="M992" s="3">
        <v>13407.5</v>
      </c>
      <c r="N992" s="3">
        <v>3.0</v>
      </c>
      <c r="O992" s="3">
        <v>298639.0</v>
      </c>
      <c r="P992" s="3" t="s">
        <v>2690</v>
      </c>
      <c r="Q992" s="3">
        <v>1281240.0</v>
      </c>
      <c r="R992" s="3"/>
      <c r="S992" s="3">
        <v>10726.0</v>
      </c>
      <c r="T992" s="3" t="s">
        <v>37</v>
      </c>
      <c r="U992" s="3">
        <v>10726.0</v>
      </c>
      <c r="V992" s="5">
        <f>(DATE(2026,2,3)-'RICE_Insured Farms_with PPI Pol'!$G992)+IF('RICE_Insured Farms_with PPI Pol'!$H992&lt;&gt;'RICE_Insured Farms_with PPI Pol'!$G992,18,0)</f>
        <v>52</v>
      </c>
      <c r="W992" s="3" t="str">
        <f t="array" ref="W992">IFS(V992&gt;120, "Harvested", V992&gt;=113, "Yellow Ripening", V992&gt;=101, "Dough Stage", V992&gt;=93, "Milking Stage", V992&gt;=86, "Flowering", V992&gt;=56, "Panicle Initiation/Booting", V992&lt;56, "Vegetative/Tillering")</f>
        <v>Vegetative/Tillering</v>
      </c>
    </row>
    <row r="993" ht="15.75" customHeight="1">
      <c r="A993" s="3">
        <v>992.0</v>
      </c>
      <c r="B993" s="3" t="s">
        <v>23</v>
      </c>
      <c r="C993" s="3" t="s">
        <v>68</v>
      </c>
      <c r="D993" s="3" t="s">
        <v>289</v>
      </c>
      <c r="E993" s="3" t="s">
        <v>290</v>
      </c>
      <c r="F993" s="3">
        <v>1760036.0</v>
      </c>
      <c r="G993" s="4">
        <v>46021.0</v>
      </c>
      <c r="H993" s="4">
        <v>46123.0</v>
      </c>
      <c r="I993" s="3" t="s">
        <v>2206</v>
      </c>
      <c r="J993" s="3" t="s">
        <v>2691</v>
      </c>
      <c r="K993" s="3" t="s">
        <v>211</v>
      </c>
      <c r="L993" s="3">
        <v>0.9034</v>
      </c>
      <c r="M993" s="3">
        <v>22585.0</v>
      </c>
      <c r="N993" s="3">
        <v>3.0</v>
      </c>
      <c r="O993" s="3">
        <v>231954.0</v>
      </c>
      <c r="P993" s="3" t="s">
        <v>2692</v>
      </c>
      <c r="Q993" s="3">
        <v>1280355.0</v>
      </c>
      <c r="R993" s="3"/>
      <c r="S993" s="3">
        <v>18068.0</v>
      </c>
      <c r="T993" s="3" t="s">
        <v>37</v>
      </c>
      <c r="U993" s="3">
        <v>18068.0</v>
      </c>
      <c r="V993" s="5">
        <f>(DATE(2026,2,3)-'RICE_Insured Farms_with PPI Pol'!$G993)+IF('RICE_Insured Farms_with PPI Pol'!$H993&lt;&gt;'RICE_Insured Farms_with PPI Pol'!$G993,18,0)</f>
        <v>53</v>
      </c>
      <c r="W993" s="3" t="str">
        <f t="array" ref="W993">IFS(V993&gt;120, "Harvested", V993&gt;=113, "Yellow Ripening", V993&gt;=101, "Dough Stage", V993&gt;=93, "Milking Stage", V993&gt;=86, "Flowering", V993&gt;=56, "Panicle Initiation/Booting", V993&lt;56, "Vegetative/Tillering")</f>
        <v>Vegetative/Tillering</v>
      </c>
    </row>
    <row r="994" ht="15.75" hidden="1" customHeight="1">
      <c r="A994" s="3">
        <v>993.0</v>
      </c>
      <c r="B994" s="3" t="s">
        <v>23</v>
      </c>
      <c r="C994" s="3" t="s">
        <v>68</v>
      </c>
      <c r="D994" s="3" t="s">
        <v>289</v>
      </c>
      <c r="E994" s="3" t="s">
        <v>352</v>
      </c>
      <c r="F994" s="3">
        <v>1760051.0</v>
      </c>
      <c r="G994" s="4">
        <v>46037.0</v>
      </c>
      <c r="H994" s="4">
        <v>46139.0</v>
      </c>
      <c r="I994" s="3" t="s">
        <v>1944</v>
      </c>
      <c r="J994" s="3" t="s">
        <v>1813</v>
      </c>
      <c r="K994" s="3" t="s">
        <v>1228</v>
      </c>
      <c r="L994" s="3">
        <v>0.3539</v>
      </c>
      <c r="M994" s="3">
        <v>8847.5</v>
      </c>
      <c r="N994" s="3">
        <v>2.0</v>
      </c>
      <c r="O994" s="3">
        <v>195083.0</v>
      </c>
      <c r="P994" s="3" t="s">
        <v>2693</v>
      </c>
      <c r="Q994" s="3">
        <v>975791.0</v>
      </c>
      <c r="R994" s="3"/>
      <c r="S994" s="3">
        <v>6193.25</v>
      </c>
      <c r="T994" s="3" t="s">
        <v>31</v>
      </c>
      <c r="U994" s="3">
        <v>6193.25</v>
      </c>
      <c r="V994" s="5">
        <f>(DATE(2026,2,3)-'RICE_Insured Farms_with PPI Pol'!$G994)+IF('RICE_Insured Farms_with PPI Pol'!$H994&lt;&gt;'RICE_Insured Farms_with PPI Pol'!$G994,18,0)</f>
        <v>37</v>
      </c>
      <c r="W994" s="3" t="str">
        <f t="array" ref="W994">IFS(V994&gt;120, "Harvested", V994&gt;=113, "Yellow Ripening", V994&gt;=101, "Dough Stage", V994&gt;=93, "Milking Stage", V994&gt;=86, "Flowering", V994&gt;=56, "Panicle Initiation/Booting", V994&lt;56, "Vegetative/Tillering")</f>
        <v>Vegetative/Tillering</v>
      </c>
    </row>
    <row r="995" ht="15.75" hidden="1" customHeight="1">
      <c r="A995" s="3">
        <v>994.0</v>
      </c>
      <c r="B995" s="3" t="s">
        <v>23</v>
      </c>
      <c r="C995" s="3" t="s">
        <v>121</v>
      </c>
      <c r="D995" s="3" t="s">
        <v>1492</v>
      </c>
      <c r="E995" s="3" t="s">
        <v>1493</v>
      </c>
      <c r="F995" s="3">
        <v>1740649.0</v>
      </c>
      <c r="G995" s="4">
        <v>46030.0</v>
      </c>
      <c r="H995" s="4">
        <v>46150.0</v>
      </c>
      <c r="I995" s="3" t="s">
        <v>2694</v>
      </c>
      <c r="J995" s="3" t="s">
        <v>2695</v>
      </c>
      <c r="K995" s="3" t="s">
        <v>2696</v>
      </c>
      <c r="L995" s="3">
        <v>2.1362</v>
      </c>
      <c r="M995" s="3">
        <v>53405.0</v>
      </c>
      <c r="N995" s="3">
        <v>1.0</v>
      </c>
      <c r="O995" s="3">
        <v>314411.0</v>
      </c>
      <c r="P995" s="3" t="s">
        <v>2697</v>
      </c>
      <c r="Q995" s="3">
        <v>1282863.0</v>
      </c>
      <c r="R995" s="3"/>
      <c r="S995" s="3">
        <v>32043.0</v>
      </c>
      <c r="T995" s="3" t="s">
        <v>62</v>
      </c>
      <c r="U995" s="3">
        <v>32043.0</v>
      </c>
      <c r="V995" s="5">
        <f>(DATE(2026,2,3)-'RICE_Insured Farms_with PPI Pol'!$G995)+IF('RICE_Insured Farms_with PPI Pol'!$H995&lt;&gt;'RICE_Insured Farms_with PPI Pol'!$G995,18,0)</f>
        <v>44</v>
      </c>
      <c r="W995" s="3" t="str">
        <f t="array" ref="W995">IFS(V995&gt;120, "Harvested", V995&gt;=113, "Yellow Ripening", V995&gt;=101, "Dough Stage", V995&gt;=93, "Milking Stage", V995&gt;=86, "Flowering", V995&gt;=56, "Panicle Initiation/Booting", V995&lt;56, "Vegetative/Tillering")</f>
        <v>Vegetative/Tillering</v>
      </c>
    </row>
    <row r="996" ht="15.75" hidden="1" customHeight="1">
      <c r="A996" s="3">
        <v>995.0</v>
      </c>
      <c r="B996" s="3" t="s">
        <v>23</v>
      </c>
      <c r="C996" s="3" t="s">
        <v>121</v>
      </c>
      <c r="D996" s="3" t="s">
        <v>1492</v>
      </c>
      <c r="E996" s="3" t="s">
        <v>1493</v>
      </c>
      <c r="F996" s="3">
        <v>1740657.0</v>
      </c>
      <c r="G996" s="4">
        <v>46032.0</v>
      </c>
      <c r="H996" s="4">
        <v>46152.0</v>
      </c>
      <c r="I996" s="3" t="s">
        <v>2694</v>
      </c>
      <c r="J996" s="3" t="s">
        <v>1050</v>
      </c>
      <c r="K996" s="3" t="s">
        <v>2698</v>
      </c>
      <c r="L996" s="3">
        <v>1.1024</v>
      </c>
      <c r="M996" s="3">
        <v>27560.0</v>
      </c>
      <c r="N996" s="3">
        <v>1.0</v>
      </c>
      <c r="O996" s="3">
        <v>18705.0</v>
      </c>
      <c r="P996" s="3" t="s">
        <v>2699</v>
      </c>
      <c r="Q996" s="3">
        <v>1225988.0</v>
      </c>
      <c r="R996" s="3"/>
      <c r="S996" s="3">
        <v>16536.0</v>
      </c>
      <c r="T996" s="3" t="s">
        <v>62</v>
      </c>
      <c r="U996" s="3">
        <v>16536.0</v>
      </c>
      <c r="V996" s="5">
        <f>(DATE(2026,2,3)-'RICE_Insured Farms_with PPI Pol'!$G996)+IF('RICE_Insured Farms_with PPI Pol'!$H996&lt;&gt;'RICE_Insured Farms_with PPI Pol'!$G996,18,0)</f>
        <v>42</v>
      </c>
      <c r="W996" s="3" t="str">
        <f t="array" ref="W996">IFS(V996&gt;120, "Harvested", V996&gt;=113, "Yellow Ripening", V996&gt;=101, "Dough Stage", V996&gt;=93, "Milking Stage", V996&gt;=86, "Flowering", V996&gt;=56, "Panicle Initiation/Booting", V996&lt;56, "Vegetative/Tillering")</f>
        <v>Vegetative/Tillering</v>
      </c>
    </row>
    <row r="997" ht="15.75" customHeight="1">
      <c r="A997" s="3">
        <v>996.0</v>
      </c>
      <c r="B997" s="3" t="s">
        <v>23</v>
      </c>
      <c r="C997" s="3" t="s">
        <v>68</v>
      </c>
      <c r="D997" s="3" t="s">
        <v>122</v>
      </c>
      <c r="E997" s="3" t="s">
        <v>2700</v>
      </c>
      <c r="F997" s="3">
        <v>1196930.0</v>
      </c>
      <c r="G997" s="4">
        <v>46020.0</v>
      </c>
      <c r="H997" s="4">
        <v>46122.0</v>
      </c>
      <c r="I997" s="3" t="s">
        <v>2701</v>
      </c>
      <c r="J997" s="3" t="s">
        <v>2702</v>
      </c>
      <c r="K997" s="3" t="s">
        <v>2703</v>
      </c>
      <c r="L997" s="3">
        <v>0.657</v>
      </c>
      <c r="M997" s="3">
        <v>16425.0</v>
      </c>
      <c r="N997" s="3">
        <v>3.0</v>
      </c>
      <c r="O997" s="3">
        <v>126330.0</v>
      </c>
      <c r="P997" s="3" t="s">
        <v>2704</v>
      </c>
      <c r="Q997" s="3">
        <v>1184634.0</v>
      </c>
      <c r="R997" s="3"/>
      <c r="S997" s="3">
        <v>13140.0</v>
      </c>
      <c r="T997" s="3" t="s">
        <v>37</v>
      </c>
      <c r="U997" s="3">
        <v>13140.0</v>
      </c>
      <c r="V997" s="5">
        <f>(DATE(2026,2,3)-'RICE_Insured Farms_with PPI Pol'!$G997)+IF('RICE_Insured Farms_with PPI Pol'!$H997&lt;&gt;'RICE_Insured Farms_with PPI Pol'!$G997,18,0)</f>
        <v>54</v>
      </c>
      <c r="W997" s="3" t="str">
        <f t="array" ref="W997">IFS(V997&gt;120, "Harvested", V997&gt;=113, "Yellow Ripening", V997&gt;=101, "Dough Stage", V997&gt;=93, "Milking Stage", V997&gt;=86, "Flowering", V997&gt;=56, "Panicle Initiation/Booting", V997&lt;56, "Vegetative/Tillering")</f>
        <v>Vegetative/Tillering</v>
      </c>
    </row>
    <row r="998" ht="15.75" hidden="1" customHeight="1">
      <c r="A998" s="3">
        <v>997.0</v>
      </c>
      <c r="B998" s="3" t="s">
        <v>23</v>
      </c>
      <c r="C998" s="3" t="s">
        <v>68</v>
      </c>
      <c r="D998" s="3" t="s">
        <v>679</v>
      </c>
      <c r="E998" s="3" t="s">
        <v>299</v>
      </c>
      <c r="F998" s="3">
        <v>1175378.0</v>
      </c>
      <c r="G998" s="4">
        <v>46015.0</v>
      </c>
      <c r="H998" s="4">
        <v>46135.0</v>
      </c>
      <c r="I998" s="3" t="s">
        <v>1102</v>
      </c>
      <c r="J998" s="3" t="s">
        <v>1257</v>
      </c>
      <c r="K998" s="3" t="s">
        <v>2705</v>
      </c>
      <c r="L998" s="3">
        <v>0.5459</v>
      </c>
      <c r="M998" s="3">
        <v>13647.5</v>
      </c>
      <c r="N998" s="3">
        <v>2.0</v>
      </c>
      <c r="O998" s="3">
        <v>329859.0</v>
      </c>
      <c r="P998" s="3" t="s">
        <v>2706</v>
      </c>
      <c r="Q998" s="3">
        <v>1138336.0</v>
      </c>
      <c r="R998" s="3"/>
      <c r="S998" s="3">
        <v>9553.25</v>
      </c>
      <c r="T998" s="3" t="s">
        <v>31</v>
      </c>
      <c r="U998" s="3">
        <v>9553.25</v>
      </c>
      <c r="V998" s="5">
        <f>(DATE(2026,2,3)-'RICE_Insured Farms_with PPI Pol'!$G998)+IF('RICE_Insured Farms_with PPI Pol'!$H998&lt;&gt;'RICE_Insured Farms_with PPI Pol'!$G998,18,0)</f>
        <v>59</v>
      </c>
      <c r="W998" s="3" t="str">
        <f t="array" ref="W998">IFS(V998&gt;120, "Harvested", V998&gt;=113, "Yellow Ripening", V998&gt;=101, "Dough Stage", V998&gt;=93, "Milking Stage", V998&gt;=86, "Flowering", V998&gt;=56, "Panicle Initiation/Booting", V998&lt;56, "Vegetative/Tillering")</f>
        <v>Panicle Initiation/Booting</v>
      </c>
    </row>
    <row r="999" ht="15.75" hidden="1" customHeight="1">
      <c r="A999" s="3">
        <v>998.0</v>
      </c>
      <c r="B999" s="3" t="s">
        <v>23</v>
      </c>
      <c r="C999" s="3" t="s">
        <v>1453</v>
      </c>
      <c r="D999" s="3" t="s">
        <v>1454</v>
      </c>
      <c r="E999" s="3" t="s">
        <v>1246</v>
      </c>
      <c r="F999" s="3">
        <v>1742023.0</v>
      </c>
      <c r="G999" s="4">
        <v>46030.0</v>
      </c>
      <c r="H999" s="4">
        <v>46132.0</v>
      </c>
      <c r="I999" s="3" t="s">
        <v>1984</v>
      </c>
      <c r="J999" s="3" t="s">
        <v>91</v>
      </c>
      <c r="K999" s="3" t="s">
        <v>2707</v>
      </c>
      <c r="L999" s="3">
        <v>0.4239</v>
      </c>
      <c r="M999" s="3">
        <v>10597.5</v>
      </c>
      <c r="N999" s="3">
        <v>2.0</v>
      </c>
      <c r="O999" s="3">
        <v>324926.0</v>
      </c>
      <c r="P999" s="3"/>
      <c r="Q999" s="3">
        <v>1317987.0</v>
      </c>
      <c r="R999" s="3"/>
      <c r="S999" s="3">
        <v>7418.25</v>
      </c>
      <c r="T999" s="3" t="s">
        <v>31</v>
      </c>
      <c r="U999" s="3">
        <v>7418.25</v>
      </c>
      <c r="V999" s="5">
        <f>(DATE(2026,2,3)-'RICE_Insured Farms_with PPI Pol'!$G999)+IF('RICE_Insured Farms_with PPI Pol'!$H999&lt;&gt;'RICE_Insured Farms_with PPI Pol'!$G999,18,0)</f>
        <v>44</v>
      </c>
      <c r="W999" s="3" t="str">
        <f t="array" ref="W999">IFS(V999&gt;120, "Harvested", V999&gt;=113, "Yellow Ripening", V999&gt;=101, "Dough Stage", V999&gt;=93, "Milking Stage", V999&gt;=86, "Flowering", V999&gt;=56, "Panicle Initiation/Booting", V999&lt;56, "Vegetative/Tillering")</f>
        <v>Vegetative/Tillering</v>
      </c>
    </row>
    <row r="1000" ht="15.75" customHeight="1">
      <c r="A1000" s="3">
        <v>999.0</v>
      </c>
      <c r="B1000" s="3" t="s">
        <v>23</v>
      </c>
      <c r="C1000" s="3" t="s">
        <v>1453</v>
      </c>
      <c r="D1000" s="3" t="s">
        <v>1454</v>
      </c>
      <c r="E1000" s="3" t="s">
        <v>1246</v>
      </c>
      <c r="F1000" s="3">
        <v>1742048.0</v>
      </c>
      <c r="G1000" s="4">
        <v>46016.0</v>
      </c>
      <c r="H1000" s="4">
        <v>46118.0</v>
      </c>
      <c r="I1000" s="3" t="s">
        <v>1984</v>
      </c>
      <c r="J1000" s="3" t="s">
        <v>1963</v>
      </c>
      <c r="K1000" s="3" t="s">
        <v>223</v>
      </c>
      <c r="L1000" s="3">
        <v>1.5</v>
      </c>
      <c r="M1000" s="3">
        <v>37500.0</v>
      </c>
      <c r="N1000" s="3">
        <v>3.0</v>
      </c>
      <c r="O1000" s="3">
        <v>16972.0</v>
      </c>
      <c r="P1000" s="3"/>
      <c r="Q1000" s="3">
        <v>1317973.0</v>
      </c>
      <c r="R1000" s="3"/>
      <c r="S1000" s="3">
        <v>30000.0</v>
      </c>
      <c r="T1000" s="3" t="s">
        <v>37</v>
      </c>
      <c r="U1000" s="3">
        <v>30000.0</v>
      </c>
      <c r="V1000" s="5">
        <f>(DATE(2026,2,3)-'RICE_Insured Farms_with PPI Pol'!$G1000)+IF('RICE_Insured Farms_with PPI Pol'!$H1000&lt;&gt;'RICE_Insured Farms_with PPI Pol'!$G1000,18,0)</f>
        <v>58</v>
      </c>
      <c r="W1000" s="3" t="str">
        <f t="array" ref="W1000">IFS(V1000&gt;120, "Harvested", V1000&gt;=113, "Yellow Ripening", V1000&gt;=101, "Dough Stage", V1000&gt;=93, "Milking Stage", V1000&gt;=86, "Flowering", V1000&gt;=56, "Panicle Initiation/Booting", V1000&lt;56, "Vegetative/Tillering")</f>
        <v>Panicle Initiation/Booting</v>
      </c>
    </row>
    <row r="1001" ht="15.75" customHeight="1">
      <c r="A1001" s="3">
        <v>1000.0</v>
      </c>
      <c r="B1001" s="3" t="s">
        <v>23</v>
      </c>
      <c r="C1001" s="3" t="s">
        <v>24</v>
      </c>
      <c r="D1001" s="3" t="s">
        <v>538</v>
      </c>
      <c r="E1001" s="3" t="s">
        <v>1513</v>
      </c>
      <c r="F1001" s="3">
        <v>1190673.0</v>
      </c>
      <c r="G1001" s="4">
        <v>46025.0</v>
      </c>
      <c r="H1001" s="4">
        <v>46120.0</v>
      </c>
      <c r="I1001" s="3" t="s">
        <v>2708</v>
      </c>
      <c r="J1001" s="3" t="s">
        <v>170</v>
      </c>
      <c r="K1001" s="3"/>
      <c r="L1001" s="3">
        <v>0.3715</v>
      </c>
      <c r="M1001" s="3">
        <v>9287.5</v>
      </c>
      <c r="N1001" s="3">
        <v>3.0</v>
      </c>
      <c r="O1001" s="3">
        <v>238041.0</v>
      </c>
      <c r="P1001" s="3" t="s">
        <v>2709</v>
      </c>
      <c r="Q1001" s="3">
        <v>1324804.0</v>
      </c>
      <c r="R1001" s="3"/>
      <c r="S1001" s="3">
        <v>7430.0</v>
      </c>
      <c r="T1001" s="3" t="s">
        <v>37</v>
      </c>
      <c r="U1001" s="3">
        <v>7430.0</v>
      </c>
      <c r="V1001" s="5">
        <f>(DATE(2026,2,3)-'RICE_Insured Farms_with PPI Pol'!$G1001)+IF('RICE_Insured Farms_with PPI Pol'!$H1001&lt;&gt;'RICE_Insured Farms_with PPI Pol'!$G1001,18,0)</f>
        <v>49</v>
      </c>
      <c r="W1001" s="3" t="str">
        <f t="array" ref="W1001">IFS(V1001&gt;120, "Harvested", V1001&gt;=113, "Yellow Ripening", V1001&gt;=101, "Dough Stage", V1001&gt;=93, "Milking Stage", V1001&gt;=86, "Flowering", V1001&gt;=56, "Panicle Initiation/Booting", V1001&lt;56, "Vegetative/Tillering")</f>
        <v>Vegetative/Tillering</v>
      </c>
    </row>
    <row r="1002" ht="15.75" hidden="1" customHeight="1">
      <c r="A1002" s="3">
        <v>1001.0</v>
      </c>
      <c r="B1002" s="3" t="s">
        <v>23</v>
      </c>
      <c r="C1002" s="3" t="s">
        <v>68</v>
      </c>
      <c r="D1002" s="3" t="s">
        <v>289</v>
      </c>
      <c r="E1002" s="3" t="s">
        <v>507</v>
      </c>
      <c r="F1002" s="3">
        <v>1760017.0</v>
      </c>
      <c r="G1002" s="4">
        <v>46028.0</v>
      </c>
      <c r="H1002" s="4">
        <v>46130.0</v>
      </c>
      <c r="I1002" s="3" t="s">
        <v>2710</v>
      </c>
      <c r="J1002" s="3" t="s">
        <v>1034</v>
      </c>
      <c r="K1002" s="3" t="s">
        <v>1003</v>
      </c>
      <c r="L1002" s="3">
        <v>0.5956</v>
      </c>
      <c r="M1002" s="3">
        <v>14890.0</v>
      </c>
      <c r="N1002" s="3">
        <v>2.0</v>
      </c>
      <c r="O1002" s="3">
        <v>488822.0</v>
      </c>
      <c r="P1002" s="3" t="s">
        <v>2711</v>
      </c>
      <c r="Q1002" s="3">
        <v>1189721.0</v>
      </c>
      <c r="R1002" s="3"/>
      <c r="S1002" s="3">
        <v>10423.0</v>
      </c>
      <c r="T1002" s="3" t="s">
        <v>31</v>
      </c>
      <c r="U1002" s="3">
        <v>10423.0</v>
      </c>
      <c r="V1002" s="5">
        <f>(DATE(2026,2,3)-'RICE_Insured Farms_with PPI Pol'!$G1002)+IF('RICE_Insured Farms_with PPI Pol'!$H1002&lt;&gt;'RICE_Insured Farms_with PPI Pol'!$G1002,18,0)</f>
        <v>46</v>
      </c>
      <c r="W1002" s="3" t="str">
        <f t="array" ref="W1002">IFS(V1002&gt;120, "Harvested", V1002&gt;=113, "Yellow Ripening", V1002&gt;=101, "Dough Stage", V1002&gt;=93, "Milking Stage", V1002&gt;=86, "Flowering", V1002&gt;=56, "Panicle Initiation/Booting", V1002&lt;56, "Vegetative/Tillering")</f>
        <v>Vegetative/Tillering</v>
      </c>
    </row>
    <row r="1003" ht="15.75" customHeight="1">
      <c r="A1003" s="3">
        <v>1002.0</v>
      </c>
      <c r="B1003" s="3" t="s">
        <v>23</v>
      </c>
      <c r="C1003" s="3" t="s">
        <v>68</v>
      </c>
      <c r="D1003" s="3" t="s">
        <v>679</v>
      </c>
      <c r="E1003" s="3" t="s">
        <v>680</v>
      </c>
      <c r="F1003" s="3">
        <v>1175384.0</v>
      </c>
      <c r="G1003" s="4">
        <v>46031.0</v>
      </c>
      <c r="H1003" s="4">
        <v>46123.0</v>
      </c>
      <c r="I1003" s="3" t="s">
        <v>1069</v>
      </c>
      <c r="J1003" s="3" t="s">
        <v>2712</v>
      </c>
      <c r="K1003" s="3" t="s">
        <v>2713</v>
      </c>
      <c r="L1003" s="3">
        <v>0.1771</v>
      </c>
      <c r="M1003" s="3">
        <v>4427.5</v>
      </c>
      <c r="N1003" s="3">
        <v>3.0</v>
      </c>
      <c r="O1003" s="3">
        <v>132017.0</v>
      </c>
      <c r="P1003" s="3" t="s">
        <v>2714</v>
      </c>
      <c r="Q1003" s="3">
        <v>1143136.0</v>
      </c>
      <c r="R1003" s="3"/>
      <c r="S1003" s="3">
        <v>3542.0</v>
      </c>
      <c r="T1003" s="3" t="s">
        <v>37</v>
      </c>
      <c r="U1003" s="3">
        <v>3542.0</v>
      </c>
      <c r="V1003" s="5">
        <f>(DATE(2026,2,3)-'RICE_Insured Farms_with PPI Pol'!$G1003)+IF('RICE_Insured Farms_with PPI Pol'!$H1003&lt;&gt;'RICE_Insured Farms_with PPI Pol'!$G1003,18,0)</f>
        <v>43</v>
      </c>
      <c r="W1003" s="3" t="str">
        <f t="array" ref="W1003">IFS(V1003&gt;120, "Harvested", V1003&gt;=113, "Yellow Ripening", V1003&gt;=101, "Dough Stage", V1003&gt;=93, "Milking Stage", V1003&gt;=86, "Flowering", V1003&gt;=56, "Panicle Initiation/Booting", V1003&lt;56, "Vegetative/Tillering")</f>
        <v>Vegetative/Tillering</v>
      </c>
    </row>
    <row r="1004" ht="15.75" hidden="1" customHeight="1">
      <c r="A1004" s="3">
        <v>1003.0</v>
      </c>
      <c r="B1004" s="3" t="s">
        <v>23</v>
      </c>
      <c r="C1004" s="3" t="s">
        <v>121</v>
      </c>
      <c r="D1004" s="3" t="s">
        <v>1492</v>
      </c>
      <c r="E1004" s="3" t="s">
        <v>1493</v>
      </c>
      <c r="F1004" s="3">
        <v>1740661.0</v>
      </c>
      <c r="G1004" s="4">
        <v>46031.0</v>
      </c>
      <c r="H1004" s="4">
        <v>46151.0</v>
      </c>
      <c r="I1004" s="3" t="s">
        <v>2715</v>
      </c>
      <c r="J1004" s="3" t="s">
        <v>2716</v>
      </c>
      <c r="K1004" s="3" t="s">
        <v>2698</v>
      </c>
      <c r="L1004" s="3">
        <v>0.9694</v>
      </c>
      <c r="M1004" s="3">
        <v>24235.0</v>
      </c>
      <c r="N1004" s="3">
        <v>1.0</v>
      </c>
      <c r="O1004" s="3">
        <v>18626.0</v>
      </c>
      <c r="P1004" s="3" t="s">
        <v>2717</v>
      </c>
      <c r="Q1004" s="3">
        <v>1282813.0</v>
      </c>
      <c r="R1004" s="3"/>
      <c r="S1004" s="3">
        <v>14541.0</v>
      </c>
      <c r="T1004" s="3" t="s">
        <v>62</v>
      </c>
      <c r="U1004" s="3">
        <v>14541.0</v>
      </c>
      <c r="V1004" s="5">
        <f>(DATE(2026,2,3)-'RICE_Insured Farms_with PPI Pol'!$G1004)+IF('RICE_Insured Farms_with PPI Pol'!$H1004&lt;&gt;'RICE_Insured Farms_with PPI Pol'!$G1004,18,0)</f>
        <v>43</v>
      </c>
      <c r="W1004" s="3" t="str">
        <f t="array" ref="W1004">IFS(V1004&gt;120, "Harvested", V1004&gt;=113, "Yellow Ripening", V1004&gt;=101, "Dough Stage", V1004&gt;=93, "Milking Stage", V1004&gt;=86, "Flowering", V1004&gt;=56, "Panicle Initiation/Booting", V1004&lt;56, "Vegetative/Tillering")</f>
        <v>Vegetative/Tillering</v>
      </c>
    </row>
    <row r="1005" ht="15.75" hidden="1" customHeight="1">
      <c r="A1005" s="3">
        <v>1004.0</v>
      </c>
      <c r="B1005" s="3" t="s">
        <v>23</v>
      </c>
      <c r="C1005" s="3" t="s">
        <v>121</v>
      </c>
      <c r="D1005" s="3" t="s">
        <v>1492</v>
      </c>
      <c r="E1005" s="3" t="s">
        <v>1493</v>
      </c>
      <c r="F1005" s="3">
        <v>1740649.0</v>
      </c>
      <c r="G1005" s="4">
        <v>46020.0</v>
      </c>
      <c r="H1005" s="4">
        <v>46140.0</v>
      </c>
      <c r="I1005" s="3" t="s">
        <v>2718</v>
      </c>
      <c r="J1005" s="3" t="s">
        <v>2719</v>
      </c>
      <c r="K1005" s="3" t="s">
        <v>2698</v>
      </c>
      <c r="L1005" s="3">
        <v>1.257</v>
      </c>
      <c r="M1005" s="3">
        <v>31425.0</v>
      </c>
      <c r="N1005" s="3">
        <v>2.0</v>
      </c>
      <c r="O1005" s="3">
        <v>365606.0</v>
      </c>
      <c r="P1005" s="3" t="s">
        <v>2720</v>
      </c>
      <c r="Q1005" s="3">
        <v>1218349.0</v>
      </c>
      <c r="R1005" s="3"/>
      <c r="S1005" s="3">
        <v>21997.5</v>
      </c>
      <c r="T1005" s="3" t="s">
        <v>31</v>
      </c>
      <c r="U1005" s="3">
        <v>21997.5</v>
      </c>
      <c r="V1005" s="5">
        <f>(DATE(2026,2,3)-'RICE_Insured Farms_with PPI Pol'!$G1005)+IF('RICE_Insured Farms_with PPI Pol'!$H1005&lt;&gt;'RICE_Insured Farms_with PPI Pol'!$G1005,18,0)</f>
        <v>54</v>
      </c>
      <c r="W1005" s="3" t="str">
        <f t="array" ref="W1005">IFS(V1005&gt;120, "Harvested", V1005&gt;=113, "Yellow Ripening", V1005&gt;=101, "Dough Stage", V1005&gt;=93, "Milking Stage", V1005&gt;=86, "Flowering", V1005&gt;=56, "Panicle Initiation/Booting", V1005&lt;56, "Vegetative/Tillering")</f>
        <v>Vegetative/Tillering</v>
      </c>
    </row>
    <row r="1006" ht="15.75" hidden="1" customHeight="1">
      <c r="A1006" s="3">
        <v>1005.0</v>
      </c>
      <c r="B1006" s="3" t="s">
        <v>23</v>
      </c>
      <c r="C1006" s="3" t="s">
        <v>121</v>
      </c>
      <c r="D1006" s="3" t="s">
        <v>1492</v>
      </c>
      <c r="E1006" s="3" t="s">
        <v>1493</v>
      </c>
      <c r="F1006" s="3">
        <v>1740653.0</v>
      </c>
      <c r="G1006" s="4">
        <v>46027.0</v>
      </c>
      <c r="H1006" s="4">
        <v>46147.0</v>
      </c>
      <c r="I1006" s="3" t="s">
        <v>2718</v>
      </c>
      <c r="J1006" s="3" t="s">
        <v>2721</v>
      </c>
      <c r="K1006" s="3" t="s">
        <v>2722</v>
      </c>
      <c r="L1006" s="3">
        <v>0.9909</v>
      </c>
      <c r="M1006" s="3">
        <v>24772.5</v>
      </c>
      <c r="N1006" s="3">
        <v>1.0</v>
      </c>
      <c r="O1006" s="3">
        <v>436392.0</v>
      </c>
      <c r="P1006" s="3" t="s">
        <v>2723</v>
      </c>
      <c r="Q1006" s="3">
        <v>1282822.0</v>
      </c>
      <c r="R1006" s="3"/>
      <c r="S1006" s="3">
        <v>14863.5</v>
      </c>
      <c r="T1006" s="3" t="s">
        <v>62</v>
      </c>
      <c r="U1006" s="3">
        <v>14863.5</v>
      </c>
      <c r="V1006" s="5">
        <f>(DATE(2026,2,3)-'RICE_Insured Farms_with PPI Pol'!$G1006)+IF('RICE_Insured Farms_with PPI Pol'!$H1006&lt;&gt;'RICE_Insured Farms_with PPI Pol'!$G1006,18,0)</f>
        <v>47</v>
      </c>
      <c r="W1006" s="3" t="str">
        <f t="array" ref="W1006">IFS(V1006&gt;120, "Harvested", V1006&gt;=113, "Yellow Ripening", V1006&gt;=101, "Dough Stage", V1006&gt;=93, "Milking Stage", V1006&gt;=86, "Flowering", V1006&gt;=56, "Panicle Initiation/Booting", V1006&lt;56, "Vegetative/Tillering")</f>
        <v>Vegetative/Tillering</v>
      </c>
    </row>
    <row r="1007" ht="15.75" hidden="1" customHeight="1">
      <c r="A1007" s="3">
        <v>1006.0</v>
      </c>
      <c r="B1007" s="3" t="s">
        <v>23</v>
      </c>
      <c r="C1007" s="3" t="s">
        <v>68</v>
      </c>
      <c r="D1007" s="3" t="s">
        <v>289</v>
      </c>
      <c r="E1007" s="3" t="s">
        <v>431</v>
      </c>
      <c r="F1007" s="3">
        <v>1760022.0</v>
      </c>
      <c r="G1007" s="4">
        <v>46025.0</v>
      </c>
      <c r="H1007" s="4">
        <v>46127.0</v>
      </c>
      <c r="I1007" s="3" t="s">
        <v>566</v>
      </c>
      <c r="J1007" s="3" t="s">
        <v>2724</v>
      </c>
      <c r="K1007" s="3" t="s">
        <v>2725</v>
      </c>
      <c r="L1007" s="3">
        <v>0.1184</v>
      </c>
      <c r="M1007" s="3">
        <v>2960.0</v>
      </c>
      <c r="N1007" s="3">
        <v>2.0</v>
      </c>
      <c r="O1007" s="3">
        <v>199474.0</v>
      </c>
      <c r="P1007" s="3" t="s">
        <v>2726</v>
      </c>
      <c r="Q1007" s="3">
        <v>1193908.0</v>
      </c>
      <c r="R1007" s="3"/>
      <c r="S1007" s="3">
        <v>2072.0</v>
      </c>
      <c r="T1007" s="3" t="s">
        <v>31</v>
      </c>
      <c r="U1007" s="3">
        <v>2072.0</v>
      </c>
      <c r="V1007" s="5">
        <f>(DATE(2026,2,3)-'RICE_Insured Farms_with PPI Pol'!$G1007)+IF('RICE_Insured Farms_with PPI Pol'!$H1007&lt;&gt;'RICE_Insured Farms_with PPI Pol'!$G1007,18,0)</f>
        <v>49</v>
      </c>
      <c r="W1007" s="3" t="str">
        <f t="array" ref="W1007">IFS(V1007&gt;120, "Harvested", V1007&gt;=113, "Yellow Ripening", V1007&gt;=101, "Dough Stage", V1007&gt;=93, "Milking Stage", V1007&gt;=86, "Flowering", V1007&gt;=56, "Panicle Initiation/Booting", V1007&lt;56, "Vegetative/Tillering")</f>
        <v>Vegetative/Tillering</v>
      </c>
    </row>
    <row r="1008" ht="15.75" hidden="1" customHeight="1">
      <c r="A1008" s="3">
        <v>1007.0</v>
      </c>
      <c r="B1008" s="3" t="s">
        <v>23</v>
      </c>
      <c r="C1008" s="3" t="s">
        <v>68</v>
      </c>
      <c r="D1008" s="3" t="s">
        <v>420</v>
      </c>
      <c r="E1008" s="3" t="s">
        <v>421</v>
      </c>
      <c r="F1008" s="3">
        <v>1196999.0</v>
      </c>
      <c r="G1008" s="4">
        <v>46058.0</v>
      </c>
      <c r="H1008" s="4">
        <v>46160.0</v>
      </c>
      <c r="I1008" s="3" t="s">
        <v>566</v>
      </c>
      <c r="J1008" s="3" t="s">
        <v>2727</v>
      </c>
      <c r="K1008" s="3" t="s">
        <v>721</v>
      </c>
      <c r="L1008" s="3">
        <v>0.2823</v>
      </c>
      <c r="M1008" s="3">
        <v>7057.5</v>
      </c>
      <c r="N1008" s="3">
        <v>1.0</v>
      </c>
      <c r="O1008" s="3">
        <v>368549.0</v>
      </c>
      <c r="P1008" s="3" t="s">
        <v>2728</v>
      </c>
      <c r="Q1008" s="3">
        <v>1287676.0</v>
      </c>
      <c r="R1008" s="3"/>
      <c r="S1008" s="3">
        <v>4234.5</v>
      </c>
      <c r="T1008" s="3" t="s">
        <v>62</v>
      </c>
      <c r="U1008" s="3">
        <v>4234.5</v>
      </c>
      <c r="V1008" s="5">
        <f>(DATE(2026,2,3)-'RICE_Insured Farms_with PPI Pol'!$G1008)+IF('RICE_Insured Farms_with PPI Pol'!$H1008&lt;&gt;'RICE_Insured Farms_with PPI Pol'!$G1008,18,0)</f>
        <v>16</v>
      </c>
      <c r="W1008" s="3" t="str">
        <f t="array" ref="W1008">IFS(V1008&gt;120, "Harvested", V1008&gt;=113, "Yellow Ripening", V1008&gt;=101, "Dough Stage", V1008&gt;=93, "Milking Stage", V1008&gt;=86, "Flowering", V1008&gt;=56, "Panicle Initiation/Booting", V1008&lt;56, "Vegetative/Tillering")</f>
        <v>Vegetative/Tillering</v>
      </c>
    </row>
    <row r="1009" ht="15.75" hidden="1" customHeight="1">
      <c r="A1009" s="3">
        <v>1008.0</v>
      </c>
      <c r="B1009" s="3" t="s">
        <v>23</v>
      </c>
      <c r="C1009" s="3" t="s">
        <v>68</v>
      </c>
      <c r="D1009" s="3" t="s">
        <v>420</v>
      </c>
      <c r="E1009" s="3" t="s">
        <v>421</v>
      </c>
      <c r="F1009" s="3">
        <v>1197003.0</v>
      </c>
      <c r="G1009" s="4">
        <v>46041.0</v>
      </c>
      <c r="H1009" s="4">
        <v>46143.0</v>
      </c>
      <c r="I1009" s="3" t="s">
        <v>566</v>
      </c>
      <c r="J1009" s="3" t="s">
        <v>665</v>
      </c>
      <c r="K1009" s="3" t="s">
        <v>2729</v>
      </c>
      <c r="L1009" s="3">
        <v>0.5985</v>
      </c>
      <c r="M1009" s="3">
        <v>14962.5</v>
      </c>
      <c r="N1009" s="3">
        <v>2.0</v>
      </c>
      <c r="O1009" s="3">
        <v>511759.0</v>
      </c>
      <c r="P1009" s="3" t="s">
        <v>2730</v>
      </c>
      <c r="Q1009" s="3">
        <v>1287683.0</v>
      </c>
      <c r="R1009" s="3"/>
      <c r="S1009" s="3">
        <v>10473.75</v>
      </c>
      <c r="T1009" s="3" t="s">
        <v>31</v>
      </c>
      <c r="U1009" s="3">
        <v>10473.75</v>
      </c>
      <c r="V1009" s="5">
        <f>(DATE(2026,2,3)-'RICE_Insured Farms_with PPI Pol'!$G1009)+IF('RICE_Insured Farms_with PPI Pol'!$H1009&lt;&gt;'RICE_Insured Farms_with PPI Pol'!$G1009,18,0)</f>
        <v>33</v>
      </c>
      <c r="W1009" s="3" t="str">
        <f t="array" ref="W1009">IFS(V1009&gt;120, "Harvested", V1009&gt;=113, "Yellow Ripening", V1009&gt;=101, "Dough Stage", V1009&gt;=93, "Milking Stage", V1009&gt;=86, "Flowering", V1009&gt;=56, "Panicle Initiation/Booting", V1009&lt;56, "Vegetative/Tillering")</f>
        <v>Vegetative/Tillering</v>
      </c>
    </row>
    <row r="1010" ht="15.75" hidden="1" customHeight="1">
      <c r="A1010" s="3">
        <v>1009.0</v>
      </c>
      <c r="B1010" s="3" t="s">
        <v>23</v>
      </c>
      <c r="C1010" s="3" t="s">
        <v>68</v>
      </c>
      <c r="D1010" s="3" t="s">
        <v>289</v>
      </c>
      <c r="E1010" s="3" t="s">
        <v>431</v>
      </c>
      <c r="F1010" s="3">
        <v>1760048.0</v>
      </c>
      <c r="G1010" s="4">
        <v>46037.0</v>
      </c>
      <c r="H1010" s="4">
        <v>46139.0</v>
      </c>
      <c r="I1010" s="3" t="s">
        <v>566</v>
      </c>
      <c r="J1010" s="3" t="s">
        <v>2731</v>
      </c>
      <c r="K1010" s="3" t="s">
        <v>2732</v>
      </c>
      <c r="L1010" s="3">
        <v>0.6605</v>
      </c>
      <c r="M1010" s="3">
        <v>16512.5</v>
      </c>
      <c r="N1010" s="3">
        <v>2.0</v>
      </c>
      <c r="O1010" s="3">
        <v>128043.0</v>
      </c>
      <c r="P1010" s="3" t="s">
        <v>2733</v>
      </c>
      <c r="Q1010" s="3">
        <v>1150871.0</v>
      </c>
      <c r="R1010" s="3"/>
      <c r="S1010" s="3">
        <v>11558.75</v>
      </c>
      <c r="T1010" s="3" t="s">
        <v>31</v>
      </c>
      <c r="U1010" s="3">
        <v>11558.75</v>
      </c>
      <c r="V1010" s="5">
        <f>(DATE(2026,2,3)-'RICE_Insured Farms_with PPI Pol'!$G1010)+IF('RICE_Insured Farms_with PPI Pol'!$H1010&lt;&gt;'RICE_Insured Farms_with PPI Pol'!$G1010,18,0)</f>
        <v>37</v>
      </c>
      <c r="W1010" s="3" t="str">
        <f t="array" ref="W1010">IFS(V1010&gt;120, "Harvested", V1010&gt;=113, "Yellow Ripening", V1010&gt;=101, "Dough Stage", V1010&gt;=93, "Milking Stage", V1010&gt;=86, "Flowering", V1010&gt;=56, "Panicle Initiation/Booting", V1010&lt;56, "Vegetative/Tillering")</f>
        <v>Vegetative/Tillering</v>
      </c>
    </row>
    <row r="1011" ht="15.75" hidden="1" customHeight="1">
      <c r="A1011" s="3">
        <v>1010.0</v>
      </c>
      <c r="B1011" s="3" t="s">
        <v>23</v>
      </c>
      <c r="C1011" s="3" t="s">
        <v>68</v>
      </c>
      <c r="D1011" s="3" t="s">
        <v>289</v>
      </c>
      <c r="E1011" s="3" t="s">
        <v>848</v>
      </c>
      <c r="F1011" s="3">
        <v>1760003.0</v>
      </c>
      <c r="G1011" s="4">
        <v>46025.0</v>
      </c>
      <c r="H1011" s="4">
        <v>46127.0</v>
      </c>
      <c r="I1011" s="3" t="s">
        <v>566</v>
      </c>
      <c r="J1011" s="3" t="s">
        <v>2734</v>
      </c>
      <c r="K1011" s="3" t="s">
        <v>2735</v>
      </c>
      <c r="L1011" s="3">
        <v>0.7201</v>
      </c>
      <c r="M1011" s="3">
        <v>18002.5</v>
      </c>
      <c r="N1011" s="3">
        <v>2.0</v>
      </c>
      <c r="O1011" s="3">
        <v>119442.0</v>
      </c>
      <c r="P1011" s="3" t="s">
        <v>2736</v>
      </c>
      <c r="Q1011" s="3">
        <v>1148127.0</v>
      </c>
      <c r="R1011" s="3"/>
      <c r="S1011" s="3">
        <v>12601.75</v>
      </c>
      <c r="T1011" s="3" t="s">
        <v>31</v>
      </c>
      <c r="U1011" s="3">
        <v>12601.75</v>
      </c>
      <c r="V1011" s="5">
        <f>(DATE(2026,2,3)-'RICE_Insured Farms_with PPI Pol'!$G1011)+IF('RICE_Insured Farms_with PPI Pol'!$H1011&lt;&gt;'RICE_Insured Farms_with PPI Pol'!$G1011,18,0)</f>
        <v>49</v>
      </c>
      <c r="W1011" s="3" t="str">
        <f t="array" ref="W1011">IFS(V1011&gt;120, "Harvested", V1011&gt;=113, "Yellow Ripening", V1011&gt;=101, "Dough Stage", V1011&gt;=93, "Milking Stage", V1011&gt;=86, "Flowering", V1011&gt;=56, "Panicle Initiation/Booting", V1011&lt;56, "Vegetative/Tillering")</f>
        <v>Vegetative/Tillering</v>
      </c>
    </row>
    <row r="1012" ht="15.75" hidden="1" customHeight="1">
      <c r="A1012" s="3">
        <v>1011.0</v>
      </c>
      <c r="B1012" s="3" t="s">
        <v>23</v>
      </c>
      <c r="C1012" s="3" t="s">
        <v>68</v>
      </c>
      <c r="D1012" s="3" t="s">
        <v>420</v>
      </c>
      <c r="E1012" s="3" t="s">
        <v>421</v>
      </c>
      <c r="F1012" s="3">
        <v>1197002.0</v>
      </c>
      <c r="G1012" s="4">
        <v>46050.0</v>
      </c>
      <c r="H1012" s="4">
        <v>46152.0</v>
      </c>
      <c r="I1012" s="3" t="s">
        <v>566</v>
      </c>
      <c r="J1012" s="3" t="s">
        <v>596</v>
      </c>
      <c r="K1012" s="3" t="s">
        <v>1085</v>
      </c>
      <c r="L1012" s="3">
        <v>0.9046</v>
      </c>
      <c r="M1012" s="3">
        <v>22615.0</v>
      </c>
      <c r="N1012" s="3">
        <v>1.0</v>
      </c>
      <c r="O1012" s="3">
        <v>16055.0</v>
      </c>
      <c r="P1012" s="3" t="s">
        <v>2737</v>
      </c>
      <c r="Q1012" s="3">
        <v>1147010.0</v>
      </c>
      <c r="R1012" s="3"/>
      <c r="S1012" s="3">
        <v>13569.0</v>
      </c>
      <c r="T1012" s="3" t="s">
        <v>62</v>
      </c>
      <c r="U1012" s="3">
        <v>13569.0</v>
      </c>
      <c r="V1012" s="5">
        <f>(DATE(2026,2,3)-'RICE_Insured Farms_with PPI Pol'!$G1012)+IF('RICE_Insured Farms_with PPI Pol'!$H1012&lt;&gt;'RICE_Insured Farms_with PPI Pol'!$G1012,18,0)</f>
        <v>24</v>
      </c>
      <c r="W1012" s="3" t="str">
        <f t="array" ref="W1012">IFS(V1012&gt;120, "Harvested", V1012&gt;=113, "Yellow Ripening", V1012&gt;=101, "Dough Stage", V1012&gt;=93, "Milking Stage", V1012&gt;=86, "Flowering", V1012&gt;=56, "Panicle Initiation/Booting", V1012&lt;56, "Vegetative/Tillering")</f>
        <v>Vegetative/Tillering</v>
      </c>
    </row>
    <row r="1013" ht="15.75" customHeight="1">
      <c r="A1013" s="3">
        <v>1012.0</v>
      </c>
      <c r="B1013" s="3" t="s">
        <v>23</v>
      </c>
      <c r="C1013" s="3" t="s">
        <v>68</v>
      </c>
      <c r="D1013" s="3" t="s">
        <v>289</v>
      </c>
      <c r="E1013" s="3" t="s">
        <v>352</v>
      </c>
      <c r="F1013" s="3">
        <v>1760044.0</v>
      </c>
      <c r="G1013" s="4">
        <v>46020.0</v>
      </c>
      <c r="H1013" s="4">
        <v>46122.0</v>
      </c>
      <c r="I1013" s="3" t="s">
        <v>1587</v>
      </c>
      <c r="J1013" s="3" t="s">
        <v>2738</v>
      </c>
      <c r="K1013" s="3" t="s">
        <v>2739</v>
      </c>
      <c r="L1013" s="3">
        <v>1.3086</v>
      </c>
      <c r="M1013" s="3">
        <v>32715.0</v>
      </c>
      <c r="N1013" s="3">
        <v>3.0</v>
      </c>
      <c r="O1013" s="3">
        <v>321424.0</v>
      </c>
      <c r="P1013" s="3" t="s">
        <v>2740</v>
      </c>
      <c r="Q1013" s="3">
        <v>1283295.0</v>
      </c>
      <c r="R1013" s="3"/>
      <c r="S1013" s="3">
        <v>26172.0</v>
      </c>
      <c r="T1013" s="3" t="s">
        <v>37</v>
      </c>
      <c r="U1013" s="3">
        <v>26172.0</v>
      </c>
      <c r="V1013" s="5">
        <f>(DATE(2026,2,3)-'RICE_Insured Farms_with PPI Pol'!$G1013)+IF('RICE_Insured Farms_with PPI Pol'!$H1013&lt;&gt;'RICE_Insured Farms_with PPI Pol'!$G1013,18,0)</f>
        <v>54</v>
      </c>
      <c r="W1013" s="3" t="str">
        <f t="array" ref="W1013">IFS(V1013&gt;120, "Harvested", V1013&gt;=113, "Yellow Ripening", V1013&gt;=101, "Dough Stage", V1013&gt;=93, "Milking Stage", V1013&gt;=86, "Flowering", V1013&gt;=56, "Panicle Initiation/Booting", V1013&lt;56, "Vegetative/Tillering")</f>
        <v>Vegetative/Tillering</v>
      </c>
    </row>
    <row r="1014" ht="15.75" customHeight="1">
      <c r="A1014" s="3">
        <v>1013.0</v>
      </c>
      <c r="B1014" s="3" t="s">
        <v>23</v>
      </c>
      <c r="C1014" s="3" t="s">
        <v>68</v>
      </c>
      <c r="D1014" s="3" t="s">
        <v>289</v>
      </c>
      <c r="E1014" s="3" t="s">
        <v>352</v>
      </c>
      <c r="F1014" s="3">
        <v>1760044.0</v>
      </c>
      <c r="G1014" s="4">
        <v>46020.0</v>
      </c>
      <c r="H1014" s="4">
        <v>46122.0</v>
      </c>
      <c r="I1014" s="3" t="s">
        <v>1587</v>
      </c>
      <c r="J1014" s="3" t="s">
        <v>2738</v>
      </c>
      <c r="K1014" s="3" t="s">
        <v>2739</v>
      </c>
      <c r="L1014" s="3">
        <v>0.1493</v>
      </c>
      <c r="M1014" s="3">
        <v>3732.5</v>
      </c>
      <c r="N1014" s="3">
        <v>3.0</v>
      </c>
      <c r="O1014" s="3">
        <v>321424.0</v>
      </c>
      <c r="P1014" s="3" t="s">
        <v>2740</v>
      </c>
      <c r="Q1014" s="3">
        <v>1283298.0</v>
      </c>
      <c r="R1014" s="3"/>
      <c r="S1014" s="3">
        <v>2986.0</v>
      </c>
      <c r="T1014" s="3" t="s">
        <v>37</v>
      </c>
      <c r="U1014" s="3">
        <v>2986.0</v>
      </c>
      <c r="V1014" s="5">
        <f>(DATE(2026,2,3)-'RICE_Insured Farms_with PPI Pol'!$G1014)+IF('RICE_Insured Farms_with PPI Pol'!$H1014&lt;&gt;'RICE_Insured Farms_with PPI Pol'!$G1014,18,0)</f>
        <v>54</v>
      </c>
      <c r="W1014" s="3" t="str">
        <f t="array" ref="W1014">IFS(V1014&gt;120, "Harvested", V1014&gt;=113, "Yellow Ripening", V1014&gt;=101, "Dough Stage", V1014&gt;=93, "Milking Stage", V1014&gt;=86, "Flowering", V1014&gt;=56, "Panicle Initiation/Booting", V1014&lt;56, "Vegetative/Tillering")</f>
        <v>Vegetative/Tillering</v>
      </c>
    </row>
    <row r="1015" ht="15.75" hidden="1" customHeight="1">
      <c r="A1015" s="3">
        <v>1014.0</v>
      </c>
      <c r="B1015" s="3" t="s">
        <v>23</v>
      </c>
      <c r="C1015" s="3" t="s">
        <v>68</v>
      </c>
      <c r="D1015" s="3" t="s">
        <v>289</v>
      </c>
      <c r="E1015" s="3" t="s">
        <v>571</v>
      </c>
      <c r="F1015" s="3">
        <v>1760010.0</v>
      </c>
      <c r="G1015" s="4">
        <v>46029.0</v>
      </c>
      <c r="H1015" s="4">
        <v>46131.0</v>
      </c>
      <c r="I1015" s="3" t="s">
        <v>1115</v>
      </c>
      <c r="J1015" s="3" t="s">
        <v>2741</v>
      </c>
      <c r="K1015" s="3" t="s">
        <v>478</v>
      </c>
      <c r="L1015" s="3">
        <v>0.5065</v>
      </c>
      <c r="M1015" s="3">
        <v>12662.5</v>
      </c>
      <c r="N1015" s="3">
        <v>2.0</v>
      </c>
      <c r="O1015" s="3">
        <v>23515.0</v>
      </c>
      <c r="P1015" s="3" t="s">
        <v>2742</v>
      </c>
      <c r="Q1015" s="3">
        <v>618278.0</v>
      </c>
      <c r="R1015" s="3"/>
      <c r="S1015" s="3">
        <v>8863.75</v>
      </c>
      <c r="T1015" s="3" t="s">
        <v>31</v>
      </c>
      <c r="U1015" s="3">
        <v>8863.75</v>
      </c>
      <c r="V1015" s="5">
        <f>(DATE(2026,2,3)-'RICE_Insured Farms_with PPI Pol'!$G1015)+IF('RICE_Insured Farms_with PPI Pol'!$H1015&lt;&gt;'RICE_Insured Farms_with PPI Pol'!$G1015,18,0)</f>
        <v>45</v>
      </c>
      <c r="W1015" s="3" t="str">
        <f t="array" ref="W1015">IFS(V1015&gt;120, "Harvested", V1015&gt;=113, "Yellow Ripening", V1015&gt;=101, "Dough Stage", V1015&gt;=93, "Milking Stage", V1015&gt;=86, "Flowering", V1015&gt;=56, "Panicle Initiation/Booting", V1015&lt;56, "Vegetative/Tillering")</f>
        <v>Vegetative/Tillering</v>
      </c>
    </row>
    <row r="1016" ht="15.75" hidden="1" customHeight="1">
      <c r="A1016" s="3">
        <v>1015.0</v>
      </c>
      <c r="B1016" s="3" t="s">
        <v>23</v>
      </c>
      <c r="C1016" s="3" t="s">
        <v>121</v>
      </c>
      <c r="D1016" s="3" t="s">
        <v>399</v>
      </c>
      <c r="E1016" s="3" t="s">
        <v>2344</v>
      </c>
      <c r="F1016" s="3">
        <v>1739692.0</v>
      </c>
      <c r="G1016" s="4">
        <v>46019.0</v>
      </c>
      <c r="H1016" s="4">
        <v>46139.0</v>
      </c>
      <c r="I1016" s="3" t="s">
        <v>1115</v>
      </c>
      <c r="J1016" s="3" t="s">
        <v>540</v>
      </c>
      <c r="K1016" s="3" t="s">
        <v>2743</v>
      </c>
      <c r="L1016" s="3">
        <v>2.0</v>
      </c>
      <c r="M1016" s="3">
        <v>50000.0</v>
      </c>
      <c r="N1016" s="3">
        <v>2.0</v>
      </c>
      <c r="O1016" s="3">
        <v>515.0</v>
      </c>
      <c r="P1016" s="3" t="s">
        <v>2744</v>
      </c>
      <c r="Q1016" s="3">
        <v>1186859.0</v>
      </c>
      <c r="R1016" s="3"/>
      <c r="S1016" s="3">
        <v>35000.0</v>
      </c>
      <c r="T1016" s="3" t="s">
        <v>31</v>
      </c>
      <c r="U1016" s="3">
        <v>35000.0</v>
      </c>
      <c r="V1016" s="5">
        <f>(DATE(2026,2,3)-'RICE_Insured Farms_with PPI Pol'!$G1016)+IF('RICE_Insured Farms_with PPI Pol'!$H1016&lt;&gt;'RICE_Insured Farms_with PPI Pol'!$G1016,18,0)</f>
        <v>55</v>
      </c>
      <c r="W1016" s="3" t="str">
        <f t="array" ref="W1016">IFS(V1016&gt;120, "Harvested", V1016&gt;=113, "Yellow Ripening", V1016&gt;=101, "Dough Stage", V1016&gt;=93, "Milking Stage", V1016&gt;=86, "Flowering", V1016&gt;=56, "Panicle Initiation/Booting", V1016&lt;56, "Vegetative/Tillering")</f>
        <v>Vegetative/Tillering</v>
      </c>
    </row>
    <row r="1017" ht="15.75" hidden="1" customHeight="1">
      <c r="A1017" s="3">
        <v>1016.0</v>
      </c>
      <c r="B1017" s="3" t="s">
        <v>23</v>
      </c>
      <c r="C1017" s="3" t="s">
        <v>68</v>
      </c>
      <c r="D1017" s="3" t="s">
        <v>289</v>
      </c>
      <c r="E1017" s="3" t="s">
        <v>743</v>
      </c>
      <c r="F1017" s="3">
        <v>1760047.0</v>
      </c>
      <c r="G1017" s="4">
        <v>46034.0</v>
      </c>
      <c r="H1017" s="4">
        <v>46136.0</v>
      </c>
      <c r="I1017" s="3" t="s">
        <v>846</v>
      </c>
      <c r="J1017" s="3" t="s">
        <v>2745</v>
      </c>
      <c r="K1017" s="3" t="s">
        <v>2746</v>
      </c>
      <c r="L1017" s="3">
        <v>0.6163</v>
      </c>
      <c r="M1017" s="3">
        <v>15407.5</v>
      </c>
      <c r="N1017" s="3">
        <v>2.0</v>
      </c>
      <c r="O1017" s="3">
        <v>82624.0</v>
      </c>
      <c r="P1017" s="3" t="s">
        <v>2747</v>
      </c>
      <c r="Q1017" s="3">
        <v>972062.0</v>
      </c>
      <c r="R1017" s="3"/>
      <c r="S1017" s="3">
        <v>10785.25</v>
      </c>
      <c r="T1017" s="3" t="s">
        <v>31</v>
      </c>
      <c r="U1017" s="3">
        <v>10785.25</v>
      </c>
      <c r="V1017" s="5">
        <f>(DATE(2026,2,3)-'RICE_Insured Farms_with PPI Pol'!$G1017)+IF('RICE_Insured Farms_with PPI Pol'!$H1017&lt;&gt;'RICE_Insured Farms_with PPI Pol'!$G1017,18,0)</f>
        <v>40</v>
      </c>
      <c r="W1017" s="3" t="str">
        <f t="array" ref="W1017">IFS(V1017&gt;120, "Harvested", V1017&gt;=113, "Yellow Ripening", V1017&gt;=101, "Dough Stage", V1017&gt;=93, "Milking Stage", V1017&gt;=86, "Flowering", V1017&gt;=56, "Panicle Initiation/Booting", V1017&lt;56, "Vegetative/Tillering")</f>
        <v>Vegetative/Tillering</v>
      </c>
    </row>
    <row r="1018" ht="15.75" hidden="1" customHeight="1">
      <c r="A1018" s="3">
        <v>1017.0</v>
      </c>
      <c r="B1018" s="3" t="s">
        <v>23</v>
      </c>
      <c r="C1018" s="3" t="s">
        <v>68</v>
      </c>
      <c r="D1018" s="3" t="s">
        <v>289</v>
      </c>
      <c r="E1018" s="3" t="s">
        <v>743</v>
      </c>
      <c r="F1018" s="3">
        <v>1760033.0</v>
      </c>
      <c r="G1018" s="4">
        <v>46033.0</v>
      </c>
      <c r="H1018" s="4">
        <v>46135.0</v>
      </c>
      <c r="I1018" s="3" t="s">
        <v>846</v>
      </c>
      <c r="J1018" s="3" t="s">
        <v>676</v>
      </c>
      <c r="K1018" s="3" t="s">
        <v>881</v>
      </c>
      <c r="L1018" s="3">
        <v>0.8742</v>
      </c>
      <c r="M1018" s="3">
        <v>21855.0</v>
      </c>
      <c r="N1018" s="3">
        <v>2.0</v>
      </c>
      <c r="O1018" s="3">
        <v>21072.0</v>
      </c>
      <c r="P1018" s="3" t="s">
        <v>2748</v>
      </c>
      <c r="Q1018" s="3">
        <v>1131828.0</v>
      </c>
      <c r="R1018" s="3"/>
      <c r="S1018" s="3">
        <v>15298.5</v>
      </c>
      <c r="T1018" s="3" t="s">
        <v>31</v>
      </c>
      <c r="U1018" s="3">
        <v>15298.5</v>
      </c>
      <c r="V1018" s="5">
        <f>(DATE(2026,2,3)-'RICE_Insured Farms_with PPI Pol'!$G1018)+IF('RICE_Insured Farms_with PPI Pol'!$H1018&lt;&gt;'RICE_Insured Farms_with PPI Pol'!$G1018,18,0)</f>
        <v>41</v>
      </c>
      <c r="W1018" s="3" t="str">
        <f t="array" ref="W1018">IFS(V1018&gt;120, "Harvested", V1018&gt;=113, "Yellow Ripening", V1018&gt;=101, "Dough Stage", V1018&gt;=93, "Milking Stage", V1018&gt;=86, "Flowering", V1018&gt;=56, "Panicle Initiation/Booting", V1018&lt;56, "Vegetative/Tillering")</f>
        <v>Vegetative/Tillering</v>
      </c>
    </row>
    <row r="1019" ht="15.75" hidden="1" customHeight="1">
      <c r="A1019" s="3">
        <v>1018.0</v>
      </c>
      <c r="B1019" s="3" t="s">
        <v>23</v>
      </c>
      <c r="C1019" s="3" t="s">
        <v>68</v>
      </c>
      <c r="D1019" s="3" t="s">
        <v>289</v>
      </c>
      <c r="E1019" s="3" t="s">
        <v>743</v>
      </c>
      <c r="F1019" s="3">
        <v>1760033.0</v>
      </c>
      <c r="G1019" s="4">
        <v>46053.0</v>
      </c>
      <c r="H1019" s="4">
        <v>46155.0</v>
      </c>
      <c r="I1019" s="3" t="s">
        <v>846</v>
      </c>
      <c r="J1019" s="3" t="s">
        <v>2749</v>
      </c>
      <c r="K1019" s="3" t="s">
        <v>1960</v>
      </c>
      <c r="L1019" s="3">
        <v>1.053</v>
      </c>
      <c r="M1019" s="3">
        <v>26325.0</v>
      </c>
      <c r="N1019" s="3">
        <v>1.0</v>
      </c>
      <c r="O1019" s="3">
        <v>526587.0</v>
      </c>
      <c r="P1019" s="3"/>
      <c r="Q1019" s="3">
        <v>1320200.0</v>
      </c>
      <c r="R1019" s="3"/>
      <c r="S1019" s="3">
        <v>15795.0</v>
      </c>
      <c r="T1019" s="3" t="s">
        <v>62</v>
      </c>
      <c r="U1019" s="3">
        <v>15795.0</v>
      </c>
      <c r="V1019" s="5">
        <f>(DATE(2026,2,3)-'RICE_Insured Farms_with PPI Pol'!$G1019)+IF('RICE_Insured Farms_with PPI Pol'!$H1019&lt;&gt;'RICE_Insured Farms_with PPI Pol'!$G1019,18,0)</f>
        <v>21</v>
      </c>
      <c r="W1019" s="3" t="str">
        <f t="array" ref="W1019">IFS(V1019&gt;120, "Harvested", V1019&gt;=113, "Yellow Ripening", V1019&gt;=101, "Dough Stage", V1019&gt;=93, "Milking Stage", V1019&gt;=86, "Flowering", V1019&gt;=56, "Panicle Initiation/Booting", V1019&lt;56, "Vegetative/Tillering")</f>
        <v>Vegetative/Tillering</v>
      </c>
    </row>
    <row r="1020" ht="15.75" hidden="1" customHeight="1">
      <c r="A1020" s="3">
        <v>1019.0</v>
      </c>
      <c r="B1020" s="3" t="s">
        <v>23</v>
      </c>
      <c r="C1020" s="3" t="s">
        <v>68</v>
      </c>
      <c r="D1020" s="3" t="s">
        <v>289</v>
      </c>
      <c r="E1020" s="3" t="s">
        <v>743</v>
      </c>
      <c r="F1020" s="3">
        <v>1760033.0</v>
      </c>
      <c r="G1020" s="4">
        <v>46035.0</v>
      </c>
      <c r="H1020" s="4">
        <v>46137.0</v>
      </c>
      <c r="I1020" s="3" t="s">
        <v>846</v>
      </c>
      <c r="J1020" s="3" t="s">
        <v>2749</v>
      </c>
      <c r="K1020" s="3" t="s">
        <v>1960</v>
      </c>
      <c r="L1020" s="3">
        <v>0.7245</v>
      </c>
      <c r="M1020" s="3">
        <v>18112.5</v>
      </c>
      <c r="N1020" s="3">
        <v>2.0</v>
      </c>
      <c r="O1020" s="3">
        <v>526587.0</v>
      </c>
      <c r="P1020" s="3"/>
      <c r="Q1020" s="3">
        <v>1320203.0</v>
      </c>
      <c r="R1020" s="3"/>
      <c r="S1020" s="3">
        <v>12678.75</v>
      </c>
      <c r="T1020" s="3" t="s">
        <v>31</v>
      </c>
      <c r="U1020" s="3">
        <v>12678.75</v>
      </c>
      <c r="V1020" s="5">
        <f>(DATE(2026,2,3)-'RICE_Insured Farms_with PPI Pol'!$G1020)+IF('RICE_Insured Farms_with PPI Pol'!$H1020&lt;&gt;'RICE_Insured Farms_with PPI Pol'!$G1020,18,0)</f>
        <v>39</v>
      </c>
      <c r="W1020" s="3" t="str">
        <f t="array" ref="W1020">IFS(V1020&gt;120, "Harvested", V1020&gt;=113, "Yellow Ripening", V1020&gt;=101, "Dough Stage", V1020&gt;=93, "Milking Stage", V1020&gt;=86, "Flowering", V1020&gt;=56, "Panicle Initiation/Booting", V1020&lt;56, "Vegetative/Tillering")</f>
        <v>Vegetative/Tillering</v>
      </c>
    </row>
    <row r="1021" ht="15.75" hidden="1" customHeight="1">
      <c r="A1021" s="3">
        <v>1020.0</v>
      </c>
      <c r="B1021" s="3" t="s">
        <v>23</v>
      </c>
      <c r="C1021" s="3" t="s">
        <v>121</v>
      </c>
      <c r="D1021" s="3" t="s">
        <v>1492</v>
      </c>
      <c r="E1021" s="3" t="s">
        <v>1493</v>
      </c>
      <c r="F1021" s="3">
        <v>1740649.0</v>
      </c>
      <c r="G1021" s="4">
        <v>46031.0</v>
      </c>
      <c r="H1021" s="4">
        <v>46151.0</v>
      </c>
      <c r="I1021" s="3" t="s">
        <v>2750</v>
      </c>
      <c r="J1021" s="3" t="s">
        <v>2751</v>
      </c>
      <c r="K1021" s="3" t="s">
        <v>968</v>
      </c>
      <c r="L1021" s="3">
        <v>0.9988</v>
      </c>
      <c r="M1021" s="3">
        <v>24970.0</v>
      </c>
      <c r="N1021" s="3">
        <v>1.0</v>
      </c>
      <c r="O1021" s="3">
        <v>18642.0</v>
      </c>
      <c r="P1021" s="3" t="s">
        <v>2752</v>
      </c>
      <c r="Q1021" s="3">
        <v>1225529.0</v>
      </c>
      <c r="R1021" s="3"/>
      <c r="S1021" s="3">
        <v>14982.0</v>
      </c>
      <c r="T1021" s="3" t="s">
        <v>62</v>
      </c>
      <c r="U1021" s="3">
        <v>14982.0</v>
      </c>
      <c r="V1021" s="5">
        <f>(DATE(2026,2,3)-'RICE_Insured Farms_with PPI Pol'!$G1021)+IF('RICE_Insured Farms_with PPI Pol'!$H1021&lt;&gt;'RICE_Insured Farms_with PPI Pol'!$G1021,18,0)</f>
        <v>43</v>
      </c>
      <c r="W1021" s="3" t="str">
        <f t="array" ref="W1021">IFS(V1021&gt;120, "Harvested", V1021&gt;=113, "Yellow Ripening", V1021&gt;=101, "Dough Stage", V1021&gt;=93, "Milking Stage", V1021&gt;=86, "Flowering", V1021&gt;=56, "Panicle Initiation/Booting", V1021&lt;56, "Vegetative/Tillering")</f>
        <v>Vegetative/Tillering</v>
      </c>
    </row>
    <row r="1022" ht="15.75" customHeight="1">
      <c r="A1022" s="3">
        <v>1021.0</v>
      </c>
      <c r="B1022" s="3" t="s">
        <v>23</v>
      </c>
      <c r="C1022" s="3" t="s">
        <v>68</v>
      </c>
      <c r="D1022" s="3" t="s">
        <v>289</v>
      </c>
      <c r="E1022" s="3" t="s">
        <v>1535</v>
      </c>
      <c r="F1022" s="3">
        <v>1760015.0</v>
      </c>
      <c r="G1022" s="4">
        <v>46019.0</v>
      </c>
      <c r="H1022" s="4">
        <v>46121.0</v>
      </c>
      <c r="I1022" s="3" t="s">
        <v>2753</v>
      </c>
      <c r="J1022" s="3" t="s">
        <v>2754</v>
      </c>
      <c r="K1022" s="3" t="s">
        <v>1964</v>
      </c>
      <c r="L1022" s="3">
        <v>0.6162</v>
      </c>
      <c r="M1022" s="3">
        <v>15405.0</v>
      </c>
      <c r="N1022" s="3">
        <v>3.0</v>
      </c>
      <c r="O1022" s="3">
        <v>204548.0</v>
      </c>
      <c r="P1022" s="3" t="s">
        <v>2755</v>
      </c>
      <c r="Q1022" s="3">
        <v>1024436.0</v>
      </c>
      <c r="R1022" s="3"/>
      <c r="S1022" s="3">
        <v>12324.0</v>
      </c>
      <c r="T1022" s="3" t="s">
        <v>37</v>
      </c>
      <c r="U1022" s="3">
        <v>12324.0</v>
      </c>
      <c r="V1022" s="5">
        <f>(DATE(2026,2,3)-'RICE_Insured Farms_with PPI Pol'!$G1022)+IF('RICE_Insured Farms_with PPI Pol'!$H1022&lt;&gt;'RICE_Insured Farms_with PPI Pol'!$G1022,18,0)</f>
        <v>55</v>
      </c>
      <c r="W1022" s="3" t="str">
        <f t="array" ref="W1022">IFS(V1022&gt;120, "Harvested", V1022&gt;=113, "Yellow Ripening", V1022&gt;=101, "Dough Stage", V1022&gt;=93, "Milking Stage", V1022&gt;=86, "Flowering", V1022&gt;=56, "Panicle Initiation/Booting", V1022&lt;56, "Vegetative/Tillering")</f>
        <v>Vegetative/Tillering</v>
      </c>
    </row>
    <row r="1023" ht="15.75" customHeight="1">
      <c r="A1023" s="3">
        <v>1022.0</v>
      </c>
      <c r="B1023" s="3" t="s">
        <v>23</v>
      </c>
      <c r="C1023" s="3" t="s">
        <v>68</v>
      </c>
      <c r="D1023" s="3" t="s">
        <v>69</v>
      </c>
      <c r="E1023" s="3" t="s">
        <v>131</v>
      </c>
      <c r="F1023" s="3">
        <v>1739645.0</v>
      </c>
      <c r="G1023" s="4">
        <v>46013.0</v>
      </c>
      <c r="H1023" s="4">
        <v>46115.0</v>
      </c>
      <c r="I1023" s="3" t="s">
        <v>2756</v>
      </c>
      <c r="J1023" s="3" t="s">
        <v>2757</v>
      </c>
      <c r="K1023" s="3" t="s">
        <v>647</v>
      </c>
      <c r="L1023" s="3">
        <v>1.2253</v>
      </c>
      <c r="M1023" s="3">
        <v>30632.5</v>
      </c>
      <c r="N1023" s="3">
        <v>3.0</v>
      </c>
      <c r="O1023" s="3">
        <v>436188.0</v>
      </c>
      <c r="P1023" s="3" t="s">
        <v>2758</v>
      </c>
      <c r="Q1023" s="3">
        <v>1137022.0</v>
      </c>
      <c r="R1023" s="3"/>
      <c r="S1023" s="3">
        <v>24506.0</v>
      </c>
      <c r="T1023" s="3" t="s">
        <v>37</v>
      </c>
      <c r="U1023" s="3">
        <v>24506.0</v>
      </c>
      <c r="V1023" s="5">
        <f>(DATE(2026,2,3)-'RICE_Insured Farms_with PPI Pol'!$G1023)+IF('RICE_Insured Farms_with PPI Pol'!$H1023&lt;&gt;'RICE_Insured Farms_with PPI Pol'!$G1023,18,0)</f>
        <v>61</v>
      </c>
      <c r="W1023" s="3" t="str">
        <f t="array" ref="W1023">IFS(V1023&gt;120, "Harvested", V1023&gt;=113, "Yellow Ripening", V1023&gt;=101, "Dough Stage", V1023&gt;=93, "Milking Stage", V1023&gt;=86, "Flowering", V1023&gt;=56, "Panicle Initiation/Booting", V1023&lt;56, "Vegetative/Tillering")</f>
        <v>Panicle Initiation/Booting</v>
      </c>
    </row>
    <row r="1024" ht="15.75" hidden="1" customHeight="1">
      <c r="A1024" s="3">
        <v>1023.0</v>
      </c>
      <c r="B1024" s="3" t="s">
        <v>23</v>
      </c>
      <c r="C1024" s="3" t="s">
        <v>121</v>
      </c>
      <c r="D1024" s="3" t="s">
        <v>1492</v>
      </c>
      <c r="E1024" s="3" t="s">
        <v>1493</v>
      </c>
      <c r="F1024" s="3">
        <v>1740661.0</v>
      </c>
      <c r="G1024" s="4">
        <v>46033.0</v>
      </c>
      <c r="H1024" s="4">
        <v>46153.0</v>
      </c>
      <c r="I1024" s="3" t="s">
        <v>96</v>
      </c>
      <c r="J1024" s="3" t="s">
        <v>1433</v>
      </c>
      <c r="K1024" s="3" t="s">
        <v>2759</v>
      </c>
      <c r="L1024" s="3">
        <v>3.0</v>
      </c>
      <c r="M1024" s="3">
        <v>75000.0</v>
      </c>
      <c r="N1024" s="3">
        <v>1.0</v>
      </c>
      <c r="O1024" s="3">
        <v>18606.0</v>
      </c>
      <c r="P1024" s="3" t="s">
        <v>2760</v>
      </c>
      <c r="Q1024" s="3">
        <v>1226036.0</v>
      </c>
      <c r="R1024" s="3"/>
      <c r="S1024" s="3">
        <v>45000.0</v>
      </c>
      <c r="T1024" s="3" t="s">
        <v>62</v>
      </c>
      <c r="U1024" s="3">
        <v>45000.0</v>
      </c>
      <c r="V1024" s="5">
        <f>(DATE(2026,2,3)-'RICE_Insured Farms_with PPI Pol'!$G1024)+IF('RICE_Insured Farms_with PPI Pol'!$H1024&lt;&gt;'RICE_Insured Farms_with PPI Pol'!$G1024,18,0)</f>
        <v>41</v>
      </c>
      <c r="W1024" s="3" t="str">
        <f t="array" ref="W1024">IFS(V1024&gt;120, "Harvested", V1024&gt;=113, "Yellow Ripening", V1024&gt;=101, "Dough Stage", V1024&gt;=93, "Milking Stage", V1024&gt;=86, "Flowering", V1024&gt;=56, "Panicle Initiation/Booting", V1024&lt;56, "Vegetative/Tillering")</f>
        <v>Vegetative/Tillering</v>
      </c>
    </row>
    <row r="1025" ht="15.75" customHeight="1">
      <c r="A1025" s="3">
        <v>1024.0</v>
      </c>
      <c r="B1025" s="3" t="s">
        <v>23</v>
      </c>
      <c r="C1025" s="3" t="s">
        <v>68</v>
      </c>
      <c r="D1025" s="3" t="s">
        <v>69</v>
      </c>
      <c r="E1025" s="3" t="s">
        <v>184</v>
      </c>
      <c r="F1025" s="3">
        <v>1739644.0</v>
      </c>
      <c r="G1025" s="4">
        <v>46018.0</v>
      </c>
      <c r="H1025" s="4">
        <v>46120.0</v>
      </c>
      <c r="I1025" s="3" t="s">
        <v>2761</v>
      </c>
      <c r="J1025" s="3" t="s">
        <v>2762</v>
      </c>
      <c r="K1025" s="3" t="s">
        <v>2763</v>
      </c>
      <c r="L1025" s="3">
        <v>0.2346</v>
      </c>
      <c r="M1025" s="3">
        <v>5865.0</v>
      </c>
      <c r="N1025" s="3">
        <v>3.0</v>
      </c>
      <c r="O1025" s="3">
        <v>187723.0</v>
      </c>
      <c r="P1025" s="3" t="s">
        <v>2764</v>
      </c>
      <c r="Q1025" s="3">
        <v>1137845.0</v>
      </c>
      <c r="R1025" s="3"/>
      <c r="S1025" s="3">
        <v>4692.0</v>
      </c>
      <c r="T1025" s="3" t="s">
        <v>37</v>
      </c>
      <c r="U1025" s="3">
        <v>4692.0</v>
      </c>
      <c r="V1025" s="5">
        <f>(DATE(2026,2,3)-'RICE_Insured Farms_with PPI Pol'!$G1025)+IF('RICE_Insured Farms_with PPI Pol'!$H1025&lt;&gt;'RICE_Insured Farms_with PPI Pol'!$G1025,18,0)</f>
        <v>56</v>
      </c>
      <c r="W1025" s="3" t="str">
        <f t="array" ref="W1025">IFS(V1025&gt;120, "Harvested", V1025&gt;=113, "Yellow Ripening", V1025&gt;=101, "Dough Stage", V1025&gt;=93, "Milking Stage", V1025&gt;=86, "Flowering", V1025&gt;=56, "Panicle Initiation/Booting", V1025&lt;56, "Vegetative/Tillering")</f>
        <v>Panicle Initiation/Booting</v>
      </c>
    </row>
    <row r="1026" ht="15.75" customHeight="1">
      <c r="A1026" s="3">
        <v>1025.0</v>
      </c>
      <c r="B1026" s="3" t="s">
        <v>23</v>
      </c>
      <c r="C1026" s="3" t="s">
        <v>50</v>
      </c>
      <c r="D1026" s="3" t="s">
        <v>51</v>
      </c>
      <c r="E1026" s="3" t="s">
        <v>321</v>
      </c>
      <c r="F1026" s="3">
        <v>1741851.0</v>
      </c>
      <c r="G1026" s="4">
        <v>46031.0</v>
      </c>
      <c r="H1026" s="4">
        <v>46126.0</v>
      </c>
      <c r="I1026" s="3" t="s">
        <v>1502</v>
      </c>
      <c r="J1026" s="3" t="s">
        <v>2765</v>
      </c>
      <c r="K1026" s="3" t="s">
        <v>2766</v>
      </c>
      <c r="L1026" s="3">
        <v>0.2428</v>
      </c>
      <c r="M1026" s="3">
        <v>6070.0</v>
      </c>
      <c r="N1026" s="3">
        <v>3.0</v>
      </c>
      <c r="O1026" s="3">
        <v>404940.0</v>
      </c>
      <c r="P1026" s="3"/>
      <c r="Q1026" s="3">
        <v>1280254.0</v>
      </c>
      <c r="R1026" s="3"/>
      <c r="S1026" s="3">
        <v>4856.0</v>
      </c>
      <c r="T1026" s="3" t="s">
        <v>37</v>
      </c>
      <c r="U1026" s="3">
        <v>4856.0</v>
      </c>
      <c r="V1026" s="5">
        <f>(DATE(2026,2,3)-'RICE_Insured Farms_with PPI Pol'!$G1026)+IF('RICE_Insured Farms_with PPI Pol'!$H1026&lt;&gt;'RICE_Insured Farms_with PPI Pol'!$G1026,18,0)</f>
        <v>43</v>
      </c>
      <c r="W1026" s="3" t="str">
        <f t="array" ref="W1026">IFS(V1026&gt;120, "Harvested", V1026&gt;=113, "Yellow Ripening", V1026&gt;=101, "Dough Stage", V1026&gt;=93, "Milking Stage", V1026&gt;=86, "Flowering", V1026&gt;=56, "Panicle Initiation/Booting", V1026&lt;56, "Vegetative/Tillering")</f>
        <v>Vegetative/Tillering</v>
      </c>
    </row>
    <row r="1027" ht="15.75" hidden="1" customHeight="1">
      <c r="A1027" s="3">
        <v>1026.0</v>
      </c>
      <c r="B1027" s="3" t="s">
        <v>23</v>
      </c>
      <c r="C1027" s="3" t="s">
        <v>68</v>
      </c>
      <c r="D1027" s="3" t="s">
        <v>1208</v>
      </c>
      <c r="E1027" s="3" t="s">
        <v>2767</v>
      </c>
      <c r="F1027" s="3">
        <v>1742123.0</v>
      </c>
      <c r="G1027" s="4">
        <v>46068.0</v>
      </c>
      <c r="H1027" s="4">
        <v>46170.0</v>
      </c>
      <c r="I1027" s="3" t="s">
        <v>2768</v>
      </c>
      <c r="J1027" s="3" t="s">
        <v>2769</v>
      </c>
      <c r="K1027" s="3" t="s">
        <v>2770</v>
      </c>
      <c r="L1027" s="3">
        <v>0.2991</v>
      </c>
      <c r="M1027" s="3">
        <v>7477.5</v>
      </c>
      <c r="N1027" s="3">
        <v>0.0</v>
      </c>
      <c r="O1027" s="3">
        <v>397174.0</v>
      </c>
      <c r="P1027" s="3"/>
      <c r="Q1027" s="3">
        <v>1220822.0</v>
      </c>
      <c r="R1027" s="3"/>
      <c r="S1027" s="3">
        <v>4486.5</v>
      </c>
      <c r="T1027" s="3" t="s">
        <v>191</v>
      </c>
      <c r="U1027" s="3">
        <v>4486.5</v>
      </c>
      <c r="V1027" s="5">
        <f>(DATE(2026,2,3)-'RICE_Insured Farms_with PPI Pol'!$G1027)+IF('RICE_Insured Farms_with PPI Pol'!$H1027&lt;&gt;'RICE_Insured Farms_with PPI Pol'!$G1027,18,0)</f>
        <v>6</v>
      </c>
      <c r="W1027" s="3" t="str">
        <f t="array" ref="W1027">IFS(V1027&gt;120, "Harvested", V1027&gt;=113, "Yellow Ripening", V1027&gt;=101, "Dough Stage", V1027&gt;=93, "Milking Stage", V1027&gt;=86, "Flowering", V1027&gt;=56, "Panicle Initiation/Booting", V1027&lt;56, "Vegetative/Tillering")</f>
        <v>Vegetative/Tillering</v>
      </c>
    </row>
    <row r="1028" ht="15.75" hidden="1" customHeight="1">
      <c r="A1028" s="3">
        <v>1027.0</v>
      </c>
      <c r="B1028" s="3" t="s">
        <v>23</v>
      </c>
      <c r="C1028" s="3" t="s">
        <v>68</v>
      </c>
      <c r="D1028" s="3" t="s">
        <v>1208</v>
      </c>
      <c r="E1028" s="3" t="s">
        <v>2767</v>
      </c>
      <c r="F1028" s="3">
        <v>1742123.0</v>
      </c>
      <c r="G1028" s="4">
        <v>46068.0</v>
      </c>
      <c r="H1028" s="4">
        <v>46170.0</v>
      </c>
      <c r="I1028" s="3" t="s">
        <v>2768</v>
      </c>
      <c r="J1028" s="3" t="s">
        <v>2769</v>
      </c>
      <c r="K1028" s="3" t="s">
        <v>2770</v>
      </c>
      <c r="L1028" s="3">
        <v>0.396</v>
      </c>
      <c r="M1028" s="3">
        <v>9900.0</v>
      </c>
      <c r="N1028" s="3">
        <v>0.0</v>
      </c>
      <c r="O1028" s="3">
        <v>397174.0</v>
      </c>
      <c r="P1028" s="3"/>
      <c r="Q1028" s="3">
        <v>1287663.0</v>
      </c>
      <c r="R1028" s="3"/>
      <c r="S1028" s="3">
        <v>5940.0</v>
      </c>
      <c r="T1028" s="3" t="s">
        <v>191</v>
      </c>
      <c r="U1028" s="3">
        <v>5940.0</v>
      </c>
      <c r="V1028" s="5">
        <f>(DATE(2026,2,3)-'RICE_Insured Farms_with PPI Pol'!$G1028)+IF('RICE_Insured Farms_with PPI Pol'!$H1028&lt;&gt;'RICE_Insured Farms_with PPI Pol'!$G1028,18,0)</f>
        <v>6</v>
      </c>
      <c r="W1028" s="3" t="str">
        <f t="array" ref="W1028">IFS(V1028&gt;120, "Harvested", V1028&gt;=113, "Yellow Ripening", V1028&gt;=101, "Dough Stage", V1028&gt;=93, "Milking Stage", V1028&gt;=86, "Flowering", V1028&gt;=56, "Panicle Initiation/Booting", V1028&lt;56, "Vegetative/Tillering")</f>
        <v>Vegetative/Tillering</v>
      </c>
    </row>
    <row r="1029" ht="15.75" hidden="1" customHeight="1">
      <c r="A1029" s="3">
        <v>1028.0</v>
      </c>
      <c r="B1029" s="3" t="s">
        <v>23</v>
      </c>
      <c r="C1029" s="3" t="s">
        <v>1453</v>
      </c>
      <c r="D1029" s="3" t="s">
        <v>1454</v>
      </c>
      <c r="E1029" s="3" t="s">
        <v>1246</v>
      </c>
      <c r="F1029" s="3">
        <v>1742047.0</v>
      </c>
      <c r="G1029" s="4">
        <v>46053.0</v>
      </c>
      <c r="H1029" s="4">
        <v>46155.0</v>
      </c>
      <c r="I1029" s="3" t="s">
        <v>2771</v>
      </c>
      <c r="J1029" s="3" t="s">
        <v>2772</v>
      </c>
      <c r="K1029" s="3" t="s">
        <v>1717</v>
      </c>
      <c r="L1029" s="3">
        <v>0.4256</v>
      </c>
      <c r="M1029" s="3">
        <v>10640.0</v>
      </c>
      <c r="N1029" s="3">
        <v>1.0</v>
      </c>
      <c r="O1029" s="3">
        <v>389877.0</v>
      </c>
      <c r="P1029" s="3" t="s">
        <v>2773</v>
      </c>
      <c r="Q1029" s="3">
        <v>1189318.0</v>
      </c>
      <c r="R1029" s="3"/>
      <c r="S1029" s="3">
        <v>6384.0</v>
      </c>
      <c r="T1029" s="3" t="s">
        <v>62</v>
      </c>
      <c r="U1029" s="3">
        <v>6384.0</v>
      </c>
      <c r="V1029" s="5">
        <f>(DATE(2026,2,3)-'RICE_Insured Farms_with PPI Pol'!$G1029)+IF('RICE_Insured Farms_with PPI Pol'!$H1029&lt;&gt;'RICE_Insured Farms_with PPI Pol'!$G1029,18,0)</f>
        <v>21</v>
      </c>
      <c r="W1029" s="3" t="str">
        <f t="array" ref="W1029">IFS(V1029&gt;120, "Harvested", V1029&gt;=113, "Yellow Ripening", V1029&gt;=101, "Dough Stage", V1029&gt;=93, "Milking Stage", V1029&gt;=86, "Flowering", V1029&gt;=56, "Panicle Initiation/Booting", V1029&lt;56, "Vegetative/Tillering")</f>
        <v>Vegetative/Tillering</v>
      </c>
    </row>
    <row r="1030" ht="15.75" hidden="1" customHeight="1">
      <c r="A1030" s="3">
        <v>1029.0</v>
      </c>
      <c r="B1030" s="3" t="s">
        <v>23</v>
      </c>
      <c r="C1030" s="3" t="s">
        <v>68</v>
      </c>
      <c r="D1030" s="3" t="s">
        <v>289</v>
      </c>
      <c r="E1030" s="3" t="s">
        <v>290</v>
      </c>
      <c r="F1030" s="3">
        <v>1760034.0</v>
      </c>
      <c r="G1030" s="4">
        <v>46030.0</v>
      </c>
      <c r="H1030" s="4">
        <v>46132.0</v>
      </c>
      <c r="I1030" s="3" t="s">
        <v>526</v>
      </c>
      <c r="J1030" s="3" t="s">
        <v>2774</v>
      </c>
      <c r="K1030" s="3" t="s">
        <v>291</v>
      </c>
      <c r="L1030" s="3">
        <v>0.9232</v>
      </c>
      <c r="M1030" s="3">
        <v>23080.0</v>
      </c>
      <c r="N1030" s="3">
        <v>2.0</v>
      </c>
      <c r="O1030" s="3">
        <v>299018.0</v>
      </c>
      <c r="P1030" s="3" t="s">
        <v>2775</v>
      </c>
      <c r="Q1030" s="3">
        <v>1151495.0</v>
      </c>
      <c r="R1030" s="3"/>
      <c r="S1030" s="3">
        <v>16156.0</v>
      </c>
      <c r="T1030" s="3" t="s">
        <v>31</v>
      </c>
      <c r="U1030" s="3">
        <v>16156.0</v>
      </c>
      <c r="V1030" s="5">
        <f>(DATE(2026,2,3)-'RICE_Insured Farms_with PPI Pol'!$G1030)+IF('RICE_Insured Farms_with PPI Pol'!$H1030&lt;&gt;'RICE_Insured Farms_with PPI Pol'!$G1030,18,0)</f>
        <v>44</v>
      </c>
      <c r="W1030" s="3" t="str">
        <f t="array" ref="W1030">IFS(V1030&gt;120, "Harvested", V1030&gt;=113, "Yellow Ripening", V1030&gt;=101, "Dough Stage", V1030&gt;=93, "Milking Stage", V1030&gt;=86, "Flowering", V1030&gt;=56, "Panicle Initiation/Booting", V1030&lt;56, "Vegetative/Tillering")</f>
        <v>Vegetative/Tillering</v>
      </c>
    </row>
    <row r="1031" ht="15.75" hidden="1" customHeight="1">
      <c r="A1031" s="3">
        <v>1030.0</v>
      </c>
      <c r="B1031" s="3" t="s">
        <v>23</v>
      </c>
      <c r="C1031" s="3" t="s">
        <v>68</v>
      </c>
      <c r="D1031" s="3" t="s">
        <v>289</v>
      </c>
      <c r="E1031" s="3" t="s">
        <v>290</v>
      </c>
      <c r="F1031" s="3">
        <v>1760046.0</v>
      </c>
      <c r="G1031" s="4">
        <v>46035.0</v>
      </c>
      <c r="H1031" s="4">
        <v>46137.0</v>
      </c>
      <c r="I1031" s="3" t="s">
        <v>526</v>
      </c>
      <c r="J1031" s="3" t="s">
        <v>162</v>
      </c>
      <c r="K1031" s="3" t="s">
        <v>1758</v>
      </c>
      <c r="L1031" s="3">
        <v>0.8075</v>
      </c>
      <c r="M1031" s="3">
        <v>20187.5</v>
      </c>
      <c r="N1031" s="3">
        <v>2.0</v>
      </c>
      <c r="O1031" s="3">
        <v>195091.0</v>
      </c>
      <c r="P1031" s="3" t="s">
        <v>2776</v>
      </c>
      <c r="Q1031" s="3">
        <v>1283787.0</v>
      </c>
      <c r="R1031" s="3"/>
      <c r="S1031" s="3">
        <v>14131.25</v>
      </c>
      <c r="T1031" s="3" t="s">
        <v>31</v>
      </c>
      <c r="U1031" s="3">
        <v>14131.25</v>
      </c>
      <c r="V1031" s="5">
        <f>(DATE(2026,2,3)-'RICE_Insured Farms_with PPI Pol'!$G1031)+IF('RICE_Insured Farms_with PPI Pol'!$H1031&lt;&gt;'RICE_Insured Farms_with PPI Pol'!$G1031,18,0)</f>
        <v>39</v>
      </c>
      <c r="W1031" s="3" t="str">
        <f t="array" ref="W1031">IFS(V1031&gt;120, "Harvested", V1031&gt;=113, "Yellow Ripening", V1031&gt;=101, "Dough Stage", V1031&gt;=93, "Milking Stage", V1031&gt;=86, "Flowering", V1031&gt;=56, "Panicle Initiation/Booting", V1031&lt;56, "Vegetative/Tillering")</f>
        <v>Vegetative/Tillering</v>
      </c>
    </row>
    <row r="1032" ht="15.75" hidden="1" customHeight="1">
      <c r="A1032" s="3">
        <v>1031.0</v>
      </c>
      <c r="B1032" s="3" t="s">
        <v>23</v>
      </c>
      <c r="C1032" s="3" t="s">
        <v>68</v>
      </c>
      <c r="D1032" s="3" t="s">
        <v>289</v>
      </c>
      <c r="E1032" s="3" t="s">
        <v>290</v>
      </c>
      <c r="F1032" s="3">
        <v>1760046.0</v>
      </c>
      <c r="G1032" s="4">
        <v>46035.0</v>
      </c>
      <c r="H1032" s="4">
        <v>46137.0</v>
      </c>
      <c r="I1032" s="3" t="s">
        <v>526</v>
      </c>
      <c r="J1032" s="3" t="s">
        <v>162</v>
      </c>
      <c r="K1032" s="3" t="s">
        <v>1758</v>
      </c>
      <c r="L1032" s="3">
        <v>0.5207</v>
      </c>
      <c r="M1032" s="3">
        <v>13017.5</v>
      </c>
      <c r="N1032" s="3">
        <v>2.0</v>
      </c>
      <c r="O1032" s="3">
        <v>195091.0</v>
      </c>
      <c r="P1032" s="3" t="s">
        <v>2776</v>
      </c>
      <c r="Q1032" s="3">
        <v>1283788.0</v>
      </c>
      <c r="R1032" s="3"/>
      <c r="S1032" s="3">
        <v>9112.25</v>
      </c>
      <c r="T1032" s="3" t="s">
        <v>31</v>
      </c>
      <c r="U1032" s="3">
        <v>9112.25</v>
      </c>
      <c r="V1032" s="5">
        <f>(DATE(2026,2,3)-'RICE_Insured Farms_with PPI Pol'!$G1032)+IF('RICE_Insured Farms_with PPI Pol'!$H1032&lt;&gt;'RICE_Insured Farms_with PPI Pol'!$G1032,18,0)</f>
        <v>39</v>
      </c>
      <c r="W1032" s="3" t="str">
        <f t="array" ref="W1032">IFS(V1032&gt;120, "Harvested", V1032&gt;=113, "Yellow Ripening", V1032&gt;=101, "Dough Stage", V1032&gt;=93, "Milking Stage", V1032&gt;=86, "Flowering", V1032&gt;=56, "Panicle Initiation/Booting", V1032&lt;56, "Vegetative/Tillering")</f>
        <v>Vegetative/Tillering</v>
      </c>
    </row>
    <row r="1033" ht="15.75" hidden="1" customHeight="1">
      <c r="A1033" s="3">
        <v>1032.0</v>
      </c>
      <c r="B1033" s="3" t="s">
        <v>23</v>
      </c>
      <c r="C1033" s="3" t="s">
        <v>68</v>
      </c>
      <c r="D1033" s="3" t="s">
        <v>289</v>
      </c>
      <c r="E1033" s="3" t="s">
        <v>507</v>
      </c>
      <c r="F1033" s="3">
        <v>1760034.0</v>
      </c>
      <c r="G1033" s="4">
        <v>46026.0</v>
      </c>
      <c r="H1033" s="4">
        <v>46128.0</v>
      </c>
      <c r="I1033" s="3" t="s">
        <v>526</v>
      </c>
      <c r="J1033" s="3" t="s">
        <v>2777</v>
      </c>
      <c r="K1033" s="3" t="s">
        <v>2778</v>
      </c>
      <c r="L1033" s="3">
        <v>0.7831</v>
      </c>
      <c r="M1033" s="3">
        <v>19577.5</v>
      </c>
      <c r="N1033" s="3">
        <v>2.0</v>
      </c>
      <c r="O1033" s="3">
        <v>333746.0</v>
      </c>
      <c r="P1033" s="3" t="s">
        <v>2779</v>
      </c>
      <c r="Q1033" s="3">
        <v>974006.0</v>
      </c>
      <c r="R1033" s="3"/>
      <c r="S1033" s="3">
        <v>13704.25</v>
      </c>
      <c r="T1033" s="3" t="s">
        <v>31</v>
      </c>
      <c r="U1033" s="3">
        <v>13704.25</v>
      </c>
      <c r="V1033" s="5">
        <f>(DATE(2026,2,3)-'RICE_Insured Farms_with PPI Pol'!$G1033)+IF('RICE_Insured Farms_with PPI Pol'!$H1033&lt;&gt;'RICE_Insured Farms_with PPI Pol'!$G1033,18,0)</f>
        <v>48</v>
      </c>
      <c r="W1033" s="3" t="str">
        <f t="array" ref="W1033">IFS(V1033&gt;120, "Harvested", V1033&gt;=113, "Yellow Ripening", V1033&gt;=101, "Dough Stage", V1033&gt;=93, "Milking Stage", V1033&gt;=86, "Flowering", V1033&gt;=56, "Panicle Initiation/Booting", V1033&lt;56, "Vegetative/Tillering")</f>
        <v>Vegetative/Tillering</v>
      </c>
    </row>
    <row r="1034" ht="15.75" hidden="1" customHeight="1">
      <c r="A1034" s="3">
        <v>1033.0</v>
      </c>
      <c r="B1034" s="3" t="s">
        <v>23</v>
      </c>
      <c r="C1034" s="3" t="s">
        <v>68</v>
      </c>
      <c r="D1034" s="3" t="s">
        <v>289</v>
      </c>
      <c r="E1034" s="3" t="s">
        <v>743</v>
      </c>
      <c r="F1034" s="3">
        <v>1760036.0</v>
      </c>
      <c r="G1034" s="4">
        <v>46032.0</v>
      </c>
      <c r="H1034" s="4">
        <v>46134.0</v>
      </c>
      <c r="I1034" s="3" t="s">
        <v>526</v>
      </c>
      <c r="J1034" s="3" t="s">
        <v>1690</v>
      </c>
      <c r="K1034" s="3" t="s">
        <v>2060</v>
      </c>
      <c r="L1034" s="3">
        <v>0.1224</v>
      </c>
      <c r="M1034" s="3">
        <v>3060.0</v>
      </c>
      <c r="N1034" s="3">
        <v>2.0</v>
      </c>
      <c r="O1034" s="3">
        <v>159614.0</v>
      </c>
      <c r="P1034" s="3" t="s">
        <v>2780</v>
      </c>
      <c r="Q1034" s="3">
        <v>1136382.0</v>
      </c>
      <c r="R1034" s="3"/>
      <c r="S1034" s="3">
        <v>2142.0</v>
      </c>
      <c r="T1034" s="3" t="s">
        <v>31</v>
      </c>
      <c r="U1034" s="3">
        <v>2142.0</v>
      </c>
      <c r="V1034" s="5">
        <f>(DATE(2026,2,3)-'RICE_Insured Farms_with PPI Pol'!$G1034)+IF('RICE_Insured Farms_with PPI Pol'!$H1034&lt;&gt;'RICE_Insured Farms_with PPI Pol'!$G1034,18,0)</f>
        <v>42</v>
      </c>
      <c r="W1034" s="3" t="str">
        <f t="array" ref="W1034">IFS(V1034&gt;120, "Harvested", V1034&gt;=113, "Yellow Ripening", V1034&gt;=101, "Dough Stage", V1034&gt;=93, "Milking Stage", V1034&gt;=86, "Flowering", V1034&gt;=56, "Panicle Initiation/Booting", V1034&lt;56, "Vegetative/Tillering")</f>
        <v>Vegetative/Tillering</v>
      </c>
    </row>
    <row r="1035" ht="15.75" hidden="1" customHeight="1">
      <c r="A1035" s="3">
        <v>1034.0</v>
      </c>
      <c r="B1035" s="3" t="s">
        <v>23</v>
      </c>
      <c r="C1035" s="3" t="s">
        <v>68</v>
      </c>
      <c r="D1035" s="3" t="s">
        <v>289</v>
      </c>
      <c r="E1035" s="3" t="s">
        <v>743</v>
      </c>
      <c r="F1035" s="3">
        <v>1760033.0</v>
      </c>
      <c r="G1035" s="4">
        <v>46032.0</v>
      </c>
      <c r="H1035" s="4">
        <v>46134.0</v>
      </c>
      <c r="I1035" s="3" t="s">
        <v>526</v>
      </c>
      <c r="J1035" s="3" t="s">
        <v>2781</v>
      </c>
      <c r="K1035" s="3" t="s">
        <v>2782</v>
      </c>
      <c r="L1035" s="3">
        <v>0.3224</v>
      </c>
      <c r="M1035" s="3">
        <v>8060.0</v>
      </c>
      <c r="N1035" s="3">
        <v>2.0</v>
      </c>
      <c r="O1035" s="3">
        <v>356509.0</v>
      </c>
      <c r="P1035" s="3" t="s">
        <v>2783</v>
      </c>
      <c r="Q1035" s="3">
        <v>1041718.0</v>
      </c>
      <c r="R1035" s="3"/>
      <c r="S1035" s="3">
        <v>5642.0</v>
      </c>
      <c r="T1035" s="3" t="s">
        <v>31</v>
      </c>
      <c r="U1035" s="3">
        <v>5642.0</v>
      </c>
      <c r="V1035" s="5">
        <f>(DATE(2026,2,3)-'RICE_Insured Farms_with PPI Pol'!$G1035)+IF('RICE_Insured Farms_with PPI Pol'!$H1035&lt;&gt;'RICE_Insured Farms_with PPI Pol'!$G1035,18,0)</f>
        <v>42</v>
      </c>
      <c r="W1035" s="3" t="str">
        <f t="array" ref="W1035">IFS(V1035&gt;120, "Harvested", V1035&gt;=113, "Yellow Ripening", V1035&gt;=101, "Dough Stage", V1035&gt;=93, "Milking Stage", V1035&gt;=86, "Flowering", V1035&gt;=56, "Panicle Initiation/Booting", V1035&lt;56, "Vegetative/Tillering")</f>
        <v>Vegetative/Tillering</v>
      </c>
    </row>
    <row r="1036" ht="15.75" hidden="1" customHeight="1">
      <c r="A1036" s="3">
        <v>1035.0</v>
      </c>
      <c r="B1036" s="3" t="s">
        <v>23</v>
      </c>
      <c r="C1036" s="3" t="s">
        <v>68</v>
      </c>
      <c r="D1036" s="3" t="s">
        <v>1208</v>
      </c>
      <c r="E1036" s="3" t="s">
        <v>2299</v>
      </c>
      <c r="F1036" s="3">
        <v>1742121.0</v>
      </c>
      <c r="G1036" s="4">
        <v>46030.0</v>
      </c>
      <c r="H1036" s="4">
        <v>46131.0</v>
      </c>
      <c r="I1036" s="3" t="s">
        <v>2784</v>
      </c>
      <c r="J1036" s="3" t="s">
        <v>2785</v>
      </c>
      <c r="K1036" s="3" t="s">
        <v>2786</v>
      </c>
      <c r="L1036" s="3">
        <v>1.1213</v>
      </c>
      <c r="M1036" s="3">
        <v>28032.5</v>
      </c>
      <c r="N1036" s="3">
        <v>2.0</v>
      </c>
      <c r="O1036" s="3">
        <v>32421.0</v>
      </c>
      <c r="P1036" s="3" t="s">
        <v>2787</v>
      </c>
      <c r="Q1036" s="3">
        <v>1143368.0</v>
      </c>
      <c r="R1036" s="3"/>
      <c r="S1036" s="3">
        <v>19622.75</v>
      </c>
      <c r="T1036" s="3" t="s">
        <v>31</v>
      </c>
      <c r="U1036" s="3">
        <v>19622.75</v>
      </c>
      <c r="V1036" s="5">
        <f>(DATE(2026,2,3)-'RICE_Insured Farms_with PPI Pol'!$G1036)+IF('RICE_Insured Farms_with PPI Pol'!$H1036&lt;&gt;'RICE_Insured Farms_with PPI Pol'!$G1036,18,0)</f>
        <v>44</v>
      </c>
      <c r="W1036" s="3" t="str">
        <f t="array" ref="W1036">IFS(V1036&gt;120, "Harvested", V1036&gt;=113, "Yellow Ripening", V1036&gt;=101, "Dough Stage", V1036&gt;=93, "Milking Stage", V1036&gt;=86, "Flowering", V1036&gt;=56, "Panicle Initiation/Booting", V1036&lt;56, "Vegetative/Tillering")</f>
        <v>Vegetative/Tillering</v>
      </c>
    </row>
    <row r="1037" ht="15.75" hidden="1" customHeight="1">
      <c r="A1037" s="3">
        <v>1036.0</v>
      </c>
      <c r="B1037" s="3" t="s">
        <v>23</v>
      </c>
      <c r="C1037" s="3" t="s">
        <v>50</v>
      </c>
      <c r="D1037" s="3" t="s">
        <v>51</v>
      </c>
      <c r="E1037" s="3" t="s">
        <v>52</v>
      </c>
      <c r="F1037" s="3">
        <v>1741852.0</v>
      </c>
      <c r="G1037" s="4">
        <v>46037.0</v>
      </c>
      <c r="H1037" s="4">
        <v>46157.0</v>
      </c>
      <c r="I1037" s="3" t="s">
        <v>2788</v>
      </c>
      <c r="J1037" s="3" t="s">
        <v>715</v>
      </c>
      <c r="K1037" s="3" t="s">
        <v>319</v>
      </c>
      <c r="L1037" s="3">
        <v>0.5929</v>
      </c>
      <c r="M1037" s="3">
        <v>14822.5</v>
      </c>
      <c r="N1037" s="3">
        <v>1.0</v>
      </c>
      <c r="O1037" s="3">
        <v>55554.0</v>
      </c>
      <c r="P1037" s="3" t="s">
        <v>2789</v>
      </c>
      <c r="Q1037" s="3">
        <v>1279430.0</v>
      </c>
      <c r="R1037" s="3"/>
      <c r="S1037" s="3">
        <v>8893.5</v>
      </c>
      <c r="T1037" s="3" t="s">
        <v>62</v>
      </c>
      <c r="U1037" s="3">
        <v>8893.5</v>
      </c>
      <c r="V1037" s="5">
        <f>(DATE(2026,2,3)-'RICE_Insured Farms_with PPI Pol'!$G1037)+IF('RICE_Insured Farms_with PPI Pol'!$H1037&lt;&gt;'RICE_Insured Farms_with PPI Pol'!$G1037,18,0)</f>
        <v>37</v>
      </c>
      <c r="W1037" s="3" t="str">
        <f t="array" ref="W1037">IFS(V1037&gt;120, "Harvested", V1037&gt;=113, "Yellow Ripening", V1037&gt;=101, "Dough Stage", V1037&gt;=93, "Milking Stage", V1037&gt;=86, "Flowering", V1037&gt;=56, "Panicle Initiation/Booting", V1037&lt;56, "Vegetative/Tillering")</f>
        <v>Vegetative/Tillering</v>
      </c>
    </row>
    <row r="1038" ht="15.75" hidden="1" customHeight="1">
      <c r="A1038" s="3">
        <v>1037.0</v>
      </c>
      <c r="B1038" s="3" t="s">
        <v>23</v>
      </c>
      <c r="C1038" s="3" t="s">
        <v>1453</v>
      </c>
      <c r="D1038" s="3" t="s">
        <v>1454</v>
      </c>
      <c r="E1038" s="3" t="s">
        <v>1246</v>
      </c>
      <c r="F1038" s="3">
        <v>1742041.0</v>
      </c>
      <c r="G1038" s="4">
        <v>46029.0</v>
      </c>
      <c r="H1038" s="4">
        <v>46131.0</v>
      </c>
      <c r="I1038" s="3" t="s">
        <v>2790</v>
      </c>
      <c r="J1038" s="3" t="s">
        <v>2791</v>
      </c>
      <c r="K1038" s="3" t="s">
        <v>1538</v>
      </c>
      <c r="L1038" s="3">
        <v>0.25</v>
      </c>
      <c r="M1038" s="3">
        <v>6250.0</v>
      </c>
      <c r="N1038" s="3">
        <v>2.0</v>
      </c>
      <c r="O1038" s="3">
        <v>313003.0</v>
      </c>
      <c r="P1038" s="3" t="s">
        <v>2792</v>
      </c>
      <c r="Q1038" s="3">
        <v>1318405.0</v>
      </c>
      <c r="R1038" s="3"/>
      <c r="S1038" s="3">
        <v>4375.0</v>
      </c>
      <c r="T1038" s="3" t="s">
        <v>31</v>
      </c>
      <c r="U1038" s="3">
        <v>4375.0</v>
      </c>
      <c r="V1038" s="5">
        <f>(DATE(2026,2,3)-'RICE_Insured Farms_with PPI Pol'!$G1038)+IF('RICE_Insured Farms_with PPI Pol'!$H1038&lt;&gt;'RICE_Insured Farms_with PPI Pol'!$G1038,18,0)</f>
        <v>45</v>
      </c>
      <c r="W1038" s="3" t="str">
        <f t="array" ref="W1038">IFS(V1038&gt;120, "Harvested", V1038&gt;=113, "Yellow Ripening", V1038&gt;=101, "Dough Stage", V1038&gt;=93, "Milking Stage", V1038&gt;=86, "Flowering", V1038&gt;=56, "Panicle Initiation/Booting", V1038&lt;56, "Vegetative/Tillering")</f>
        <v>Vegetative/Tillering</v>
      </c>
    </row>
    <row r="1039" ht="15.75" hidden="1" customHeight="1">
      <c r="A1039" s="3">
        <v>1038.0</v>
      </c>
      <c r="B1039" s="3" t="s">
        <v>23</v>
      </c>
      <c r="C1039" s="3" t="s">
        <v>1453</v>
      </c>
      <c r="D1039" s="3" t="s">
        <v>1454</v>
      </c>
      <c r="E1039" s="3" t="s">
        <v>219</v>
      </c>
      <c r="F1039" s="3">
        <v>1742044.0</v>
      </c>
      <c r="G1039" s="4">
        <v>46032.0</v>
      </c>
      <c r="H1039" s="4">
        <v>46134.0</v>
      </c>
      <c r="I1039" s="3" t="s">
        <v>1717</v>
      </c>
      <c r="J1039" s="3" t="s">
        <v>807</v>
      </c>
      <c r="K1039" s="3" t="s">
        <v>1979</v>
      </c>
      <c r="L1039" s="3">
        <v>0.5</v>
      </c>
      <c r="M1039" s="3">
        <v>12500.0</v>
      </c>
      <c r="N1039" s="3">
        <v>2.0</v>
      </c>
      <c r="O1039" s="3">
        <v>123324.0</v>
      </c>
      <c r="P1039" s="3" t="s">
        <v>2793</v>
      </c>
      <c r="Q1039" s="3">
        <v>1317805.0</v>
      </c>
      <c r="R1039" s="3"/>
      <c r="S1039" s="3">
        <v>8750.0</v>
      </c>
      <c r="T1039" s="3" t="s">
        <v>31</v>
      </c>
      <c r="U1039" s="3">
        <v>8750.0</v>
      </c>
      <c r="V1039" s="5">
        <f>(DATE(2026,2,3)-'RICE_Insured Farms_with PPI Pol'!$G1039)+IF('RICE_Insured Farms_with PPI Pol'!$H1039&lt;&gt;'RICE_Insured Farms_with PPI Pol'!$G1039,18,0)</f>
        <v>42</v>
      </c>
      <c r="W1039" s="3" t="str">
        <f t="array" ref="W1039">IFS(V1039&gt;120, "Harvested", V1039&gt;=113, "Yellow Ripening", V1039&gt;=101, "Dough Stage", V1039&gt;=93, "Milking Stage", V1039&gt;=86, "Flowering", V1039&gt;=56, "Panicle Initiation/Booting", V1039&lt;56, "Vegetative/Tillering")</f>
        <v>Vegetative/Tillering</v>
      </c>
    </row>
    <row r="1040" ht="15.75" hidden="1" customHeight="1">
      <c r="A1040" s="3">
        <v>1039.0</v>
      </c>
      <c r="B1040" s="3" t="s">
        <v>23</v>
      </c>
      <c r="C1040" s="3" t="s">
        <v>68</v>
      </c>
      <c r="D1040" s="3" t="s">
        <v>289</v>
      </c>
      <c r="E1040" s="3" t="s">
        <v>702</v>
      </c>
      <c r="F1040" s="3">
        <v>1760042.0</v>
      </c>
      <c r="G1040" s="4">
        <v>46028.0</v>
      </c>
      <c r="H1040" s="4">
        <v>46130.0</v>
      </c>
      <c r="I1040" s="3" t="s">
        <v>1717</v>
      </c>
      <c r="J1040" s="3" t="s">
        <v>533</v>
      </c>
      <c r="K1040" s="3" t="s">
        <v>2794</v>
      </c>
      <c r="L1040" s="3">
        <v>0.1625</v>
      </c>
      <c r="M1040" s="3">
        <v>4062.5</v>
      </c>
      <c r="N1040" s="3">
        <v>2.0</v>
      </c>
      <c r="O1040" s="3">
        <v>357098.0</v>
      </c>
      <c r="P1040" s="3" t="s">
        <v>2795</v>
      </c>
      <c r="Q1040" s="3">
        <v>696309.0</v>
      </c>
      <c r="R1040" s="3"/>
      <c r="S1040" s="3">
        <v>2843.75</v>
      </c>
      <c r="T1040" s="3" t="s">
        <v>31</v>
      </c>
      <c r="U1040" s="3">
        <v>2843.75</v>
      </c>
      <c r="V1040" s="5">
        <f>(DATE(2026,2,3)-'RICE_Insured Farms_with PPI Pol'!$G1040)+IF('RICE_Insured Farms_with PPI Pol'!$H1040&lt;&gt;'RICE_Insured Farms_with PPI Pol'!$G1040,18,0)</f>
        <v>46</v>
      </c>
      <c r="W1040" s="3" t="str">
        <f t="array" ref="W1040">IFS(V1040&gt;120, "Harvested", V1040&gt;=113, "Yellow Ripening", V1040&gt;=101, "Dough Stage", V1040&gt;=93, "Milking Stage", V1040&gt;=86, "Flowering", V1040&gt;=56, "Panicle Initiation/Booting", V1040&lt;56, "Vegetative/Tillering")</f>
        <v>Vegetative/Tillering</v>
      </c>
    </row>
    <row r="1041" ht="15.75" hidden="1" customHeight="1">
      <c r="A1041" s="3">
        <v>1040.0</v>
      </c>
      <c r="B1041" s="3" t="s">
        <v>23</v>
      </c>
      <c r="C1041" s="3" t="s">
        <v>1453</v>
      </c>
      <c r="D1041" s="3" t="s">
        <v>1454</v>
      </c>
      <c r="E1041" s="3" t="s">
        <v>219</v>
      </c>
      <c r="F1041" s="3">
        <v>1742044.0</v>
      </c>
      <c r="G1041" s="4">
        <v>46047.0</v>
      </c>
      <c r="H1041" s="4">
        <v>46149.0</v>
      </c>
      <c r="I1041" s="3" t="s">
        <v>1717</v>
      </c>
      <c r="J1041" s="3" t="s">
        <v>2796</v>
      </c>
      <c r="K1041" s="3" t="s">
        <v>2797</v>
      </c>
      <c r="L1041" s="3">
        <v>1.0</v>
      </c>
      <c r="M1041" s="3">
        <v>25000.0</v>
      </c>
      <c r="N1041" s="3">
        <v>1.0</v>
      </c>
      <c r="O1041" s="3">
        <v>74982.0</v>
      </c>
      <c r="P1041" s="3" t="s">
        <v>2798</v>
      </c>
      <c r="Q1041" s="3">
        <v>1317803.0</v>
      </c>
      <c r="R1041" s="3"/>
      <c r="S1041" s="3">
        <v>15000.0</v>
      </c>
      <c r="T1041" s="3" t="s">
        <v>62</v>
      </c>
      <c r="U1041" s="3">
        <v>15000.0</v>
      </c>
      <c r="V1041" s="5">
        <f>(DATE(2026,2,3)-'RICE_Insured Farms_with PPI Pol'!$G1041)+IF('RICE_Insured Farms_with PPI Pol'!$H1041&lt;&gt;'RICE_Insured Farms_with PPI Pol'!$G1041,18,0)</f>
        <v>27</v>
      </c>
      <c r="W1041" s="3" t="str">
        <f t="array" ref="W1041">IFS(V1041&gt;120, "Harvested", V1041&gt;=113, "Yellow Ripening", V1041&gt;=101, "Dough Stage", V1041&gt;=93, "Milking Stage", V1041&gt;=86, "Flowering", V1041&gt;=56, "Panicle Initiation/Booting", V1041&lt;56, "Vegetative/Tillering")</f>
        <v>Vegetative/Tillering</v>
      </c>
    </row>
    <row r="1042" ht="15.75" hidden="1" customHeight="1">
      <c r="A1042" s="3">
        <v>1041.0</v>
      </c>
      <c r="B1042" s="3" t="s">
        <v>23</v>
      </c>
      <c r="C1042" s="3" t="s">
        <v>1453</v>
      </c>
      <c r="D1042" s="3" t="s">
        <v>1454</v>
      </c>
      <c r="E1042" s="3" t="s">
        <v>219</v>
      </c>
      <c r="F1042" s="3">
        <v>1742044.0</v>
      </c>
      <c r="G1042" s="4">
        <v>46047.0</v>
      </c>
      <c r="H1042" s="4">
        <v>46149.0</v>
      </c>
      <c r="I1042" s="3" t="s">
        <v>1717</v>
      </c>
      <c r="J1042" s="3" t="s">
        <v>2796</v>
      </c>
      <c r="K1042" s="3" t="s">
        <v>2797</v>
      </c>
      <c r="L1042" s="3">
        <v>0.5</v>
      </c>
      <c r="M1042" s="3">
        <v>12500.0</v>
      </c>
      <c r="N1042" s="3">
        <v>1.0</v>
      </c>
      <c r="O1042" s="3">
        <v>74982.0</v>
      </c>
      <c r="P1042" s="3" t="s">
        <v>2798</v>
      </c>
      <c r="Q1042" s="3">
        <v>1317804.0</v>
      </c>
      <c r="R1042" s="3"/>
      <c r="S1042" s="3">
        <v>7500.0</v>
      </c>
      <c r="T1042" s="3" t="s">
        <v>62</v>
      </c>
      <c r="U1042" s="3">
        <v>7500.0</v>
      </c>
      <c r="V1042" s="5">
        <f>(DATE(2026,2,3)-'RICE_Insured Farms_with PPI Pol'!$G1042)+IF('RICE_Insured Farms_with PPI Pol'!$H1042&lt;&gt;'RICE_Insured Farms_with PPI Pol'!$G1042,18,0)</f>
        <v>27</v>
      </c>
      <c r="W1042" s="3" t="str">
        <f t="array" ref="W1042">IFS(V1042&gt;120, "Harvested", V1042&gt;=113, "Yellow Ripening", V1042&gt;=101, "Dough Stage", V1042&gt;=93, "Milking Stage", V1042&gt;=86, "Flowering", V1042&gt;=56, "Panicle Initiation/Booting", V1042&lt;56, "Vegetative/Tillering")</f>
        <v>Vegetative/Tillering</v>
      </c>
    </row>
    <row r="1043" ht="15.75" hidden="1" customHeight="1">
      <c r="A1043" s="3">
        <v>1042.0</v>
      </c>
      <c r="B1043" s="3" t="s">
        <v>23</v>
      </c>
      <c r="C1043" s="3" t="s">
        <v>50</v>
      </c>
      <c r="D1043" s="3" t="s">
        <v>1484</v>
      </c>
      <c r="E1043" s="3" t="s">
        <v>1485</v>
      </c>
      <c r="F1043" s="3">
        <v>1741845.0</v>
      </c>
      <c r="G1043" s="4">
        <v>46037.0</v>
      </c>
      <c r="H1043" s="4">
        <v>46132.0</v>
      </c>
      <c r="I1043" s="3" t="s">
        <v>2799</v>
      </c>
      <c r="J1043" s="3" t="s">
        <v>2800</v>
      </c>
      <c r="K1043" s="3" t="s">
        <v>2801</v>
      </c>
      <c r="L1043" s="3">
        <v>0.0902</v>
      </c>
      <c r="M1043" s="3">
        <v>2255.0</v>
      </c>
      <c r="N1043" s="3">
        <v>2.0</v>
      </c>
      <c r="O1043" s="3">
        <v>34187.0</v>
      </c>
      <c r="P1043" s="3" t="s">
        <v>2802</v>
      </c>
      <c r="Q1043" s="3">
        <v>1279531.0</v>
      </c>
      <c r="R1043" s="3"/>
      <c r="S1043" s="3">
        <v>1578.5</v>
      </c>
      <c r="T1043" s="3" t="s">
        <v>31</v>
      </c>
      <c r="U1043" s="3">
        <v>1578.5</v>
      </c>
      <c r="V1043" s="5">
        <f>(DATE(2026,2,3)-'RICE_Insured Farms_with PPI Pol'!$G1043)+IF('RICE_Insured Farms_with PPI Pol'!$H1043&lt;&gt;'RICE_Insured Farms_with PPI Pol'!$G1043,18,0)</f>
        <v>37</v>
      </c>
      <c r="W1043" s="3" t="str">
        <f t="array" ref="W1043">IFS(V1043&gt;120, "Harvested", V1043&gt;=113, "Yellow Ripening", V1043&gt;=101, "Dough Stage", V1043&gt;=93, "Milking Stage", V1043&gt;=86, "Flowering", V1043&gt;=56, "Panicle Initiation/Booting", V1043&lt;56, "Vegetative/Tillering")</f>
        <v>Vegetative/Tillering</v>
      </c>
    </row>
    <row r="1044" ht="15.75" hidden="1" customHeight="1">
      <c r="A1044" s="3">
        <v>1043.0</v>
      </c>
      <c r="B1044" s="3" t="s">
        <v>23</v>
      </c>
      <c r="C1044" s="3" t="s">
        <v>50</v>
      </c>
      <c r="D1044" s="3" t="s">
        <v>1484</v>
      </c>
      <c r="E1044" s="3" t="s">
        <v>1485</v>
      </c>
      <c r="F1044" s="3">
        <v>1741845.0</v>
      </c>
      <c r="G1044" s="4">
        <v>46037.0</v>
      </c>
      <c r="H1044" s="4">
        <v>46132.0</v>
      </c>
      <c r="I1044" s="3" t="s">
        <v>2799</v>
      </c>
      <c r="J1044" s="3" t="s">
        <v>2800</v>
      </c>
      <c r="K1044" s="3" t="s">
        <v>2801</v>
      </c>
      <c r="L1044" s="3">
        <v>0.1457</v>
      </c>
      <c r="M1044" s="3">
        <v>3642.5</v>
      </c>
      <c r="N1044" s="3">
        <v>2.0</v>
      </c>
      <c r="O1044" s="3">
        <v>34187.0</v>
      </c>
      <c r="P1044" s="3" t="s">
        <v>2802</v>
      </c>
      <c r="Q1044" s="3">
        <v>1279534.0</v>
      </c>
      <c r="R1044" s="3"/>
      <c r="S1044" s="3">
        <v>2549.75</v>
      </c>
      <c r="T1044" s="3" t="s">
        <v>31</v>
      </c>
      <c r="U1044" s="3">
        <v>2549.75</v>
      </c>
      <c r="V1044" s="5">
        <f>(DATE(2026,2,3)-'RICE_Insured Farms_with PPI Pol'!$G1044)+IF('RICE_Insured Farms_with PPI Pol'!$H1044&lt;&gt;'RICE_Insured Farms_with PPI Pol'!$G1044,18,0)</f>
        <v>37</v>
      </c>
      <c r="W1044" s="3" t="str">
        <f t="array" ref="W1044">IFS(V1044&gt;120, "Harvested", V1044&gt;=113, "Yellow Ripening", V1044&gt;=101, "Dough Stage", V1044&gt;=93, "Milking Stage", V1044&gt;=86, "Flowering", V1044&gt;=56, "Panicle Initiation/Booting", V1044&lt;56, "Vegetative/Tillering")</f>
        <v>Vegetative/Tillering</v>
      </c>
    </row>
    <row r="1045" ht="15.75" customHeight="1">
      <c r="A1045" s="3">
        <v>1044.0</v>
      </c>
      <c r="B1045" s="3" t="s">
        <v>23</v>
      </c>
      <c r="C1045" s="3" t="s">
        <v>919</v>
      </c>
      <c r="D1045" s="3" t="s">
        <v>2558</v>
      </c>
      <c r="E1045" s="3" t="s">
        <v>2803</v>
      </c>
      <c r="F1045" s="3">
        <v>1184075.0</v>
      </c>
      <c r="G1045" s="4">
        <v>46019.0</v>
      </c>
      <c r="H1045" s="4">
        <v>46114.0</v>
      </c>
      <c r="I1045" s="3" t="s">
        <v>2804</v>
      </c>
      <c r="J1045" s="3" t="s">
        <v>2805</v>
      </c>
      <c r="K1045" s="3" t="s">
        <v>2806</v>
      </c>
      <c r="L1045" s="3">
        <v>0.2503</v>
      </c>
      <c r="M1045" s="3">
        <v>6257.5</v>
      </c>
      <c r="N1045" s="3">
        <v>3.0</v>
      </c>
      <c r="O1045" s="3">
        <v>428988.0</v>
      </c>
      <c r="P1045" s="3" t="s">
        <v>2807</v>
      </c>
      <c r="Q1045" s="3">
        <v>1043155.0</v>
      </c>
      <c r="R1045" s="3"/>
      <c r="S1045" s="3">
        <v>5006.0</v>
      </c>
      <c r="T1045" s="3" t="s">
        <v>37</v>
      </c>
      <c r="U1045" s="3">
        <v>5006.0</v>
      </c>
      <c r="V1045" s="5">
        <f>(DATE(2026,2,3)-'RICE_Insured Farms_with PPI Pol'!$G1045)+IF('RICE_Insured Farms_with PPI Pol'!$H1045&lt;&gt;'RICE_Insured Farms_with PPI Pol'!$G1045,18,0)</f>
        <v>55</v>
      </c>
      <c r="W1045" s="3" t="str">
        <f t="array" ref="W1045">IFS(V1045&gt;120, "Harvested", V1045&gt;=113, "Yellow Ripening", V1045&gt;=101, "Dough Stage", V1045&gt;=93, "Milking Stage", V1045&gt;=86, "Flowering", V1045&gt;=56, "Panicle Initiation/Booting", V1045&lt;56, "Vegetative/Tillering")</f>
        <v>Vegetative/Tillering</v>
      </c>
    </row>
    <row r="1046" ht="15.75" hidden="1" customHeight="1">
      <c r="A1046" s="3">
        <v>1045.0</v>
      </c>
      <c r="B1046" s="3" t="s">
        <v>23</v>
      </c>
      <c r="C1046" s="3" t="s">
        <v>68</v>
      </c>
      <c r="D1046" s="3" t="s">
        <v>289</v>
      </c>
      <c r="E1046" s="3" t="s">
        <v>685</v>
      </c>
      <c r="F1046" s="3">
        <v>1760004.0</v>
      </c>
      <c r="G1046" s="4">
        <v>46027.0</v>
      </c>
      <c r="H1046" s="4">
        <v>46129.0</v>
      </c>
      <c r="I1046" s="3" t="s">
        <v>834</v>
      </c>
      <c r="J1046" s="3" t="s">
        <v>2808</v>
      </c>
      <c r="K1046" s="3" t="s">
        <v>2809</v>
      </c>
      <c r="L1046" s="3">
        <v>0.5265</v>
      </c>
      <c r="M1046" s="3">
        <v>13162.5</v>
      </c>
      <c r="N1046" s="3">
        <v>2.0</v>
      </c>
      <c r="O1046" s="3">
        <v>293817.0</v>
      </c>
      <c r="P1046" s="3" t="s">
        <v>2810</v>
      </c>
      <c r="Q1046" s="3">
        <v>619191.0</v>
      </c>
      <c r="R1046" s="3"/>
      <c r="S1046" s="3">
        <v>9213.75</v>
      </c>
      <c r="T1046" s="3" t="s">
        <v>31</v>
      </c>
      <c r="U1046" s="3">
        <v>9213.75</v>
      </c>
      <c r="V1046" s="5">
        <f>(DATE(2026,2,3)-'RICE_Insured Farms_with PPI Pol'!$G1046)+IF('RICE_Insured Farms_with PPI Pol'!$H1046&lt;&gt;'RICE_Insured Farms_with PPI Pol'!$G1046,18,0)</f>
        <v>47</v>
      </c>
      <c r="W1046" s="3" t="str">
        <f t="array" ref="W1046">IFS(V1046&gt;120, "Harvested", V1046&gt;=113, "Yellow Ripening", V1046&gt;=101, "Dough Stage", V1046&gt;=93, "Milking Stage", V1046&gt;=86, "Flowering", V1046&gt;=56, "Panicle Initiation/Booting", V1046&lt;56, "Vegetative/Tillering")</f>
        <v>Vegetative/Tillering</v>
      </c>
    </row>
    <row r="1047" ht="15.75" hidden="1" customHeight="1">
      <c r="A1047" s="3">
        <v>1046.0</v>
      </c>
      <c r="B1047" s="3" t="s">
        <v>23</v>
      </c>
      <c r="C1047" s="3" t="s">
        <v>68</v>
      </c>
      <c r="D1047" s="3" t="s">
        <v>289</v>
      </c>
      <c r="E1047" s="3" t="s">
        <v>352</v>
      </c>
      <c r="F1047" s="3">
        <v>1760050.0</v>
      </c>
      <c r="G1047" s="4">
        <v>46032.0</v>
      </c>
      <c r="H1047" s="4">
        <v>46134.0</v>
      </c>
      <c r="I1047" s="3" t="s">
        <v>2811</v>
      </c>
      <c r="J1047" s="3" t="s">
        <v>2812</v>
      </c>
      <c r="K1047" s="3" t="s">
        <v>1587</v>
      </c>
      <c r="L1047" s="3">
        <v>0.2358</v>
      </c>
      <c r="M1047" s="3">
        <v>5895.0</v>
      </c>
      <c r="N1047" s="3">
        <v>2.0</v>
      </c>
      <c r="O1047" s="3">
        <v>436906.0</v>
      </c>
      <c r="P1047" s="3"/>
      <c r="Q1047" s="3">
        <v>970796.0</v>
      </c>
      <c r="R1047" s="3"/>
      <c r="S1047" s="3">
        <v>4126.5</v>
      </c>
      <c r="T1047" s="3" t="s">
        <v>31</v>
      </c>
      <c r="U1047" s="3">
        <v>4126.5</v>
      </c>
      <c r="V1047" s="5">
        <f>(DATE(2026,2,3)-'RICE_Insured Farms_with PPI Pol'!$G1047)+IF('RICE_Insured Farms_with PPI Pol'!$H1047&lt;&gt;'RICE_Insured Farms_with PPI Pol'!$G1047,18,0)</f>
        <v>42</v>
      </c>
      <c r="W1047" s="3" t="str">
        <f t="array" ref="W1047">IFS(V1047&gt;120, "Harvested", V1047&gt;=113, "Yellow Ripening", V1047&gt;=101, "Dough Stage", V1047&gt;=93, "Milking Stage", V1047&gt;=86, "Flowering", V1047&gt;=56, "Panicle Initiation/Booting", V1047&lt;56, "Vegetative/Tillering")</f>
        <v>Vegetative/Tillering</v>
      </c>
    </row>
    <row r="1048" ht="15.75" customHeight="1">
      <c r="A1048" s="3">
        <v>1047.0</v>
      </c>
      <c r="B1048" s="3" t="s">
        <v>23</v>
      </c>
      <c r="C1048" s="3" t="s">
        <v>1453</v>
      </c>
      <c r="D1048" s="3" t="s">
        <v>1454</v>
      </c>
      <c r="E1048" s="3" t="s">
        <v>1246</v>
      </c>
      <c r="F1048" s="3">
        <v>1742048.0</v>
      </c>
      <c r="G1048" s="4">
        <v>46020.0</v>
      </c>
      <c r="H1048" s="4">
        <v>46122.0</v>
      </c>
      <c r="I1048" s="3" t="s">
        <v>2813</v>
      </c>
      <c r="J1048" s="3" t="s">
        <v>2814</v>
      </c>
      <c r="K1048" s="3" t="s">
        <v>2215</v>
      </c>
      <c r="L1048" s="3">
        <v>0.1956</v>
      </c>
      <c r="M1048" s="3">
        <v>4890.0</v>
      </c>
      <c r="N1048" s="3">
        <v>3.0</v>
      </c>
      <c r="O1048" s="3">
        <v>158344.0</v>
      </c>
      <c r="P1048" s="3" t="s">
        <v>2815</v>
      </c>
      <c r="Q1048" s="3">
        <v>782789.0</v>
      </c>
      <c r="R1048" s="3"/>
      <c r="S1048" s="3">
        <v>3912.0</v>
      </c>
      <c r="T1048" s="3" t="s">
        <v>37</v>
      </c>
      <c r="U1048" s="3">
        <v>3912.0</v>
      </c>
      <c r="V1048" s="5">
        <f>(DATE(2026,2,3)-'RICE_Insured Farms_with PPI Pol'!$G1048)+IF('RICE_Insured Farms_with PPI Pol'!$H1048&lt;&gt;'RICE_Insured Farms_with PPI Pol'!$G1048,18,0)</f>
        <v>54</v>
      </c>
      <c r="W1048" s="3" t="str">
        <f t="array" ref="W1048">IFS(V1048&gt;120, "Harvested", V1048&gt;=113, "Yellow Ripening", V1048&gt;=101, "Dough Stage", V1048&gt;=93, "Milking Stage", V1048&gt;=86, "Flowering", V1048&gt;=56, "Panicle Initiation/Booting", V1048&lt;56, "Vegetative/Tillering")</f>
        <v>Vegetative/Tillering</v>
      </c>
    </row>
    <row r="1049" ht="15.75" hidden="1" customHeight="1">
      <c r="A1049" s="3">
        <v>1048.0</v>
      </c>
      <c r="B1049" s="3" t="s">
        <v>23</v>
      </c>
      <c r="C1049" s="3" t="s">
        <v>68</v>
      </c>
      <c r="D1049" s="3" t="s">
        <v>289</v>
      </c>
      <c r="E1049" s="3" t="s">
        <v>507</v>
      </c>
      <c r="F1049" s="3">
        <v>1760036.0</v>
      </c>
      <c r="G1049" s="4">
        <v>46037.0</v>
      </c>
      <c r="H1049" s="4">
        <v>46139.0</v>
      </c>
      <c r="I1049" s="3" t="s">
        <v>339</v>
      </c>
      <c r="J1049" s="3" t="s">
        <v>544</v>
      </c>
      <c r="K1049" s="3" t="s">
        <v>587</v>
      </c>
      <c r="L1049" s="3">
        <v>0.3555</v>
      </c>
      <c r="M1049" s="3">
        <v>8887.5</v>
      </c>
      <c r="N1049" s="3">
        <v>2.0</v>
      </c>
      <c r="O1049" s="3">
        <v>329228.0</v>
      </c>
      <c r="P1049" s="3" t="s">
        <v>2816</v>
      </c>
      <c r="Q1049" s="3">
        <v>1191294.0</v>
      </c>
      <c r="R1049" s="3"/>
      <c r="S1049" s="3">
        <v>6221.25</v>
      </c>
      <c r="T1049" s="3" t="s">
        <v>31</v>
      </c>
      <c r="U1049" s="3">
        <v>6221.25</v>
      </c>
      <c r="V1049" s="5">
        <f>(DATE(2026,2,3)-'RICE_Insured Farms_with PPI Pol'!$G1049)+IF('RICE_Insured Farms_with PPI Pol'!$H1049&lt;&gt;'RICE_Insured Farms_with PPI Pol'!$G1049,18,0)</f>
        <v>37</v>
      </c>
      <c r="W1049" s="3" t="str">
        <f t="array" ref="W1049">IFS(V1049&gt;120, "Harvested", V1049&gt;=113, "Yellow Ripening", V1049&gt;=101, "Dough Stage", V1049&gt;=93, "Milking Stage", V1049&gt;=86, "Flowering", V1049&gt;=56, "Panicle Initiation/Booting", V1049&lt;56, "Vegetative/Tillering")</f>
        <v>Vegetative/Tillering</v>
      </c>
    </row>
    <row r="1050" ht="15.75" hidden="1" customHeight="1">
      <c r="A1050" s="3">
        <v>1049.0</v>
      </c>
      <c r="B1050" s="3" t="s">
        <v>23</v>
      </c>
      <c r="C1050" s="3" t="s">
        <v>68</v>
      </c>
      <c r="D1050" s="3" t="s">
        <v>289</v>
      </c>
      <c r="E1050" s="3" t="s">
        <v>290</v>
      </c>
      <c r="F1050" s="3">
        <v>1760044.0</v>
      </c>
      <c r="G1050" s="4">
        <v>46039.0</v>
      </c>
      <c r="H1050" s="4">
        <v>46141.0</v>
      </c>
      <c r="I1050" s="3" t="s">
        <v>2817</v>
      </c>
      <c r="J1050" s="3" t="s">
        <v>2818</v>
      </c>
      <c r="K1050" s="3" t="s">
        <v>2819</v>
      </c>
      <c r="L1050" s="3">
        <v>0.2724</v>
      </c>
      <c r="M1050" s="3">
        <v>6810.0</v>
      </c>
      <c r="N1050" s="3">
        <v>2.0</v>
      </c>
      <c r="O1050" s="3">
        <v>294145.0</v>
      </c>
      <c r="P1050" s="3" t="s">
        <v>2820</v>
      </c>
      <c r="Q1050" s="3">
        <v>1285770.0</v>
      </c>
      <c r="R1050" s="3"/>
      <c r="S1050" s="3">
        <v>4767.0</v>
      </c>
      <c r="T1050" s="3" t="s">
        <v>31</v>
      </c>
      <c r="U1050" s="3">
        <v>4767.0</v>
      </c>
      <c r="V1050" s="5">
        <f>(DATE(2026,2,3)-'RICE_Insured Farms_with PPI Pol'!$G1050)+IF('RICE_Insured Farms_with PPI Pol'!$H1050&lt;&gt;'RICE_Insured Farms_with PPI Pol'!$G1050,18,0)</f>
        <v>35</v>
      </c>
      <c r="W1050" s="3" t="str">
        <f t="array" ref="W1050">IFS(V1050&gt;120, "Harvested", V1050&gt;=113, "Yellow Ripening", V1050&gt;=101, "Dough Stage", V1050&gt;=93, "Milking Stage", V1050&gt;=86, "Flowering", V1050&gt;=56, "Panicle Initiation/Booting", V1050&lt;56, "Vegetative/Tillering")</f>
        <v>Vegetative/Tillering</v>
      </c>
    </row>
    <row r="1051" ht="15.75" hidden="1" customHeight="1">
      <c r="A1051" s="3">
        <v>1050.0</v>
      </c>
      <c r="B1051" s="3" t="s">
        <v>23</v>
      </c>
      <c r="C1051" s="3" t="s">
        <v>68</v>
      </c>
      <c r="D1051" s="3" t="s">
        <v>289</v>
      </c>
      <c r="E1051" s="3" t="s">
        <v>290</v>
      </c>
      <c r="F1051" s="3">
        <v>1760044.0</v>
      </c>
      <c r="G1051" s="4">
        <v>46039.0</v>
      </c>
      <c r="H1051" s="4">
        <v>46141.0</v>
      </c>
      <c r="I1051" s="3" t="s">
        <v>2477</v>
      </c>
      <c r="J1051" s="3" t="s">
        <v>1034</v>
      </c>
      <c r="K1051" s="3" t="s">
        <v>2821</v>
      </c>
      <c r="L1051" s="3">
        <v>0.2562</v>
      </c>
      <c r="M1051" s="3">
        <v>6405.0</v>
      </c>
      <c r="N1051" s="3">
        <v>2.0</v>
      </c>
      <c r="O1051" s="3">
        <v>328564.0</v>
      </c>
      <c r="P1051" s="3" t="s">
        <v>2822</v>
      </c>
      <c r="Q1051" s="3">
        <v>1143410.0</v>
      </c>
      <c r="R1051" s="3"/>
      <c r="S1051" s="3">
        <v>4483.5</v>
      </c>
      <c r="T1051" s="3" t="s">
        <v>31</v>
      </c>
      <c r="U1051" s="3">
        <v>4483.5</v>
      </c>
      <c r="V1051" s="5">
        <f>(DATE(2026,2,3)-'RICE_Insured Farms_with PPI Pol'!$G1051)+IF('RICE_Insured Farms_with PPI Pol'!$H1051&lt;&gt;'RICE_Insured Farms_with PPI Pol'!$G1051,18,0)</f>
        <v>35</v>
      </c>
      <c r="W1051" s="3" t="str">
        <f t="array" ref="W1051">IFS(V1051&gt;120, "Harvested", V1051&gt;=113, "Yellow Ripening", V1051&gt;=101, "Dough Stage", V1051&gt;=93, "Milking Stage", V1051&gt;=86, "Flowering", V1051&gt;=56, "Panicle Initiation/Booting", V1051&lt;56, "Vegetative/Tillering")</f>
        <v>Vegetative/Tillering</v>
      </c>
    </row>
    <row r="1052" ht="15.75" hidden="1" customHeight="1">
      <c r="A1052" s="3">
        <v>1340.0</v>
      </c>
      <c r="B1052" s="3" t="s">
        <v>23</v>
      </c>
      <c r="C1052" s="3" t="s">
        <v>24</v>
      </c>
      <c r="D1052" s="3" t="s">
        <v>25</v>
      </c>
      <c r="E1052" s="3" t="s">
        <v>1164</v>
      </c>
      <c r="F1052" s="3">
        <v>1760492.0</v>
      </c>
      <c r="G1052" s="4">
        <v>46014.0</v>
      </c>
      <c r="H1052" s="4">
        <v>46109.0</v>
      </c>
      <c r="I1052" s="3" t="s">
        <v>2684</v>
      </c>
      <c r="J1052" s="3" t="s">
        <v>629</v>
      </c>
      <c r="K1052" s="3" t="s">
        <v>2797</v>
      </c>
      <c r="L1052" s="3">
        <v>0.3931</v>
      </c>
      <c r="M1052" s="3">
        <v>9827.5</v>
      </c>
      <c r="N1052" s="3">
        <v>4.0</v>
      </c>
      <c r="O1052" s="3">
        <v>447442.0</v>
      </c>
      <c r="P1052" s="3" t="s">
        <v>2823</v>
      </c>
      <c r="Q1052" s="3">
        <v>1231569.0</v>
      </c>
      <c r="R1052" s="3"/>
      <c r="S1052" s="3">
        <v>7862.0</v>
      </c>
      <c r="T1052" s="3" t="s">
        <v>56</v>
      </c>
      <c r="U1052" s="3">
        <v>7862.0</v>
      </c>
      <c r="V1052" s="5">
        <f>(DATE(2026,2,3)-'RICE_Insured Farms_with PPI Pol'!$G1052)+IF('RICE_Insured Farms_with PPI Pol'!$H1052&lt;&gt;'RICE_Insured Farms_with PPI Pol'!$G1052,18,0)</f>
        <v>60</v>
      </c>
      <c r="W1052" s="3" t="str">
        <f t="array" ref="W1052">IFS(V1052&gt;120, "Harvested", V1052&gt;=113, "Yellow Ripening", V1052&gt;=101, "Dough Stage", V1052&gt;=93, "Milking Stage", V1052&gt;=86, "Flowering", V1052&gt;=56, "Panicle Initiation/Booting", V1052&lt;56, "Vegetative/Tillering")</f>
        <v>Panicle Initiation/Booting</v>
      </c>
    </row>
    <row r="1053" ht="15.75" hidden="1" customHeight="1">
      <c r="A1053" s="3">
        <v>1344.0</v>
      </c>
      <c r="B1053" s="3" t="s">
        <v>23</v>
      </c>
      <c r="C1053" s="3" t="s">
        <v>24</v>
      </c>
      <c r="D1053" s="3" t="s">
        <v>25</v>
      </c>
      <c r="E1053" s="3" t="s">
        <v>1164</v>
      </c>
      <c r="F1053" s="3">
        <v>1760491.0</v>
      </c>
      <c r="G1053" s="4">
        <v>46011.0</v>
      </c>
      <c r="H1053" s="4">
        <v>46109.0</v>
      </c>
      <c r="I1053" s="3" t="s">
        <v>2265</v>
      </c>
      <c r="J1053" s="3" t="s">
        <v>2824</v>
      </c>
      <c r="K1053" s="3" t="s">
        <v>1481</v>
      </c>
      <c r="L1053" s="3">
        <v>0.2492</v>
      </c>
      <c r="M1053" s="3">
        <v>6230.0</v>
      </c>
      <c r="N1053" s="3">
        <v>4.0</v>
      </c>
      <c r="O1053" s="3">
        <v>435762.0</v>
      </c>
      <c r="P1053" s="3" t="s">
        <v>2825</v>
      </c>
      <c r="Q1053" s="3">
        <v>1328105.0</v>
      </c>
      <c r="R1053" s="3"/>
      <c r="S1053" s="3">
        <v>4984.0</v>
      </c>
      <c r="T1053" s="3" t="s">
        <v>56</v>
      </c>
      <c r="U1053" s="3">
        <v>4984.0</v>
      </c>
      <c r="V1053" s="5">
        <f>(DATE(2026,2,3)-'RICE_Insured Farms_with PPI Pol'!$G1053)+IF('RICE_Insured Farms_with PPI Pol'!$H1053&lt;&gt;'RICE_Insured Farms_with PPI Pol'!$G1053,18,0)</f>
        <v>63</v>
      </c>
      <c r="W1053" s="3" t="str">
        <f t="array" ref="W1053">IFS(V1053&gt;120, "Harvested", V1053&gt;=113, "Yellow Ripening", V1053&gt;=101, "Dough Stage", V1053&gt;=93, "Milking Stage", V1053&gt;=86, "Flowering", V1053&gt;=56, "Panicle Initiation/Booting", V1053&lt;56, "Vegetative/Tillering")</f>
        <v>Panicle Initiation/Booting</v>
      </c>
    </row>
    <row r="1054" ht="15.75" hidden="1" customHeight="1">
      <c r="A1054" s="3">
        <v>1366.0</v>
      </c>
      <c r="B1054" s="3" t="s">
        <v>23</v>
      </c>
      <c r="C1054" s="3" t="s">
        <v>24</v>
      </c>
      <c r="D1054" s="3" t="s">
        <v>25</v>
      </c>
      <c r="E1054" s="3" t="s">
        <v>1164</v>
      </c>
      <c r="F1054" s="3">
        <v>1760491.0</v>
      </c>
      <c r="G1054" s="4">
        <v>46013.0</v>
      </c>
      <c r="H1054" s="4">
        <v>46111.0</v>
      </c>
      <c r="I1054" s="3" t="s">
        <v>613</v>
      </c>
      <c r="J1054" s="3" t="s">
        <v>2826</v>
      </c>
      <c r="K1054" s="3" t="s">
        <v>2827</v>
      </c>
      <c r="L1054" s="3">
        <v>0.5985</v>
      </c>
      <c r="M1054" s="3">
        <v>14962.5</v>
      </c>
      <c r="N1054" s="3">
        <v>4.0</v>
      </c>
      <c r="O1054" s="3">
        <v>332045.0</v>
      </c>
      <c r="P1054" s="3" t="s">
        <v>2828</v>
      </c>
      <c r="Q1054" s="3">
        <v>1113919.0</v>
      </c>
      <c r="R1054" s="3"/>
      <c r="S1054" s="3">
        <v>11970.0</v>
      </c>
      <c r="T1054" s="3" t="s">
        <v>56</v>
      </c>
      <c r="U1054" s="3">
        <v>11970.0</v>
      </c>
      <c r="V1054" s="5">
        <f>(DATE(2026,2,3)-'RICE_Insured Farms_with PPI Pol'!$G1054)+IF('RICE_Insured Farms_with PPI Pol'!$H1054&lt;&gt;'RICE_Insured Farms_with PPI Pol'!$G1054,18,0)</f>
        <v>61</v>
      </c>
      <c r="W1054" s="3" t="str">
        <f t="array" ref="W1054">IFS(V1054&gt;120, "Harvested", V1054&gt;=113, "Yellow Ripening", V1054&gt;=101, "Dough Stage", V1054&gt;=93, "Milking Stage", V1054&gt;=86, "Flowering", V1054&gt;=56, "Panicle Initiation/Booting", V1054&lt;56, "Vegetative/Tillering")</f>
        <v>Panicle Initiation/Booting</v>
      </c>
    </row>
    <row r="1055" ht="15.75" hidden="1" customHeight="1">
      <c r="A1055" s="3">
        <v>1054.0</v>
      </c>
      <c r="B1055" s="3" t="s">
        <v>23</v>
      </c>
      <c r="C1055" s="3" t="s">
        <v>24</v>
      </c>
      <c r="D1055" s="3" t="s">
        <v>25</v>
      </c>
      <c r="E1055" s="3" t="s">
        <v>1164</v>
      </c>
      <c r="F1055" s="3">
        <v>1761008.0</v>
      </c>
      <c r="G1055" s="4">
        <v>46023.0</v>
      </c>
      <c r="H1055" s="4">
        <v>46143.0</v>
      </c>
      <c r="I1055" s="3" t="s">
        <v>2065</v>
      </c>
      <c r="J1055" s="3" t="s">
        <v>530</v>
      </c>
      <c r="K1055" s="3" t="s">
        <v>2084</v>
      </c>
      <c r="L1055" s="3">
        <v>1.0</v>
      </c>
      <c r="M1055" s="3">
        <v>25000.0</v>
      </c>
      <c r="N1055" s="3">
        <v>2.0</v>
      </c>
      <c r="O1055" s="3">
        <v>358816.0</v>
      </c>
      <c r="P1055" s="3" t="s">
        <v>2085</v>
      </c>
      <c r="Q1055" s="3">
        <v>1330287.0</v>
      </c>
      <c r="R1055" s="3"/>
      <c r="S1055" s="3">
        <v>17500.0</v>
      </c>
      <c r="T1055" s="3" t="s">
        <v>31</v>
      </c>
      <c r="U1055" s="3">
        <v>17500.0</v>
      </c>
      <c r="V1055" s="5">
        <f>(DATE(2026,2,3)-'RICE_Insured Farms_with PPI Pol'!$G1055)+IF('RICE_Insured Farms_with PPI Pol'!$H1055&lt;&gt;'RICE_Insured Farms_with PPI Pol'!$G1055,18,0)</f>
        <v>51</v>
      </c>
      <c r="W1055" s="3" t="str">
        <f t="array" ref="W1055">IFS(V1055&gt;120, "Harvested", V1055&gt;=113, "Yellow Ripening", V1055&gt;=101, "Dough Stage", V1055&gt;=93, "Milking Stage", V1055&gt;=86, "Flowering", V1055&gt;=56, "Panicle Initiation/Booting", V1055&lt;56, "Vegetative/Tillering")</f>
        <v>Vegetative/Tillering</v>
      </c>
    </row>
    <row r="1056" ht="15.75" hidden="1" customHeight="1">
      <c r="A1056" s="3">
        <v>1367.0</v>
      </c>
      <c r="B1056" s="3" t="s">
        <v>23</v>
      </c>
      <c r="C1056" s="3" t="s">
        <v>24</v>
      </c>
      <c r="D1056" s="3" t="s">
        <v>25</v>
      </c>
      <c r="E1056" s="3" t="s">
        <v>1164</v>
      </c>
      <c r="F1056" s="3">
        <v>1760491.0</v>
      </c>
      <c r="G1056" s="4">
        <v>46012.0</v>
      </c>
      <c r="H1056" s="4">
        <v>46111.0</v>
      </c>
      <c r="I1056" s="3" t="s">
        <v>613</v>
      </c>
      <c r="J1056" s="3" t="s">
        <v>2829</v>
      </c>
      <c r="K1056" s="3" t="s">
        <v>2830</v>
      </c>
      <c r="L1056" s="3">
        <v>0.3287</v>
      </c>
      <c r="M1056" s="3">
        <v>8217.5</v>
      </c>
      <c r="N1056" s="3">
        <v>4.0</v>
      </c>
      <c r="O1056" s="3">
        <v>315197.0</v>
      </c>
      <c r="P1056" s="3" t="s">
        <v>2831</v>
      </c>
      <c r="Q1056" s="3">
        <v>1232125.0</v>
      </c>
      <c r="R1056" s="3"/>
      <c r="S1056" s="3">
        <v>6574.0</v>
      </c>
      <c r="T1056" s="3" t="s">
        <v>56</v>
      </c>
      <c r="U1056" s="3">
        <v>6574.0</v>
      </c>
      <c r="V1056" s="5">
        <f>(DATE(2026,2,3)-'RICE_Insured Farms_with PPI Pol'!$G1056)+IF('RICE_Insured Farms_with PPI Pol'!$H1056&lt;&gt;'RICE_Insured Farms_with PPI Pol'!$G1056,18,0)</f>
        <v>62</v>
      </c>
      <c r="W1056" s="3" t="str">
        <f t="array" ref="W1056">IFS(V1056&gt;120, "Harvested", V1056&gt;=113, "Yellow Ripening", V1056&gt;=101, "Dough Stage", V1056&gt;=93, "Milking Stage", V1056&gt;=86, "Flowering", V1056&gt;=56, "Panicle Initiation/Booting", V1056&lt;56, "Vegetative/Tillering")</f>
        <v>Panicle Initiation/Booting</v>
      </c>
    </row>
    <row r="1057" ht="15.75" hidden="1" customHeight="1">
      <c r="A1057" s="3">
        <v>1056.0</v>
      </c>
      <c r="B1057" s="3" t="s">
        <v>23</v>
      </c>
      <c r="C1057" s="3" t="s">
        <v>50</v>
      </c>
      <c r="D1057" s="3" t="s">
        <v>51</v>
      </c>
      <c r="E1057" s="3" t="s">
        <v>321</v>
      </c>
      <c r="F1057" s="3">
        <v>1741851.0</v>
      </c>
      <c r="G1057" s="4">
        <v>46040.0</v>
      </c>
      <c r="H1057" s="4">
        <v>46135.0</v>
      </c>
      <c r="I1057" s="3" t="s">
        <v>2832</v>
      </c>
      <c r="J1057" s="3" t="s">
        <v>1868</v>
      </c>
      <c r="K1057" s="3" t="s">
        <v>2833</v>
      </c>
      <c r="L1057" s="3">
        <v>0.7292</v>
      </c>
      <c r="M1057" s="3">
        <v>18230.0</v>
      </c>
      <c r="N1057" s="3">
        <v>2.0</v>
      </c>
      <c r="O1057" s="3">
        <v>440728.0</v>
      </c>
      <c r="P1057" s="3" t="s">
        <v>2834</v>
      </c>
      <c r="Q1057" s="3">
        <v>1294715.0</v>
      </c>
      <c r="R1057" s="3"/>
      <c r="S1057" s="3">
        <v>12761.0</v>
      </c>
      <c r="T1057" s="3" t="s">
        <v>31</v>
      </c>
      <c r="U1057" s="3">
        <v>12761.0</v>
      </c>
      <c r="V1057" s="5">
        <f>(DATE(2026,2,3)-'RICE_Insured Farms_with PPI Pol'!$G1057)+IF('RICE_Insured Farms_with PPI Pol'!$H1057&lt;&gt;'RICE_Insured Farms_with PPI Pol'!$G1057,18,0)</f>
        <v>34</v>
      </c>
      <c r="W1057" s="3" t="str">
        <f t="array" ref="W1057">IFS(V1057&gt;120, "Harvested", V1057&gt;=113, "Yellow Ripening", V1057&gt;=101, "Dough Stage", V1057&gt;=93, "Milking Stage", V1057&gt;=86, "Flowering", V1057&gt;=56, "Panicle Initiation/Booting", V1057&lt;56, "Vegetative/Tillering")</f>
        <v>Vegetative/Tillering</v>
      </c>
    </row>
    <row r="1058" ht="15.75" hidden="1" customHeight="1">
      <c r="A1058" s="3">
        <v>1057.0</v>
      </c>
      <c r="B1058" s="3" t="s">
        <v>23</v>
      </c>
      <c r="C1058" s="3" t="s">
        <v>121</v>
      </c>
      <c r="D1058" s="3" t="s">
        <v>399</v>
      </c>
      <c r="E1058" s="3" t="s">
        <v>400</v>
      </c>
      <c r="F1058" s="3">
        <v>1760153.0</v>
      </c>
      <c r="G1058" s="4">
        <v>46030.0</v>
      </c>
      <c r="H1058" s="4">
        <v>46140.0</v>
      </c>
      <c r="I1058" s="3" t="s">
        <v>2835</v>
      </c>
      <c r="J1058" s="3" t="s">
        <v>2836</v>
      </c>
      <c r="K1058" s="3" t="s">
        <v>2837</v>
      </c>
      <c r="L1058" s="3">
        <v>1.0</v>
      </c>
      <c r="M1058" s="3">
        <v>25000.0</v>
      </c>
      <c r="N1058" s="3">
        <v>2.0</v>
      </c>
      <c r="O1058" s="3">
        <v>50230.0</v>
      </c>
      <c r="P1058" s="3" t="s">
        <v>2838</v>
      </c>
      <c r="Q1058" s="3">
        <v>1194879.0</v>
      </c>
      <c r="R1058" s="3"/>
      <c r="S1058" s="3">
        <v>17500.0</v>
      </c>
      <c r="T1058" s="3" t="s">
        <v>31</v>
      </c>
      <c r="U1058" s="3">
        <v>17500.0</v>
      </c>
      <c r="V1058" s="5">
        <f>(DATE(2026,2,3)-'RICE_Insured Farms_with PPI Pol'!$G1058)+IF('RICE_Insured Farms_with PPI Pol'!$H1058&lt;&gt;'RICE_Insured Farms_with PPI Pol'!$G1058,18,0)</f>
        <v>44</v>
      </c>
      <c r="W1058" s="3" t="str">
        <f t="array" ref="W1058">IFS(V1058&gt;120, "Harvested", V1058&gt;=113, "Yellow Ripening", V1058&gt;=101, "Dough Stage", V1058&gt;=93, "Milking Stage", V1058&gt;=86, "Flowering", V1058&gt;=56, "Panicle Initiation/Booting", V1058&lt;56, "Vegetative/Tillering")</f>
        <v>Vegetative/Tillering</v>
      </c>
    </row>
    <row r="1059" ht="15.75" hidden="1" customHeight="1">
      <c r="A1059" s="3">
        <v>1058.0</v>
      </c>
      <c r="B1059" s="3" t="s">
        <v>23</v>
      </c>
      <c r="C1059" s="3" t="s">
        <v>50</v>
      </c>
      <c r="D1059" s="3" t="s">
        <v>51</v>
      </c>
      <c r="E1059" s="3" t="s">
        <v>52</v>
      </c>
      <c r="F1059" s="3">
        <v>1741852.0</v>
      </c>
      <c r="G1059" s="4">
        <v>46050.0</v>
      </c>
      <c r="H1059" s="4">
        <v>46153.0</v>
      </c>
      <c r="I1059" s="3" t="s">
        <v>2839</v>
      </c>
      <c r="J1059" s="3" t="s">
        <v>2840</v>
      </c>
      <c r="K1059" s="3" t="s">
        <v>53</v>
      </c>
      <c r="L1059" s="3">
        <v>0.2065</v>
      </c>
      <c r="M1059" s="3">
        <v>5162.5</v>
      </c>
      <c r="N1059" s="3">
        <v>1.0</v>
      </c>
      <c r="O1059" s="3">
        <v>34844.0</v>
      </c>
      <c r="P1059" s="3"/>
      <c r="Q1059" s="3">
        <v>1279344.0</v>
      </c>
      <c r="R1059" s="3"/>
      <c r="S1059" s="3">
        <v>3097.5</v>
      </c>
      <c r="T1059" s="3" t="s">
        <v>62</v>
      </c>
      <c r="U1059" s="3">
        <v>3097.5</v>
      </c>
      <c r="V1059" s="5">
        <f>(DATE(2026,2,3)-'RICE_Insured Farms_with PPI Pol'!$G1059)+IF('RICE_Insured Farms_with PPI Pol'!$H1059&lt;&gt;'RICE_Insured Farms_with PPI Pol'!$G1059,18,0)</f>
        <v>24</v>
      </c>
      <c r="W1059" s="3" t="str">
        <f t="array" ref="W1059">IFS(V1059&gt;120, "Harvested", V1059&gt;=113, "Yellow Ripening", V1059&gt;=101, "Dough Stage", V1059&gt;=93, "Milking Stage", V1059&gt;=86, "Flowering", V1059&gt;=56, "Panicle Initiation/Booting", V1059&lt;56, "Vegetative/Tillering")</f>
        <v>Vegetative/Tillering</v>
      </c>
    </row>
    <row r="1060" ht="15.75" customHeight="1">
      <c r="A1060" s="3">
        <v>1059.0</v>
      </c>
      <c r="B1060" s="3" t="s">
        <v>23</v>
      </c>
      <c r="C1060" s="3" t="s">
        <v>68</v>
      </c>
      <c r="D1060" s="3" t="s">
        <v>289</v>
      </c>
      <c r="E1060" s="3" t="s">
        <v>1535</v>
      </c>
      <c r="F1060" s="3">
        <v>1760007.0</v>
      </c>
      <c r="G1060" s="4">
        <v>46013.0</v>
      </c>
      <c r="H1060" s="4">
        <v>46115.0</v>
      </c>
      <c r="I1060" s="3" t="s">
        <v>1148</v>
      </c>
      <c r="J1060" s="3" t="s">
        <v>1050</v>
      </c>
      <c r="K1060" s="3" t="s">
        <v>2196</v>
      </c>
      <c r="L1060" s="3">
        <v>0.4123</v>
      </c>
      <c r="M1060" s="3">
        <v>10307.5</v>
      </c>
      <c r="N1060" s="3">
        <v>3.0</v>
      </c>
      <c r="O1060" s="3">
        <v>21021.0</v>
      </c>
      <c r="P1060" s="3" t="s">
        <v>2841</v>
      </c>
      <c r="Q1060" s="3">
        <v>1309514.0</v>
      </c>
      <c r="R1060" s="3"/>
      <c r="S1060" s="3">
        <v>8246.0</v>
      </c>
      <c r="T1060" s="3" t="s">
        <v>37</v>
      </c>
      <c r="U1060" s="3">
        <v>8246.0</v>
      </c>
      <c r="V1060" s="5">
        <f>(DATE(2026,2,3)-'RICE_Insured Farms_with PPI Pol'!$G1060)+IF('RICE_Insured Farms_with PPI Pol'!$H1060&lt;&gt;'RICE_Insured Farms_with PPI Pol'!$G1060,18,0)</f>
        <v>61</v>
      </c>
      <c r="W1060" s="3" t="str">
        <f t="array" ref="W1060">IFS(V1060&gt;120, "Harvested", V1060&gt;=113, "Yellow Ripening", V1060&gt;=101, "Dough Stage", V1060&gt;=93, "Milking Stage", V1060&gt;=86, "Flowering", V1060&gt;=56, "Panicle Initiation/Booting", V1060&lt;56, "Vegetative/Tillering")</f>
        <v>Panicle Initiation/Booting</v>
      </c>
    </row>
    <row r="1061" ht="15.75" hidden="1" customHeight="1">
      <c r="A1061" s="3">
        <v>1060.0</v>
      </c>
      <c r="B1061" s="3" t="s">
        <v>23</v>
      </c>
      <c r="C1061" s="3" t="s">
        <v>68</v>
      </c>
      <c r="D1061" s="3" t="s">
        <v>289</v>
      </c>
      <c r="E1061" s="3" t="s">
        <v>431</v>
      </c>
      <c r="F1061" s="3">
        <v>1760019.0</v>
      </c>
      <c r="G1061" s="4">
        <v>46026.0</v>
      </c>
      <c r="H1061" s="4">
        <v>46128.0</v>
      </c>
      <c r="I1061" s="3" t="s">
        <v>2842</v>
      </c>
      <c r="J1061" s="3" t="s">
        <v>2843</v>
      </c>
      <c r="K1061" s="3" t="s">
        <v>2844</v>
      </c>
      <c r="L1061" s="3">
        <v>0.4476</v>
      </c>
      <c r="M1061" s="3">
        <v>11190.0</v>
      </c>
      <c r="N1061" s="3">
        <v>2.0</v>
      </c>
      <c r="O1061" s="3">
        <v>432847.0</v>
      </c>
      <c r="P1061" s="3"/>
      <c r="Q1061" s="3">
        <v>1117951.0</v>
      </c>
      <c r="R1061" s="3"/>
      <c r="S1061" s="3">
        <v>7833.0</v>
      </c>
      <c r="T1061" s="3" t="s">
        <v>31</v>
      </c>
      <c r="U1061" s="3">
        <v>7833.0</v>
      </c>
      <c r="V1061" s="5">
        <f>(DATE(2026,2,3)-'RICE_Insured Farms_with PPI Pol'!$G1061)+IF('RICE_Insured Farms_with PPI Pol'!$H1061&lt;&gt;'RICE_Insured Farms_with PPI Pol'!$G1061,18,0)</f>
        <v>48</v>
      </c>
      <c r="W1061" s="3" t="str">
        <f t="array" ref="W1061">IFS(V1061&gt;120, "Harvested", V1061&gt;=113, "Yellow Ripening", V1061&gt;=101, "Dough Stage", V1061&gt;=93, "Milking Stage", V1061&gt;=86, "Flowering", V1061&gt;=56, "Panicle Initiation/Booting", V1061&lt;56, "Vegetative/Tillering")</f>
        <v>Vegetative/Tillering</v>
      </c>
    </row>
    <row r="1062" ht="15.75" customHeight="1">
      <c r="A1062" s="3">
        <v>1061.0</v>
      </c>
      <c r="B1062" s="3" t="s">
        <v>23</v>
      </c>
      <c r="C1062" s="3" t="s">
        <v>68</v>
      </c>
      <c r="D1062" s="3" t="s">
        <v>122</v>
      </c>
      <c r="E1062" s="3" t="s">
        <v>321</v>
      </c>
      <c r="F1062" s="3">
        <v>1196930.0</v>
      </c>
      <c r="G1062" s="4">
        <v>46019.0</v>
      </c>
      <c r="H1062" s="4">
        <v>46121.0</v>
      </c>
      <c r="I1062" s="3" t="s">
        <v>312</v>
      </c>
      <c r="J1062" s="3" t="s">
        <v>2845</v>
      </c>
      <c r="K1062" s="3" t="s">
        <v>2846</v>
      </c>
      <c r="L1062" s="3">
        <v>0.7158</v>
      </c>
      <c r="M1062" s="3">
        <v>17895.0</v>
      </c>
      <c r="N1062" s="3">
        <v>3.0</v>
      </c>
      <c r="O1062" s="3">
        <v>297325.0</v>
      </c>
      <c r="P1062" s="3" t="s">
        <v>2847</v>
      </c>
      <c r="Q1062" s="3">
        <v>1316602.0</v>
      </c>
      <c r="R1062" s="3"/>
      <c r="S1062" s="3">
        <v>14316.0</v>
      </c>
      <c r="T1062" s="3" t="s">
        <v>37</v>
      </c>
      <c r="U1062" s="3">
        <v>14316.0</v>
      </c>
      <c r="V1062" s="5">
        <f>(DATE(2026,2,3)-'RICE_Insured Farms_with PPI Pol'!$G1062)+IF('RICE_Insured Farms_with PPI Pol'!$H1062&lt;&gt;'RICE_Insured Farms_with PPI Pol'!$G1062,18,0)</f>
        <v>55</v>
      </c>
      <c r="W1062" s="3" t="str">
        <f t="array" ref="W1062">IFS(V1062&gt;120, "Harvested", V1062&gt;=113, "Yellow Ripening", V1062&gt;=101, "Dough Stage", V1062&gt;=93, "Milking Stage", V1062&gt;=86, "Flowering", V1062&gt;=56, "Panicle Initiation/Booting", V1062&lt;56, "Vegetative/Tillering")</f>
        <v>Vegetative/Tillering</v>
      </c>
    </row>
    <row r="1063" ht="15.75" hidden="1" customHeight="1">
      <c r="A1063" s="3">
        <v>1062.0</v>
      </c>
      <c r="B1063" s="3" t="s">
        <v>23</v>
      </c>
      <c r="C1063" s="3" t="s">
        <v>68</v>
      </c>
      <c r="D1063" s="3" t="s">
        <v>289</v>
      </c>
      <c r="E1063" s="3" t="s">
        <v>774</v>
      </c>
      <c r="F1063" s="3">
        <v>1760023.0</v>
      </c>
      <c r="G1063" s="4">
        <v>46025.0</v>
      </c>
      <c r="H1063" s="4">
        <v>46127.0</v>
      </c>
      <c r="I1063" s="3" t="s">
        <v>180</v>
      </c>
      <c r="J1063" s="3" t="s">
        <v>2848</v>
      </c>
      <c r="K1063" s="3" t="s">
        <v>2849</v>
      </c>
      <c r="L1063" s="3">
        <v>0.2976</v>
      </c>
      <c r="M1063" s="3">
        <v>7440.0</v>
      </c>
      <c r="N1063" s="3">
        <v>2.0</v>
      </c>
      <c r="O1063" s="3">
        <v>432590.0</v>
      </c>
      <c r="P1063" s="3" t="s">
        <v>2850</v>
      </c>
      <c r="Q1063" s="3">
        <v>1280435.0</v>
      </c>
      <c r="R1063" s="3"/>
      <c r="S1063" s="3">
        <v>5208.0</v>
      </c>
      <c r="T1063" s="3" t="s">
        <v>31</v>
      </c>
      <c r="U1063" s="3">
        <v>5208.0</v>
      </c>
      <c r="V1063" s="5">
        <f>(DATE(2026,2,3)-'RICE_Insured Farms_with PPI Pol'!$G1063)+IF('RICE_Insured Farms_with PPI Pol'!$H1063&lt;&gt;'RICE_Insured Farms_with PPI Pol'!$G1063,18,0)</f>
        <v>49</v>
      </c>
      <c r="W1063" s="3" t="str">
        <f t="array" ref="W1063">IFS(V1063&gt;120, "Harvested", V1063&gt;=113, "Yellow Ripening", V1063&gt;=101, "Dough Stage", V1063&gt;=93, "Milking Stage", V1063&gt;=86, "Flowering", V1063&gt;=56, "Panicle Initiation/Booting", V1063&lt;56, "Vegetative/Tillering")</f>
        <v>Vegetative/Tillering</v>
      </c>
    </row>
    <row r="1064" ht="15.75" hidden="1" customHeight="1">
      <c r="A1064" s="3">
        <v>1063.0</v>
      </c>
      <c r="B1064" s="3" t="s">
        <v>23</v>
      </c>
      <c r="C1064" s="3" t="s">
        <v>24</v>
      </c>
      <c r="D1064" s="3" t="s">
        <v>25</v>
      </c>
      <c r="E1064" s="3" t="s">
        <v>1374</v>
      </c>
      <c r="F1064" s="3">
        <v>1760468.0</v>
      </c>
      <c r="G1064" s="4">
        <v>46016.0</v>
      </c>
      <c r="H1064" s="4">
        <v>46136.0</v>
      </c>
      <c r="I1064" s="3" t="s">
        <v>2851</v>
      </c>
      <c r="J1064" s="3" t="s">
        <v>1795</v>
      </c>
      <c r="K1064" s="3" t="s">
        <v>1700</v>
      </c>
      <c r="L1064" s="3">
        <v>0.4034</v>
      </c>
      <c r="M1064" s="3">
        <v>10085.0</v>
      </c>
      <c r="N1064" s="3">
        <v>2.0</v>
      </c>
      <c r="O1064" s="3">
        <v>334473.0</v>
      </c>
      <c r="P1064" s="3" t="s">
        <v>2852</v>
      </c>
      <c r="Q1064" s="3">
        <v>1321126.0</v>
      </c>
      <c r="R1064" s="3"/>
      <c r="S1064" s="3">
        <v>7059.5</v>
      </c>
      <c r="T1064" s="3" t="s">
        <v>31</v>
      </c>
      <c r="U1064" s="3">
        <v>7059.5</v>
      </c>
      <c r="V1064" s="5">
        <f>(DATE(2026,2,3)-'RICE_Insured Farms_with PPI Pol'!$G1064)+IF('RICE_Insured Farms_with PPI Pol'!$H1064&lt;&gt;'RICE_Insured Farms_with PPI Pol'!$G1064,18,0)</f>
        <v>58</v>
      </c>
      <c r="W1064" s="3" t="str">
        <f t="array" ref="W1064">IFS(V1064&gt;120, "Harvested", V1064&gt;=113, "Yellow Ripening", V1064&gt;=101, "Dough Stage", V1064&gt;=93, "Milking Stage", V1064&gt;=86, "Flowering", V1064&gt;=56, "Panicle Initiation/Booting", V1064&lt;56, "Vegetative/Tillering")</f>
        <v>Panicle Initiation/Booting</v>
      </c>
    </row>
    <row r="1065" ht="15.75" hidden="1" customHeight="1">
      <c r="A1065" s="3">
        <v>1064.0</v>
      </c>
      <c r="B1065" s="3" t="s">
        <v>23</v>
      </c>
      <c r="C1065" s="3" t="s">
        <v>24</v>
      </c>
      <c r="D1065" s="3" t="s">
        <v>25</v>
      </c>
      <c r="E1065" s="3" t="s">
        <v>1374</v>
      </c>
      <c r="F1065" s="3">
        <v>1760468.0</v>
      </c>
      <c r="G1065" s="4">
        <v>46016.0</v>
      </c>
      <c r="H1065" s="4">
        <v>46136.0</v>
      </c>
      <c r="I1065" s="3" t="s">
        <v>2851</v>
      </c>
      <c r="J1065" s="3" t="s">
        <v>1795</v>
      </c>
      <c r="K1065" s="3" t="s">
        <v>1700</v>
      </c>
      <c r="L1065" s="3">
        <v>0.1575</v>
      </c>
      <c r="M1065" s="3">
        <v>3937.5</v>
      </c>
      <c r="N1065" s="3">
        <v>2.0</v>
      </c>
      <c r="O1065" s="3">
        <v>334473.0</v>
      </c>
      <c r="P1065" s="3" t="s">
        <v>2852</v>
      </c>
      <c r="Q1065" s="3">
        <v>1321128.0</v>
      </c>
      <c r="R1065" s="3"/>
      <c r="S1065" s="3">
        <v>2756.25</v>
      </c>
      <c r="T1065" s="3" t="s">
        <v>31</v>
      </c>
      <c r="U1065" s="3">
        <v>2756.25</v>
      </c>
      <c r="V1065" s="5">
        <f>(DATE(2026,2,3)-'RICE_Insured Farms_with PPI Pol'!$G1065)+IF('RICE_Insured Farms_with PPI Pol'!$H1065&lt;&gt;'RICE_Insured Farms_with PPI Pol'!$G1065,18,0)</f>
        <v>58</v>
      </c>
      <c r="W1065" s="3" t="str">
        <f t="array" ref="W1065">IFS(V1065&gt;120, "Harvested", V1065&gt;=113, "Yellow Ripening", V1065&gt;=101, "Dough Stage", V1065&gt;=93, "Milking Stage", V1065&gt;=86, "Flowering", V1065&gt;=56, "Panicle Initiation/Booting", V1065&lt;56, "Vegetative/Tillering")</f>
        <v>Panicle Initiation/Booting</v>
      </c>
    </row>
    <row r="1066" ht="15.75" hidden="1" customHeight="1">
      <c r="A1066" s="3">
        <v>1065.0</v>
      </c>
      <c r="B1066" s="3" t="s">
        <v>23</v>
      </c>
      <c r="C1066" s="3" t="s">
        <v>68</v>
      </c>
      <c r="D1066" s="3" t="s">
        <v>289</v>
      </c>
      <c r="E1066" s="3" t="s">
        <v>352</v>
      </c>
      <c r="F1066" s="3">
        <v>1760053.0</v>
      </c>
      <c r="G1066" s="4">
        <v>46030.0</v>
      </c>
      <c r="H1066" s="4">
        <v>46132.0</v>
      </c>
      <c r="I1066" s="3" t="s">
        <v>2853</v>
      </c>
      <c r="J1066" s="3" t="s">
        <v>2854</v>
      </c>
      <c r="K1066" s="3" t="s">
        <v>2855</v>
      </c>
      <c r="L1066" s="3">
        <v>0.4126</v>
      </c>
      <c r="M1066" s="3">
        <v>10315.0</v>
      </c>
      <c r="N1066" s="3">
        <v>2.0</v>
      </c>
      <c r="O1066" s="3">
        <v>295296.0</v>
      </c>
      <c r="P1066" s="3"/>
      <c r="Q1066" s="3">
        <v>1284233.0</v>
      </c>
      <c r="R1066" s="3"/>
      <c r="S1066" s="3">
        <v>7220.5</v>
      </c>
      <c r="T1066" s="3" t="s">
        <v>31</v>
      </c>
      <c r="U1066" s="3">
        <v>7220.5</v>
      </c>
      <c r="V1066" s="5">
        <f>(DATE(2026,2,3)-'RICE_Insured Farms_with PPI Pol'!$G1066)+IF('RICE_Insured Farms_with PPI Pol'!$H1066&lt;&gt;'RICE_Insured Farms_with PPI Pol'!$G1066,18,0)</f>
        <v>44</v>
      </c>
      <c r="W1066" s="3" t="str">
        <f t="array" ref="W1066">IFS(V1066&gt;120, "Harvested", V1066&gt;=113, "Yellow Ripening", V1066&gt;=101, "Dough Stage", V1066&gt;=93, "Milking Stage", V1066&gt;=86, "Flowering", V1066&gt;=56, "Panicle Initiation/Booting", V1066&lt;56, "Vegetative/Tillering")</f>
        <v>Vegetative/Tillering</v>
      </c>
    </row>
    <row r="1067" ht="15.75" hidden="1" customHeight="1">
      <c r="A1067" s="3">
        <v>1066.0</v>
      </c>
      <c r="B1067" s="3" t="s">
        <v>23</v>
      </c>
      <c r="C1067" s="3" t="s">
        <v>121</v>
      </c>
      <c r="D1067" s="3" t="s">
        <v>399</v>
      </c>
      <c r="E1067" s="3" t="s">
        <v>400</v>
      </c>
      <c r="F1067" s="3">
        <v>1760153.0</v>
      </c>
      <c r="G1067" s="4">
        <v>46027.0</v>
      </c>
      <c r="H1067" s="4">
        <v>46147.0</v>
      </c>
      <c r="I1067" s="3" t="s">
        <v>1838</v>
      </c>
      <c r="J1067" s="3" t="s">
        <v>586</v>
      </c>
      <c r="K1067" s="3" t="s">
        <v>715</v>
      </c>
      <c r="L1067" s="3">
        <v>1.9901</v>
      </c>
      <c r="M1067" s="3">
        <v>49752.5</v>
      </c>
      <c r="N1067" s="3">
        <v>1.0</v>
      </c>
      <c r="O1067" s="3">
        <v>14912.0</v>
      </c>
      <c r="P1067" s="3" t="s">
        <v>2856</v>
      </c>
      <c r="Q1067" s="3">
        <v>1203146.0</v>
      </c>
      <c r="R1067" s="3"/>
      <c r="S1067" s="3">
        <v>29851.5</v>
      </c>
      <c r="T1067" s="3" t="s">
        <v>62</v>
      </c>
      <c r="U1067" s="3">
        <v>29851.5</v>
      </c>
      <c r="V1067" s="5">
        <f>(DATE(2026,2,3)-'RICE_Insured Farms_with PPI Pol'!$G1067)+IF('RICE_Insured Farms_with PPI Pol'!$H1067&lt;&gt;'RICE_Insured Farms_with PPI Pol'!$G1067,18,0)</f>
        <v>47</v>
      </c>
      <c r="W1067" s="3" t="str">
        <f t="array" ref="W1067">IFS(V1067&gt;120, "Harvested", V1067&gt;=113, "Yellow Ripening", V1067&gt;=101, "Dough Stage", V1067&gt;=93, "Milking Stage", V1067&gt;=86, "Flowering", V1067&gt;=56, "Panicle Initiation/Booting", V1067&lt;56, "Vegetative/Tillering")</f>
        <v>Vegetative/Tillering</v>
      </c>
    </row>
    <row r="1068" ht="15.75" customHeight="1">
      <c r="A1068" s="3">
        <v>1067.0</v>
      </c>
      <c r="B1068" s="3" t="s">
        <v>23</v>
      </c>
      <c r="C1068" s="3" t="s">
        <v>1453</v>
      </c>
      <c r="D1068" s="3" t="s">
        <v>1454</v>
      </c>
      <c r="E1068" s="3" t="s">
        <v>1455</v>
      </c>
      <c r="F1068" s="3">
        <v>1742023.0</v>
      </c>
      <c r="G1068" s="4">
        <v>46021.0</v>
      </c>
      <c r="H1068" s="4">
        <v>46123.0</v>
      </c>
      <c r="I1068" s="3" t="s">
        <v>2857</v>
      </c>
      <c r="J1068" s="3" t="s">
        <v>2858</v>
      </c>
      <c r="K1068" s="3" t="s">
        <v>2859</v>
      </c>
      <c r="L1068" s="3">
        <v>1.0</v>
      </c>
      <c r="M1068" s="3">
        <v>25000.0</v>
      </c>
      <c r="N1068" s="3">
        <v>3.0</v>
      </c>
      <c r="O1068" s="3">
        <v>389016.0</v>
      </c>
      <c r="P1068" s="3"/>
      <c r="Q1068" s="3">
        <v>1318562.0</v>
      </c>
      <c r="R1068" s="3"/>
      <c r="S1068" s="3">
        <v>20000.0</v>
      </c>
      <c r="T1068" s="3" t="s">
        <v>37</v>
      </c>
      <c r="U1068" s="3">
        <v>20000.0</v>
      </c>
      <c r="V1068" s="5">
        <f>(DATE(2026,2,3)-'RICE_Insured Farms_with PPI Pol'!$G1068)+IF('RICE_Insured Farms_with PPI Pol'!$H1068&lt;&gt;'RICE_Insured Farms_with PPI Pol'!$G1068,18,0)</f>
        <v>53</v>
      </c>
      <c r="W1068" s="3" t="str">
        <f t="array" ref="W1068">IFS(V1068&gt;120, "Harvested", V1068&gt;=113, "Yellow Ripening", V1068&gt;=101, "Dough Stage", V1068&gt;=93, "Milking Stage", V1068&gt;=86, "Flowering", V1068&gt;=56, "Panicle Initiation/Booting", V1068&lt;56, "Vegetative/Tillering")</f>
        <v>Vegetative/Tillering</v>
      </c>
    </row>
    <row r="1069" ht="15.75" customHeight="1">
      <c r="A1069" s="3">
        <v>1068.0</v>
      </c>
      <c r="B1069" s="3" t="s">
        <v>23</v>
      </c>
      <c r="C1069" s="3" t="s">
        <v>1453</v>
      </c>
      <c r="D1069" s="3" t="s">
        <v>1454</v>
      </c>
      <c r="E1069" s="3" t="s">
        <v>1455</v>
      </c>
      <c r="F1069" s="3">
        <v>1742023.0</v>
      </c>
      <c r="G1069" s="4">
        <v>46019.0</v>
      </c>
      <c r="H1069" s="4">
        <v>46121.0</v>
      </c>
      <c r="I1069" s="3" t="s">
        <v>2860</v>
      </c>
      <c r="J1069" s="3" t="s">
        <v>2861</v>
      </c>
      <c r="K1069" s="3" t="s">
        <v>2862</v>
      </c>
      <c r="L1069" s="3">
        <v>0.8</v>
      </c>
      <c r="M1069" s="3">
        <v>20000.0</v>
      </c>
      <c r="N1069" s="3">
        <v>3.0</v>
      </c>
      <c r="O1069" s="3">
        <v>84002.0</v>
      </c>
      <c r="P1069" s="3" t="s">
        <v>2863</v>
      </c>
      <c r="Q1069" s="3">
        <v>1318675.0</v>
      </c>
      <c r="R1069" s="3"/>
      <c r="S1069" s="3">
        <v>16000.0</v>
      </c>
      <c r="T1069" s="3" t="s">
        <v>37</v>
      </c>
      <c r="U1069" s="3">
        <v>16000.0</v>
      </c>
      <c r="V1069" s="5">
        <f>(DATE(2026,2,3)-'RICE_Insured Farms_with PPI Pol'!$G1069)+IF('RICE_Insured Farms_with PPI Pol'!$H1069&lt;&gt;'RICE_Insured Farms_with PPI Pol'!$G1069,18,0)</f>
        <v>55</v>
      </c>
      <c r="W1069" s="3" t="str">
        <f t="array" ref="W1069">IFS(V1069&gt;120, "Harvested", V1069&gt;=113, "Yellow Ripening", V1069&gt;=101, "Dough Stage", V1069&gt;=93, "Milking Stage", V1069&gt;=86, "Flowering", V1069&gt;=56, "Panicle Initiation/Booting", V1069&lt;56, "Vegetative/Tillering")</f>
        <v>Vegetative/Tillering</v>
      </c>
    </row>
    <row r="1070" ht="15.75" hidden="1" customHeight="1">
      <c r="A1070" s="3">
        <v>1069.0</v>
      </c>
      <c r="B1070" s="3" t="s">
        <v>23</v>
      </c>
      <c r="C1070" s="3" t="s">
        <v>68</v>
      </c>
      <c r="D1070" s="3" t="s">
        <v>289</v>
      </c>
      <c r="E1070" s="3" t="s">
        <v>895</v>
      </c>
      <c r="F1070" s="3">
        <v>1760033.0</v>
      </c>
      <c r="G1070" s="4">
        <v>46035.0</v>
      </c>
      <c r="H1070" s="4">
        <v>46137.0</v>
      </c>
      <c r="I1070" s="3" t="s">
        <v>2864</v>
      </c>
      <c r="J1070" s="3" t="s">
        <v>1068</v>
      </c>
      <c r="K1070" s="3" t="s">
        <v>2865</v>
      </c>
      <c r="L1070" s="3">
        <v>1.2158</v>
      </c>
      <c r="M1070" s="3">
        <v>30395.0</v>
      </c>
      <c r="N1070" s="3">
        <v>2.0</v>
      </c>
      <c r="O1070" s="3">
        <v>127717.0</v>
      </c>
      <c r="P1070" s="3" t="s">
        <v>2866</v>
      </c>
      <c r="Q1070" s="3">
        <v>1281127.0</v>
      </c>
      <c r="R1070" s="3"/>
      <c r="S1070" s="3">
        <v>21276.5</v>
      </c>
      <c r="T1070" s="3" t="s">
        <v>31</v>
      </c>
      <c r="U1070" s="3">
        <v>21276.5</v>
      </c>
      <c r="V1070" s="5">
        <f>(DATE(2026,2,3)-'RICE_Insured Farms_with PPI Pol'!$G1070)+IF('RICE_Insured Farms_with PPI Pol'!$H1070&lt;&gt;'RICE_Insured Farms_with PPI Pol'!$G1070,18,0)</f>
        <v>39</v>
      </c>
      <c r="W1070" s="3" t="str">
        <f t="array" ref="W1070">IFS(V1070&gt;120, "Harvested", V1070&gt;=113, "Yellow Ripening", V1070&gt;=101, "Dough Stage", V1070&gt;=93, "Milking Stage", V1070&gt;=86, "Flowering", V1070&gt;=56, "Panicle Initiation/Booting", V1070&lt;56, "Vegetative/Tillering")</f>
        <v>Vegetative/Tillering</v>
      </c>
    </row>
    <row r="1071" ht="15.75" hidden="1" customHeight="1">
      <c r="A1071" s="3">
        <v>1368.0</v>
      </c>
      <c r="B1071" s="3" t="s">
        <v>23</v>
      </c>
      <c r="C1071" s="3" t="s">
        <v>24</v>
      </c>
      <c r="D1071" s="3" t="s">
        <v>25</v>
      </c>
      <c r="E1071" s="3" t="s">
        <v>1164</v>
      </c>
      <c r="F1071" s="3">
        <v>1760492.0</v>
      </c>
      <c r="G1071" s="4">
        <v>46012.0</v>
      </c>
      <c r="H1071" s="4">
        <v>46107.0</v>
      </c>
      <c r="I1071" s="3" t="s">
        <v>613</v>
      </c>
      <c r="J1071" s="3" t="s">
        <v>114</v>
      </c>
      <c r="K1071" s="3" t="s">
        <v>1481</v>
      </c>
      <c r="L1071" s="3">
        <v>0.1072</v>
      </c>
      <c r="M1071" s="3">
        <v>2680.0</v>
      </c>
      <c r="N1071" s="3">
        <v>4.0</v>
      </c>
      <c r="O1071" s="3">
        <v>315188.0</v>
      </c>
      <c r="P1071" s="3" t="s">
        <v>2867</v>
      </c>
      <c r="Q1071" s="3">
        <v>1231336.0</v>
      </c>
      <c r="R1071" s="3"/>
      <c r="S1071" s="3">
        <v>2144.0</v>
      </c>
      <c r="T1071" s="3" t="s">
        <v>56</v>
      </c>
      <c r="U1071" s="3">
        <v>2144.0</v>
      </c>
      <c r="V1071" s="5">
        <f>(DATE(2026,2,3)-'RICE_Insured Farms_with PPI Pol'!$G1071)+IF('RICE_Insured Farms_with PPI Pol'!$H1071&lt;&gt;'RICE_Insured Farms_with PPI Pol'!$G1071,18,0)</f>
        <v>62</v>
      </c>
      <c r="W1071" s="3" t="str">
        <f t="array" ref="W1071">IFS(V1071&gt;120, "Harvested", V1071&gt;=113, "Yellow Ripening", V1071&gt;=101, "Dough Stage", V1071&gt;=93, "Milking Stage", V1071&gt;=86, "Flowering", V1071&gt;=56, "Panicle Initiation/Booting", V1071&lt;56, "Vegetative/Tillering")</f>
        <v>Panicle Initiation/Booting</v>
      </c>
    </row>
    <row r="1072" ht="15.75" hidden="1" customHeight="1">
      <c r="A1072" s="3">
        <v>1071.0</v>
      </c>
      <c r="B1072" s="3" t="s">
        <v>23</v>
      </c>
      <c r="C1072" s="3" t="s">
        <v>68</v>
      </c>
      <c r="D1072" s="3" t="s">
        <v>289</v>
      </c>
      <c r="E1072" s="3" t="s">
        <v>431</v>
      </c>
      <c r="F1072" s="3">
        <v>1760038.0</v>
      </c>
      <c r="G1072" s="4">
        <v>46034.0</v>
      </c>
      <c r="H1072" s="4">
        <v>46136.0</v>
      </c>
      <c r="I1072" s="3" t="s">
        <v>2868</v>
      </c>
      <c r="J1072" s="3" t="s">
        <v>2869</v>
      </c>
      <c r="K1072" s="3" t="s">
        <v>2870</v>
      </c>
      <c r="L1072" s="3">
        <v>0.2183</v>
      </c>
      <c r="M1072" s="3">
        <v>5457.5</v>
      </c>
      <c r="N1072" s="3">
        <v>2.0</v>
      </c>
      <c r="O1072" s="3">
        <v>298868.0</v>
      </c>
      <c r="P1072" s="3" t="s">
        <v>2871</v>
      </c>
      <c r="Q1072" s="3">
        <v>1276872.0</v>
      </c>
      <c r="R1072" s="3"/>
      <c r="S1072" s="3">
        <v>3820.25</v>
      </c>
      <c r="T1072" s="3" t="s">
        <v>31</v>
      </c>
      <c r="U1072" s="3">
        <v>3820.25</v>
      </c>
      <c r="V1072" s="5">
        <f>(DATE(2026,2,3)-'RICE_Insured Farms_with PPI Pol'!$G1072)+IF('RICE_Insured Farms_with PPI Pol'!$H1072&lt;&gt;'RICE_Insured Farms_with PPI Pol'!$G1072,18,0)</f>
        <v>40</v>
      </c>
      <c r="W1072" s="3" t="str">
        <f t="array" ref="W1072">IFS(V1072&gt;120, "Harvested", V1072&gt;=113, "Yellow Ripening", V1072&gt;=101, "Dough Stage", V1072&gt;=93, "Milking Stage", V1072&gt;=86, "Flowering", V1072&gt;=56, "Panicle Initiation/Booting", V1072&lt;56, "Vegetative/Tillering")</f>
        <v>Vegetative/Tillering</v>
      </c>
    </row>
    <row r="1073" ht="15.75" hidden="1" customHeight="1">
      <c r="A1073" s="3">
        <v>1072.0</v>
      </c>
      <c r="B1073" s="3" t="s">
        <v>23</v>
      </c>
      <c r="C1073" s="3" t="s">
        <v>68</v>
      </c>
      <c r="D1073" s="3" t="s">
        <v>289</v>
      </c>
      <c r="E1073" s="3" t="s">
        <v>571</v>
      </c>
      <c r="F1073" s="3">
        <v>1760038.0</v>
      </c>
      <c r="G1073" s="4">
        <v>46036.0</v>
      </c>
      <c r="H1073" s="4">
        <v>46138.0</v>
      </c>
      <c r="I1073" s="3" t="s">
        <v>2872</v>
      </c>
      <c r="J1073" s="3" t="s">
        <v>749</v>
      </c>
      <c r="K1073" s="3" t="s">
        <v>2873</v>
      </c>
      <c r="L1073" s="3">
        <v>1.1439</v>
      </c>
      <c r="M1073" s="3">
        <v>28597.5</v>
      </c>
      <c r="N1073" s="3">
        <v>2.0</v>
      </c>
      <c r="O1073" s="3">
        <v>161691.0</v>
      </c>
      <c r="P1073" s="3" t="s">
        <v>2874</v>
      </c>
      <c r="Q1073" s="3">
        <v>1185166.0</v>
      </c>
      <c r="R1073" s="3"/>
      <c r="S1073" s="3">
        <v>20018.25</v>
      </c>
      <c r="T1073" s="3" t="s">
        <v>31</v>
      </c>
      <c r="U1073" s="3">
        <v>20018.25</v>
      </c>
      <c r="V1073" s="5">
        <f>(DATE(2026,2,3)-'RICE_Insured Farms_with PPI Pol'!$G1073)+IF('RICE_Insured Farms_with PPI Pol'!$H1073&lt;&gt;'RICE_Insured Farms_with PPI Pol'!$G1073,18,0)</f>
        <v>38</v>
      </c>
      <c r="W1073" s="3" t="str">
        <f t="array" ref="W1073">IFS(V1073&gt;120, "Harvested", V1073&gt;=113, "Yellow Ripening", V1073&gt;=101, "Dough Stage", V1073&gt;=93, "Milking Stage", V1073&gt;=86, "Flowering", V1073&gt;=56, "Panicle Initiation/Booting", V1073&lt;56, "Vegetative/Tillering")</f>
        <v>Vegetative/Tillering</v>
      </c>
    </row>
    <row r="1074" ht="15.75" hidden="1" customHeight="1">
      <c r="A1074" s="3">
        <v>1073.0</v>
      </c>
      <c r="B1074" s="3" t="s">
        <v>23</v>
      </c>
      <c r="C1074" s="3" t="s">
        <v>68</v>
      </c>
      <c r="D1074" s="3" t="s">
        <v>289</v>
      </c>
      <c r="E1074" s="3" t="s">
        <v>431</v>
      </c>
      <c r="F1074" s="3">
        <v>1760038.0</v>
      </c>
      <c r="G1074" s="4">
        <v>46036.0</v>
      </c>
      <c r="H1074" s="4">
        <v>46138.0</v>
      </c>
      <c r="I1074" s="3" t="s">
        <v>2872</v>
      </c>
      <c r="J1074" s="3" t="s">
        <v>749</v>
      </c>
      <c r="K1074" s="3" t="s">
        <v>2873</v>
      </c>
      <c r="L1074" s="3">
        <v>0.2687</v>
      </c>
      <c r="M1074" s="3">
        <v>6717.5</v>
      </c>
      <c r="N1074" s="3">
        <v>2.0</v>
      </c>
      <c r="O1074" s="3">
        <v>161691.0</v>
      </c>
      <c r="P1074" s="3" t="s">
        <v>2874</v>
      </c>
      <c r="Q1074" s="3">
        <v>1280984.0</v>
      </c>
      <c r="R1074" s="3"/>
      <c r="S1074" s="3">
        <v>4702.25</v>
      </c>
      <c r="T1074" s="3" t="s">
        <v>31</v>
      </c>
      <c r="U1074" s="3">
        <v>4702.25</v>
      </c>
      <c r="V1074" s="5">
        <f>(DATE(2026,2,3)-'RICE_Insured Farms_with PPI Pol'!$G1074)+IF('RICE_Insured Farms_with PPI Pol'!$H1074&lt;&gt;'RICE_Insured Farms_with PPI Pol'!$G1074,18,0)</f>
        <v>38</v>
      </c>
      <c r="W1074" s="3" t="str">
        <f t="array" ref="W1074">IFS(V1074&gt;120, "Harvested", V1074&gt;=113, "Yellow Ripening", V1074&gt;=101, "Dough Stage", V1074&gt;=93, "Milking Stage", V1074&gt;=86, "Flowering", V1074&gt;=56, "Panicle Initiation/Booting", V1074&lt;56, "Vegetative/Tillering")</f>
        <v>Vegetative/Tillering</v>
      </c>
    </row>
    <row r="1075" ht="15.75" customHeight="1">
      <c r="A1075" s="3">
        <v>1074.0</v>
      </c>
      <c r="B1075" s="3" t="s">
        <v>23</v>
      </c>
      <c r="C1075" s="3" t="s">
        <v>68</v>
      </c>
      <c r="D1075" s="3" t="s">
        <v>122</v>
      </c>
      <c r="E1075" s="3" t="s">
        <v>321</v>
      </c>
      <c r="F1075" s="3">
        <v>1196930.0</v>
      </c>
      <c r="G1075" s="4">
        <v>46014.0</v>
      </c>
      <c r="H1075" s="4">
        <v>46116.0</v>
      </c>
      <c r="I1075" s="3" t="s">
        <v>2875</v>
      </c>
      <c r="J1075" s="3" t="s">
        <v>2876</v>
      </c>
      <c r="K1075" s="3" t="s">
        <v>2877</v>
      </c>
      <c r="L1075" s="3">
        <v>0.5939</v>
      </c>
      <c r="M1075" s="3">
        <v>14847.5</v>
      </c>
      <c r="N1075" s="3">
        <v>3.0</v>
      </c>
      <c r="O1075" s="3">
        <v>200053.0</v>
      </c>
      <c r="P1075" s="3"/>
      <c r="Q1075" s="3">
        <v>1186499.0</v>
      </c>
      <c r="R1075" s="3"/>
      <c r="S1075" s="3">
        <v>11878.0</v>
      </c>
      <c r="T1075" s="3" t="s">
        <v>37</v>
      </c>
      <c r="U1075" s="3">
        <v>11878.0</v>
      </c>
      <c r="V1075" s="5">
        <f>(DATE(2026,2,3)-'RICE_Insured Farms_with PPI Pol'!$G1075)+IF('RICE_Insured Farms_with PPI Pol'!$H1075&lt;&gt;'RICE_Insured Farms_with PPI Pol'!$G1075,18,0)</f>
        <v>60</v>
      </c>
      <c r="W1075" s="3" t="str">
        <f t="array" ref="W1075">IFS(V1075&gt;120, "Harvested", V1075&gt;=113, "Yellow Ripening", V1075&gt;=101, "Dough Stage", V1075&gt;=93, "Milking Stage", V1075&gt;=86, "Flowering", V1075&gt;=56, "Panicle Initiation/Booting", V1075&lt;56, "Vegetative/Tillering")</f>
        <v>Panicle Initiation/Booting</v>
      </c>
    </row>
    <row r="1076" ht="15.75" hidden="1" customHeight="1">
      <c r="A1076" s="3">
        <v>1075.0</v>
      </c>
      <c r="B1076" s="3" t="s">
        <v>23</v>
      </c>
      <c r="C1076" s="3" t="s">
        <v>68</v>
      </c>
      <c r="D1076" s="3" t="s">
        <v>69</v>
      </c>
      <c r="E1076" s="3" t="s">
        <v>131</v>
      </c>
      <c r="F1076" s="3">
        <v>1739644.0</v>
      </c>
      <c r="G1076" s="4">
        <v>46024.0</v>
      </c>
      <c r="H1076" s="4">
        <v>46127.0</v>
      </c>
      <c r="I1076" s="3" t="s">
        <v>2878</v>
      </c>
      <c r="J1076" s="3" t="s">
        <v>2879</v>
      </c>
      <c r="K1076" s="3" t="s">
        <v>2880</v>
      </c>
      <c r="L1076" s="3">
        <v>0.4256</v>
      </c>
      <c r="M1076" s="3">
        <v>10640.0</v>
      </c>
      <c r="N1076" s="3">
        <v>2.0</v>
      </c>
      <c r="O1076" s="3">
        <v>135700.0</v>
      </c>
      <c r="P1076" s="3"/>
      <c r="Q1076" s="3">
        <v>1138259.0</v>
      </c>
      <c r="R1076" s="3"/>
      <c r="S1076" s="3">
        <v>7448.0</v>
      </c>
      <c r="T1076" s="3" t="s">
        <v>31</v>
      </c>
      <c r="U1076" s="3">
        <v>7448.0</v>
      </c>
      <c r="V1076" s="5">
        <f>(DATE(2026,2,3)-'RICE_Insured Farms_with PPI Pol'!$G1076)+IF('RICE_Insured Farms_with PPI Pol'!$H1076&lt;&gt;'RICE_Insured Farms_with PPI Pol'!$G1076,18,0)</f>
        <v>50</v>
      </c>
      <c r="W1076" s="3" t="str">
        <f t="array" ref="W1076">IFS(V1076&gt;120, "Harvested", V1076&gt;=113, "Yellow Ripening", V1076&gt;=101, "Dough Stage", V1076&gt;=93, "Milking Stage", V1076&gt;=86, "Flowering", V1076&gt;=56, "Panicle Initiation/Booting", V1076&lt;56, "Vegetative/Tillering")</f>
        <v>Vegetative/Tillering</v>
      </c>
    </row>
    <row r="1077" ht="15.75" hidden="1" customHeight="1">
      <c r="A1077" s="3">
        <v>1076.0</v>
      </c>
      <c r="B1077" s="3" t="s">
        <v>23</v>
      </c>
      <c r="C1077" s="3" t="s">
        <v>121</v>
      </c>
      <c r="D1077" s="3" t="s">
        <v>1492</v>
      </c>
      <c r="E1077" s="3" t="s">
        <v>1493</v>
      </c>
      <c r="F1077" s="3">
        <v>1740657.0</v>
      </c>
      <c r="G1077" s="4">
        <v>46036.0</v>
      </c>
      <c r="H1077" s="4">
        <v>46156.0</v>
      </c>
      <c r="I1077" s="3" t="s">
        <v>2881</v>
      </c>
      <c r="J1077" s="3" t="s">
        <v>544</v>
      </c>
      <c r="K1077" s="3" t="s">
        <v>2882</v>
      </c>
      <c r="L1077" s="3">
        <v>1.4541</v>
      </c>
      <c r="M1077" s="3">
        <v>36352.5</v>
      </c>
      <c r="N1077" s="3">
        <v>1.0</v>
      </c>
      <c r="O1077" s="3">
        <v>18643.0</v>
      </c>
      <c r="P1077" s="3" t="s">
        <v>2883</v>
      </c>
      <c r="Q1077" s="3">
        <v>1137474.0</v>
      </c>
      <c r="R1077" s="3"/>
      <c r="S1077" s="3">
        <v>21811.5</v>
      </c>
      <c r="T1077" s="3" t="s">
        <v>62</v>
      </c>
      <c r="U1077" s="3">
        <v>21811.5</v>
      </c>
      <c r="V1077" s="5">
        <f>(DATE(2026,2,3)-'RICE_Insured Farms_with PPI Pol'!$G1077)+IF('RICE_Insured Farms_with PPI Pol'!$H1077&lt;&gt;'RICE_Insured Farms_with PPI Pol'!$G1077,18,0)</f>
        <v>38</v>
      </c>
      <c r="W1077" s="3" t="str">
        <f t="array" ref="W1077">IFS(V1077&gt;120, "Harvested", V1077&gt;=113, "Yellow Ripening", V1077&gt;=101, "Dough Stage", V1077&gt;=93, "Milking Stage", V1077&gt;=86, "Flowering", V1077&gt;=56, "Panicle Initiation/Booting", V1077&lt;56, "Vegetative/Tillering")</f>
        <v>Vegetative/Tillering</v>
      </c>
    </row>
    <row r="1078" ht="15.75" hidden="1" customHeight="1">
      <c r="A1078" s="3">
        <v>1369.0</v>
      </c>
      <c r="B1078" s="3" t="s">
        <v>23</v>
      </c>
      <c r="C1078" s="3" t="s">
        <v>24</v>
      </c>
      <c r="D1078" s="3" t="s">
        <v>25</v>
      </c>
      <c r="E1078" s="3" t="s">
        <v>1164</v>
      </c>
      <c r="F1078" s="3">
        <v>1760492.0</v>
      </c>
      <c r="G1078" s="4">
        <v>46012.0</v>
      </c>
      <c r="H1078" s="4">
        <v>46107.0</v>
      </c>
      <c r="I1078" s="3" t="s">
        <v>613</v>
      </c>
      <c r="J1078" s="3" t="s">
        <v>114</v>
      </c>
      <c r="K1078" s="3" t="s">
        <v>1481</v>
      </c>
      <c r="L1078" s="3">
        <v>0.3592</v>
      </c>
      <c r="M1078" s="3">
        <v>8980.0</v>
      </c>
      <c r="N1078" s="3">
        <v>4.0</v>
      </c>
      <c r="O1078" s="3">
        <v>315188.0</v>
      </c>
      <c r="P1078" s="3" t="s">
        <v>2867</v>
      </c>
      <c r="Q1078" s="3">
        <v>1277201.0</v>
      </c>
      <c r="R1078" s="3"/>
      <c r="S1078" s="3">
        <v>7184.0</v>
      </c>
      <c r="T1078" s="3" t="s">
        <v>56</v>
      </c>
      <c r="U1078" s="3">
        <v>7184.0</v>
      </c>
      <c r="V1078" s="5">
        <f>(DATE(2026,2,3)-'RICE_Insured Farms_with PPI Pol'!$G1078)+IF('RICE_Insured Farms_with PPI Pol'!$H1078&lt;&gt;'RICE_Insured Farms_with PPI Pol'!$G1078,18,0)</f>
        <v>62</v>
      </c>
      <c r="W1078" s="3" t="str">
        <f t="array" ref="W1078">IFS(V1078&gt;120, "Harvested", V1078&gt;=113, "Yellow Ripening", V1078&gt;=101, "Dough Stage", V1078&gt;=93, "Milking Stage", V1078&gt;=86, "Flowering", V1078&gt;=56, "Panicle Initiation/Booting", V1078&lt;56, "Vegetative/Tillering")</f>
        <v>Panicle Initiation/Booting</v>
      </c>
    </row>
    <row r="1079" ht="15.75" hidden="1" customHeight="1">
      <c r="A1079" s="3">
        <v>1370.0</v>
      </c>
      <c r="B1079" s="3" t="s">
        <v>23</v>
      </c>
      <c r="C1079" s="3" t="s">
        <v>24</v>
      </c>
      <c r="D1079" s="3" t="s">
        <v>25</v>
      </c>
      <c r="E1079" s="3" t="s">
        <v>1164</v>
      </c>
      <c r="F1079" s="3">
        <v>1760491.0</v>
      </c>
      <c r="G1079" s="4">
        <v>46012.0</v>
      </c>
      <c r="H1079" s="4">
        <v>46109.0</v>
      </c>
      <c r="I1079" s="3" t="s">
        <v>613</v>
      </c>
      <c r="J1079" s="3" t="s">
        <v>114</v>
      </c>
      <c r="K1079" s="3" t="s">
        <v>1481</v>
      </c>
      <c r="L1079" s="3">
        <v>0.4426</v>
      </c>
      <c r="M1079" s="3">
        <v>11065.0</v>
      </c>
      <c r="N1079" s="3">
        <v>4.0</v>
      </c>
      <c r="O1079" s="3">
        <v>315188.0</v>
      </c>
      <c r="P1079" s="3" t="s">
        <v>2867</v>
      </c>
      <c r="Q1079" s="3">
        <v>1328472.0</v>
      </c>
      <c r="R1079" s="3"/>
      <c r="S1079" s="3">
        <v>8852.0</v>
      </c>
      <c r="T1079" s="3" t="s">
        <v>56</v>
      </c>
      <c r="U1079" s="3">
        <v>8852.0</v>
      </c>
      <c r="V1079" s="5">
        <f>(DATE(2026,2,3)-'RICE_Insured Farms_with PPI Pol'!$G1079)+IF('RICE_Insured Farms_with PPI Pol'!$H1079&lt;&gt;'RICE_Insured Farms_with PPI Pol'!$G1079,18,0)</f>
        <v>62</v>
      </c>
      <c r="W1079" s="3" t="str">
        <f t="array" ref="W1079">IFS(V1079&gt;120, "Harvested", V1079&gt;=113, "Yellow Ripening", V1079&gt;=101, "Dough Stage", V1079&gt;=93, "Milking Stage", V1079&gt;=86, "Flowering", V1079&gt;=56, "Panicle Initiation/Booting", V1079&lt;56, "Vegetative/Tillering")</f>
        <v>Panicle Initiation/Booting</v>
      </c>
    </row>
    <row r="1080" ht="15.75" hidden="1" customHeight="1">
      <c r="A1080" s="3">
        <v>1371.0</v>
      </c>
      <c r="B1080" s="3" t="s">
        <v>23</v>
      </c>
      <c r="C1080" s="3" t="s">
        <v>24</v>
      </c>
      <c r="D1080" s="3" t="s">
        <v>25</v>
      </c>
      <c r="E1080" s="3" t="s">
        <v>1164</v>
      </c>
      <c r="F1080" s="3">
        <v>1761004.0</v>
      </c>
      <c r="G1080" s="4">
        <v>46011.0</v>
      </c>
      <c r="H1080" s="4">
        <v>46096.0</v>
      </c>
      <c r="I1080" s="3" t="s">
        <v>613</v>
      </c>
      <c r="J1080" s="3" t="s">
        <v>2884</v>
      </c>
      <c r="K1080" s="3" t="s">
        <v>214</v>
      </c>
      <c r="L1080" s="3">
        <v>0.2553</v>
      </c>
      <c r="M1080" s="3">
        <v>6382.5</v>
      </c>
      <c r="N1080" s="3">
        <v>5.0</v>
      </c>
      <c r="O1080" s="3">
        <v>332033.0</v>
      </c>
      <c r="P1080" s="3"/>
      <c r="Q1080" s="3">
        <v>1149493.0</v>
      </c>
      <c r="R1080" s="3"/>
      <c r="S1080" s="3">
        <v>5744.25</v>
      </c>
      <c r="T1080" s="3" t="s">
        <v>1002</v>
      </c>
      <c r="U1080" s="3">
        <v>5744.25</v>
      </c>
      <c r="V1080" s="5">
        <f>(DATE(2026,2,3)-'RICE_Insured Farms_with PPI Pol'!$G1080)+IF('RICE_Insured Farms_with PPI Pol'!$H1080&lt;&gt;'RICE_Insured Farms_with PPI Pol'!$G1080,18,0)</f>
        <v>63</v>
      </c>
      <c r="W1080" s="3" t="str">
        <f t="array" ref="W1080">IFS(V1080&gt;120, "Harvested", V1080&gt;=113, "Yellow Ripening", V1080&gt;=101, "Dough Stage", V1080&gt;=93, "Milking Stage", V1080&gt;=86, "Flowering", V1080&gt;=56, "Panicle Initiation/Booting", V1080&lt;56, "Vegetative/Tillering")</f>
        <v>Panicle Initiation/Booting</v>
      </c>
    </row>
    <row r="1081" ht="15.75" hidden="1" customHeight="1">
      <c r="A1081" s="3">
        <v>1080.0</v>
      </c>
      <c r="B1081" s="3" t="s">
        <v>23</v>
      </c>
      <c r="C1081" s="3" t="s">
        <v>24</v>
      </c>
      <c r="D1081" s="3" t="s">
        <v>25</v>
      </c>
      <c r="E1081" s="3" t="s">
        <v>1164</v>
      </c>
      <c r="F1081" s="3">
        <v>1760492.0</v>
      </c>
      <c r="G1081" s="4">
        <v>46012.0</v>
      </c>
      <c r="H1081" s="4">
        <v>46132.0</v>
      </c>
      <c r="I1081" s="3" t="s">
        <v>214</v>
      </c>
      <c r="J1081" s="3" t="s">
        <v>2105</v>
      </c>
      <c r="K1081" s="3" t="s">
        <v>2106</v>
      </c>
      <c r="L1081" s="3">
        <v>0.3176</v>
      </c>
      <c r="M1081" s="3">
        <v>7940.0</v>
      </c>
      <c r="N1081" s="3">
        <v>2.0</v>
      </c>
      <c r="O1081" s="3">
        <v>325546.0</v>
      </c>
      <c r="P1081" s="3" t="s">
        <v>2107</v>
      </c>
      <c r="Q1081" s="3">
        <v>1328101.0</v>
      </c>
      <c r="R1081" s="3"/>
      <c r="S1081" s="3">
        <v>5558.0</v>
      </c>
      <c r="T1081" s="3" t="s">
        <v>31</v>
      </c>
      <c r="U1081" s="3">
        <v>5558.0</v>
      </c>
      <c r="V1081" s="5">
        <f>(DATE(2026,2,3)-'RICE_Insured Farms_with PPI Pol'!$G1081)+IF('RICE_Insured Farms_with PPI Pol'!$H1081&lt;&gt;'RICE_Insured Farms_with PPI Pol'!$G1081,18,0)</f>
        <v>62</v>
      </c>
      <c r="W1081" s="3" t="str">
        <f t="array" ref="W1081">IFS(V1081&gt;120, "Harvested", V1081&gt;=113, "Yellow Ripening", V1081&gt;=101, "Dough Stage", V1081&gt;=93, "Milking Stage", V1081&gt;=86, "Flowering", V1081&gt;=56, "Panicle Initiation/Booting", V1081&lt;56, "Vegetative/Tillering")</f>
        <v>Panicle Initiation/Booting</v>
      </c>
    </row>
    <row r="1082" ht="15.75" customHeight="1">
      <c r="A1082" s="3">
        <v>1081.0</v>
      </c>
      <c r="B1082" s="3" t="s">
        <v>23</v>
      </c>
      <c r="C1082" s="3" t="s">
        <v>121</v>
      </c>
      <c r="D1082" s="3" t="s">
        <v>384</v>
      </c>
      <c r="E1082" s="3" t="s">
        <v>385</v>
      </c>
      <c r="F1082" s="3">
        <v>1742517.0</v>
      </c>
      <c r="G1082" s="4">
        <v>46026.0</v>
      </c>
      <c r="H1082" s="4">
        <v>46121.0</v>
      </c>
      <c r="I1082" s="3" t="s">
        <v>1537</v>
      </c>
      <c r="J1082" s="3" t="s">
        <v>2885</v>
      </c>
      <c r="K1082" s="3" t="s">
        <v>2886</v>
      </c>
      <c r="L1082" s="3">
        <v>1.479</v>
      </c>
      <c r="M1082" s="3">
        <v>36975.0</v>
      </c>
      <c r="N1082" s="3">
        <v>3.0</v>
      </c>
      <c r="O1082" s="3">
        <v>109901.0</v>
      </c>
      <c r="P1082" s="3" t="s">
        <v>2887</v>
      </c>
      <c r="Q1082" s="3">
        <v>1152035.0</v>
      </c>
      <c r="R1082" s="3"/>
      <c r="S1082" s="3">
        <v>29580.0</v>
      </c>
      <c r="T1082" s="3" t="s">
        <v>37</v>
      </c>
      <c r="U1082" s="3">
        <v>29580.0</v>
      </c>
      <c r="V1082" s="5">
        <f>(DATE(2026,2,3)-'RICE_Insured Farms_with PPI Pol'!$G1082)+IF('RICE_Insured Farms_with PPI Pol'!$H1082&lt;&gt;'RICE_Insured Farms_with PPI Pol'!$G1082,18,0)</f>
        <v>48</v>
      </c>
      <c r="W1082" s="3" t="str">
        <f t="array" ref="W1082">IFS(V1082&gt;120, "Harvested", V1082&gt;=113, "Yellow Ripening", V1082&gt;=101, "Dough Stage", V1082&gt;=93, "Milking Stage", V1082&gt;=86, "Flowering", V1082&gt;=56, "Panicle Initiation/Booting", V1082&lt;56, "Vegetative/Tillering")</f>
        <v>Vegetative/Tillering</v>
      </c>
    </row>
    <row r="1083" ht="15.75" customHeight="1">
      <c r="A1083" s="3">
        <v>1082.0</v>
      </c>
      <c r="B1083" s="3" t="s">
        <v>23</v>
      </c>
      <c r="C1083" s="3" t="s">
        <v>121</v>
      </c>
      <c r="D1083" s="3" t="s">
        <v>384</v>
      </c>
      <c r="E1083" s="3" t="s">
        <v>385</v>
      </c>
      <c r="F1083" s="3">
        <v>1742517.0</v>
      </c>
      <c r="G1083" s="4">
        <v>46029.0</v>
      </c>
      <c r="H1083" s="4">
        <v>46124.0</v>
      </c>
      <c r="I1083" s="3" t="s">
        <v>1537</v>
      </c>
      <c r="J1083" s="3" t="s">
        <v>2433</v>
      </c>
      <c r="K1083" s="3" t="s">
        <v>2888</v>
      </c>
      <c r="L1083" s="3">
        <v>1.1215</v>
      </c>
      <c r="M1083" s="3">
        <v>28037.5</v>
      </c>
      <c r="N1083" s="3">
        <v>3.0</v>
      </c>
      <c r="O1083" s="3">
        <v>171382.0</v>
      </c>
      <c r="P1083" s="3"/>
      <c r="Q1083" s="3">
        <v>1231999.0</v>
      </c>
      <c r="R1083" s="3"/>
      <c r="S1083" s="3">
        <v>22430.0</v>
      </c>
      <c r="T1083" s="3" t="s">
        <v>37</v>
      </c>
      <c r="U1083" s="3">
        <v>22430.0</v>
      </c>
      <c r="V1083" s="5">
        <f>(DATE(2026,2,3)-'RICE_Insured Farms_with PPI Pol'!$G1083)+IF('RICE_Insured Farms_with PPI Pol'!$H1083&lt;&gt;'RICE_Insured Farms_with PPI Pol'!$G1083,18,0)</f>
        <v>45</v>
      </c>
      <c r="W1083" s="3" t="str">
        <f t="array" ref="W1083">IFS(V1083&gt;120, "Harvested", V1083&gt;=113, "Yellow Ripening", V1083&gt;=101, "Dough Stage", V1083&gt;=93, "Milking Stage", V1083&gt;=86, "Flowering", V1083&gt;=56, "Panicle Initiation/Booting", V1083&lt;56, "Vegetative/Tillering")</f>
        <v>Vegetative/Tillering</v>
      </c>
    </row>
    <row r="1084" ht="15.75" customHeight="1">
      <c r="A1084" s="3">
        <v>1083.0</v>
      </c>
      <c r="B1084" s="3" t="s">
        <v>23</v>
      </c>
      <c r="C1084" s="3" t="s">
        <v>121</v>
      </c>
      <c r="D1084" s="3" t="s">
        <v>384</v>
      </c>
      <c r="E1084" s="3" t="s">
        <v>385</v>
      </c>
      <c r="F1084" s="3">
        <v>1742517.0</v>
      </c>
      <c r="G1084" s="4">
        <v>46029.0</v>
      </c>
      <c r="H1084" s="4">
        <v>46124.0</v>
      </c>
      <c r="I1084" s="3" t="s">
        <v>1537</v>
      </c>
      <c r="J1084" s="3" t="s">
        <v>2433</v>
      </c>
      <c r="K1084" s="3" t="s">
        <v>2888</v>
      </c>
      <c r="L1084" s="3">
        <v>0.4638</v>
      </c>
      <c r="M1084" s="3">
        <v>11595.0</v>
      </c>
      <c r="N1084" s="3">
        <v>3.0</v>
      </c>
      <c r="O1084" s="3">
        <v>171382.0</v>
      </c>
      <c r="P1084" s="3"/>
      <c r="Q1084" s="3">
        <v>1232005.0</v>
      </c>
      <c r="R1084" s="3"/>
      <c r="S1084" s="3">
        <v>9276.0</v>
      </c>
      <c r="T1084" s="3" t="s">
        <v>37</v>
      </c>
      <c r="U1084" s="3">
        <v>9276.0</v>
      </c>
      <c r="V1084" s="5">
        <f>(DATE(2026,2,3)-'RICE_Insured Farms_with PPI Pol'!$G1084)+IF('RICE_Insured Farms_with PPI Pol'!$H1084&lt;&gt;'RICE_Insured Farms_with PPI Pol'!$G1084,18,0)</f>
        <v>45</v>
      </c>
      <c r="W1084" s="3" t="str">
        <f t="array" ref="W1084">IFS(V1084&gt;120, "Harvested", V1084&gt;=113, "Yellow Ripening", V1084&gt;=101, "Dough Stage", V1084&gt;=93, "Milking Stage", V1084&gt;=86, "Flowering", V1084&gt;=56, "Panicle Initiation/Booting", V1084&lt;56, "Vegetative/Tillering")</f>
        <v>Vegetative/Tillering</v>
      </c>
    </row>
    <row r="1085" ht="15.75" hidden="1" customHeight="1">
      <c r="A1085" s="3">
        <v>1372.0</v>
      </c>
      <c r="B1085" s="3" t="s">
        <v>23</v>
      </c>
      <c r="C1085" s="3" t="s">
        <v>24</v>
      </c>
      <c r="D1085" s="3" t="s">
        <v>25</v>
      </c>
      <c r="E1085" s="3" t="s">
        <v>1164</v>
      </c>
      <c r="F1085" s="3">
        <v>1760491.0</v>
      </c>
      <c r="G1085" s="4">
        <v>46013.0</v>
      </c>
      <c r="H1085" s="4">
        <v>46110.0</v>
      </c>
      <c r="I1085" s="3" t="s">
        <v>613</v>
      </c>
      <c r="J1085" s="3" t="s">
        <v>2889</v>
      </c>
      <c r="K1085" s="3" t="s">
        <v>545</v>
      </c>
      <c r="L1085" s="3">
        <v>0.5745</v>
      </c>
      <c r="M1085" s="3">
        <v>14362.5</v>
      </c>
      <c r="N1085" s="3">
        <v>4.0</v>
      </c>
      <c r="O1085" s="3">
        <v>365906.0</v>
      </c>
      <c r="P1085" s="3" t="s">
        <v>2890</v>
      </c>
      <c r="Q1085" s="3">
        <v>1276969.0</v>
      </c>
      <c r="R1085" s="3"/>
      <c r="S1085" s="3">
        <v>11490.0</v>
      </c>
      <c r="T1085" s="3" t="s">
        <v>56</v>
      </c>
      <c r="U1085" s="3">
        <v>11490.0</v>
      </c>
      <c r="V1085" s="5">
        <f>(DATE(2026,2,3)-'RICE_Insured Farms_with PPI Pol'!$G1085)+IF('RICE_Insured Farms_with PPI Pol'!$H1085&lt;&gt;'RICE_Insured Farms_with PPI Pol'!$G1085,18,0)</f>
        <v>61</v>
      </c>
      <c r="W1085" s="3" t="str">
        <f t="array" ref="W1085">IFS(V1085&gt;120, "Harvested", V1085&gt;=113, "Yellow Ripening", V1085&gt;=101, "Dough Stage", V1085&gt;=93, "Milking Stage", V1085&gt;=86, "Flowering", V1085&gt;=56, "Panicle Initiation/Booting", V1085&lt;56, "Vegetative/Tillering")</f>
        <v>Panicle Initiation/Booting</v>
      </c>
    </row>
    <row r="1086" ht="15.75" hidden="1" customHeight="1">
      <c r="A1086" s="3">
        <v>1085.0</v>
      </c>
      <c r="B1086" s="3" t="s">
        <v>23</v>
      </c>
      <c r="C1086" s="3" t="s">
        <v>24</v>
      </c>
      <c r="D1086" s="3" t="s">
        <v>25</v>
      </c>
      <c r="E1086" s="3" t="s">
        <v>32</v>
      </c>
      <c r="F1086" s="3">
        <v>1760482.0</v>
      </c>
      <c r="G1086" s="4">
        <v>46016.0</v>
      </c>
      <c r="H1086" s="4">
        <v>46136.0</v>
      </c>
      <c r="I1086" s="3" t="s">
        <v>2891</v>
      </c>
      <c r="J1086" s="3" t="s">
        <v>2892</v>
      </c>
      <c r="K1086" s="3" t="s">
        <v>2893</v>
      </c>
      <c r="L1086" s="3">
        <v>1.8947</v>
      </c>
      <c r="M1086" s="3">
        <v>47367.5</v>
      </c>
      <c r="N1086" s="3">
        <v>2.0</v>
      </c>
      <c r="O1086" s="3">
        <v>389538.0</v>
      </c>
      <c r="P1086" s="3" t="s">
        <v>2894</v>
      </c>
      <c r="Q1086" s="3">
        <v>783884.0</v>
      </c>
      <c r="R1086" s="3"/>
      <c r="S1086" s="3">
        <v>33157.25</v>
      </c>
      <c r="T1086" s="3" t="s">
        <v>31</v>
      </c>
      <c r="U1086" s="3">
        <v>33157.25</v>
      </c>
      <c r="V1086" s="5">
        <f>(DATE(2026,2,3)-'RICE_Insured Farms_with PPI Pol'!$G1086)+IF('RICE_Insured Farms_with PPI Pol'!$H1086&lt;&gt;'RICE_Insured Farms_with PPI Pol'!$G1086,18,0)</f>
        <v>58</v>
      </c>
      <c r="W1086" s="3" t="str">
        <f t="array" ref="W1086">IFS(V1086&gt;120, "Harvested", V1086&gt;=113, "Yellow Ripening", V1086&gt;=101, "Dough Stage", V1086&gt;=93, "Milking Stage", V1086&gt;=86, "Flowering", V1086&gt;=56, "Panicle Initiation/Booting", V1086&lt;56, "Vegetative/Tillering")</f>
        <v>Panicle Initiation/Booting</v>
      </c>
    </row>
    <row r="1087" ht="15.75" hidden="1" customHeight="1">
      <c r="A1087" s="3">
        <v>1086.0</v>
      </c>
      <c r="B1087" s="3" t="s">
        <v>23</v>
      </c>
      <c r="C1087" s="3" t="s">
        <v>24</v>
      </c>
      <c r="D1087" s="3" t="s">
        <v>25</v>
      </c>
      <c r="E1087" s="3" t="s">
        <v>2895</v>
      </c>
      <c r="F1087" s="3">
        <v>1760499.0</v>
      </c>
      <c r="G1087" s="4">
        <v>46017.0</v>
      </c>
      <c r="H1087" s="4">
        <v>46137.0</v>
      </c>
      <c r="I1087" s="3" t="s">
        <v>2896</v>
      </c>
      <c r="J1087" s="3" t="s">
        <v>402</v>
      </c>
      <c r="K1087" s="3" t="s">
        <v>2897</v>
      </c>
      <c r="L1087" s="3">
        <v>2.0</v>
      </c>
      <c r="M1087" s="3">
        <v>50000.0</v>
      </c>
      <c r="N1087" s="3">
        <v>2.0</v>
      </c>
      <c r="O1087" s="3">
        <v>463552.0</v>
      </c>
      <c r="P1087" s="3"/>
      <c r="Q1087" s="3">
        <v>1084293.0</v>
      </c>
      <c r="R1087" s="3"/>
      <c r="S1087" s="3">
        <v>35000.0</v>
      </c>
      <c r="T1087" s="3" t="s">
        <v>31</v>
      </c>
      <c r="U1087" s="3">
        <v>35000.0</v>
      </c>
      <c r="V1087" s="5">
        <f>(DATE(2026,2,3)-'RICE_Insured Farms_with PPI Pol'!$G1087)+IF('RICE_Insured Farms_with PPI Pol'!$H1087&lt;&gt;'RICE_Insured Farms_with PPI Pol'!$G1087,18,0)</f>
        <v>57</v>
      </c>
      <c r="W1087" s="3" t="str">
        <f t="array" ref="W1087">IFS(V1087&gt;120, "Harvested", V1087&gt;=113, "Yellow Ripening", V1087&gt;=101, "Dough Stage", V1087&gt;=93, "Milking Stage", V1087&gt;=86, "Flowering", V1087&gt;=56, "Panicle Initiation/Booting", V1087&lt;56, "Vegetative/Tillering")</f>
        <v>Panicle Initiation/Booting</v>
      </c>
    </row>
    <row r="1088" ht="15.75" customHeight="1">
      <c r="A1088" s="3">
        <v>1087.0</v>
      </c>
      <c r="B1088" s="3" t="s">
        <v>23</v>
      </c>
      <c r="C1088" s="3" t="s">
        <v>1453</v>
      </c>
      <c r="D1088" s="3" t="s">
        <v>1454</v>
      </c>
      <c r="E1088" s="3" t="s">
        <v>1246</v>
      </c>
      <c r="F1088" s="3">
        <v>1742043.0</v>
      </c>
      <c r="G1088" s="4">
        <v>46018.0</v>
      </c>
      <c r="H1088" s="4">
        <v>46120.0</v>
      </c>
      <c r="I1088" s="3" t="s">
        <v>1178</v>
      </c>
      <c r="J1088" s="3" t="s">
        <v>586</v>
      </c>
      <c r="K1088" s="3" t="s">
        <v>2198</v>
      </c>
      <c r="L1088" s="3">
        <v>0.3075</v>
      </c>
      <c r="M1088" s="3">
        <v>7687.5</v>
      </c>
      <c r="N1088" s="3">
        <v>3.0</v>
      </c>
      <c r="O1088" s="3">
        <v>12226.0</v>
      </c>
      <c r="P1088" s="3" t="s">
        <v>2898</v>
      </c>
      <c r="Q1088" s="3">
        <v>1317945.0</v>
      </c>
      <c r="R1088" s="3"/>
      <c r="S1088" s="3">
        <v>6150.0</v>
      </c>
      <c r="T1088" s="3" t="s">
        <v>37</v>
      </c>
      <c r="U1088" s="3">
        <v>6150.0</v>
      </c>
      <c r="V1088" s="5">
        <f>(DATE(2026,2,3)-'RICE_Insured Farms_with PPI Pol'!$G1088)+IF('RICE_Insured Farms_with PPI Pol'!$H1088&lt;&gt;'RICE_Insured Farms_with PPI Pol'!$G1088,18,0)</f>
        <v>56</v>
      </c>
      <c r="W1088" s="3" t="str">
        <f t="array" ref="W1088">IFS(V1088&gt;120, "Harvested", V1088&gt;=113, "Yellow Ripening", V1088&gt;=101, "Dough Stage", V1088&gt;=93, "Milking Stage", V1088&gt;=86, "Flowering", V1088&gt;=56, "Panicle Initiation/Booting", V1088&lt;56, "Vegetative/Tillering")</f>
        <v>Panicle Initiation/Booting</v>
      </c>
    </row>
    <row r="1089" ht="15.75" customHeight="1">
      <c r="A1089" s="3">
        <v>1088.0</v>
      </c>
      <c r="B1089" s="3" t="s">
        <v>23</v>
      </c>
      <c r="C1089" s="3" t="s">
        <v>1453</v>
      </c>
      <c r="D1089" s="3" t="s">
        <v>1454</v>
      </c>
      <c r="E1089" s="3" t="s">
        <v>1246</v>
      </c>
      <c r="F1089" s="3">
        <v>1742043.0</v>
      </c>
      <c r="G1089" s="4">
        <v>46018.0</v>
      </c>
      <c r="H1089" s="4">
        <v>46120.0</v>
      </c>
      <c r="I1089" s="3" t="s">
        <v>1178</v>
      </c>
      <c r="J1089" s="3" t="s">
        <v>586</v>
      </c>
      <c r="K1089" s="3" t="s">
        <v>2198</v>
      </c>
      <c r="L1089" s="3">
        <v>0.2224</v>
      </c>
      <c r="M1089" s="3">
        <v>5560.0</v>
      </c>
      <c r="N1089" s="3">
        <v>3.0</v>
      </c>
      <c r="O1089" s="3">
        <v>12226.0</v>
      </c>
      <c r="P1089" s="3" t="s">
        <v>2898</v>
      </c>
      <c r="Q1089" s="3">
        <v>1317953.0</v>
      </c>
      <c r="R1089" s="3"/>
      <c r="S1089" s="3">
        <v>4448.0</v>
      </c>
      <c r="T1089" s="3" t="s">
        <v>37</v>
      </c>
      <c r="U1089" s="3">
        <v>4448.0</v>
      </c>
      <c r="V1089" s="5">
        <f>(DATE(2026,2,3)-'RICE_Insured Farms_with PPI Pol'!$G1089)+IF('RICE_Insured Farms_with PPI Pol'!$H1089&lt;&gt;'RICE_Insured Farms_with PPI Pol'!$G1089,18,0)</f>
        <v>56</v>
      </c>
      <c r="W1089" s="3" t="str">
        <f t="array" ref="W1089">IFS(V1089&gt;120, "Harvested", V1089&gt;=113, "Yellow Ripening", V1089&gt;=101, "Dough Stage", V1089&gt;=93, "Milking Stage", V1089&gt;=86, "Flowering", V1089&gt;=56, "Panicle Initiation/Booting", V1089&lt;56, "Vegetative/Tillering")</f>
        <v>Panicle Initiation/Booting</v>
      </c>
    </row>
    <row r="1090" ht="15.75" hidden="1" customHeight="1">
      <c r="A1090" s="3">
        <v>1089.0</v>
      </c>
      <c r="B1090" s="3" t="s">
        <v>23</v>
      </c>
      <c r="C1090" s="3" t="s">
        <v>68</v>
      </c>
      <c r="D1090" s="3" t="s">
        <v>289</v>
      </c>
      <c r="E1090" s="3" t="s">
        <v>339</v>
      </c>
      <c r="F1090" s="3">
        <v>1760047.0</v>
      </c>
      <c r="G1090" s="4">
        <v>46030.0</v>
      </c>
      <c r="H1090" s="4">
        <v>46132.0</v>
      </c>
      <c r="I1090" s="3" t="s">
        <v>2899</v>
      </c>
      <c r="J1090" s="3" t="s">
        <v>2900</v>
      </c>
      <c r="K1090" s="3" t="s">
        <v>2901</v>
      </c>
      <c r="L1090" s="3">
        <v>0.2291</v>
      </c>
      <c r="M1090" s="3">
        <v>5727.5</v>
      </c>
      <c r="N1090" s="3">
        <v>2.0</v>
      </c>
      <c r="O1090" s="3">
        <v>329089.0</v>
      </c>
      <c r="P1090" s="3" t="s">
        <v>2902</v>
      </c>
      <c r="Q1090" s="3">
        <v>1282879.0</v>
      </c>
      <c r="R1090" s="3"/>
      <c r="S1090" s="3">
        <v>4009.25</v>
      </c>
      <c r="T1090" s="3" t="s">
        <v>31</v>
      </c>
      <c r="U1090" s="3">
        <v>4009.25</v>
      </c>
      <c r="V1090" s="5">
        <f>(DATE(2026,2,3)-'RICE_Insured Farms_with PPI Pol'!$G1090)+IF('RICE_Insured Farms_with PPI Pol'!$H1090&lt;&gt;'RICE_Insured Farms_with PPI Pol'!$G1090,18,0)</f>
        <v>44</v>
      </c>
      <c r="W1090" s="3" t="str">
        <f t="array" ref="W1090">IFS(V1090&gt;120, "Harvested", V1090&gt;=113, "Yellow Ripening", V1090&gt;=101, "Dough Stage", V1090&gt;=93, "Milking Stage", V1090&gt;=86, "Flowering", V1090&gt;=56, "Panicle Initiation/Booting", V1090&lt;56, "Vegetative/Tillering")</f>
        <v>Vegetative/Tillering</v>
      </c>
    </row>
    <row r="1091" ht="15.75" hidden="1" customHeight="1">
      <c r="A1091" s="3">
        <v>1090.0</v>
      </c>
      <c r="B1091" s="3" t="s">
        <v>23</v>
      </c>
      <c r="C1091" s="3" t="s">
        <v>24</v>
      </c>
      <c r="D1091" s="3" t="s">
        <v>25</v>
      </c>
      <c r="E1091" s="3" t="s">
        <v>1164</v>
      </c>
      <c r="F1091" s="3">
        <v>1760492.0</v>
      </c>
      <c r="G1091" s="4">
        <v>46011.0</v>
      </c>
      <c r="H1091" s="4">
        <v>46131.0</v>
      </c>
      <c r="I1091" s="3" t="s">
        <v>2903</v>
      </c>
      <c r="J1091" s="3" t="s">
        <v>530</v>
      </c>
      <c r="K1091" s="3" t="s">
        <v>1601</v>
      </c>
      <c r="L1091" s="3">
        <v>1.4122</v>
      </c>
      <c r="M1091" s="3">
        <v>35305.0</v>
      </c>
      <c r="N1091" s="3">
        <v>2.0</v>
      </c>
      <c r="O1091" s="3">
        <v>296780.0</v>
      </c>
      <c r="P1091" s="3" t="s">
        <v>2904</v>
      </c>
      <c r="Q1091" s="3">
        <v>1277184.0</v>
      </c>
      <c r="R1091" s="3"/>
      <c r="S1091" s="3">
        <v>24713.5</v>
      </c>
      <c r="T1091" s="3" t="s">
        <v>31</v>
      </c>
      <c r="U1091" s="3">
        <v>24713.5</v>
      </c>
      <c r="V1091" s="5">
        <f>(DATE(2026,2,3)-'RICE_Insured Farms_with PPI Pol'!$G1091)+IF('RICE_Insured Farms_with PPI Pol'!$H1091&lt;&gt;'RICE_Insured Farms_with PPI Pol'!$G1091,18,0)</f>
        <v>63</v>
      </c>
      <c r="W1091" s="3" t="str">
        <f t="array" ref="W1091">IFS(V1091&gt;120, "Harvested", V1091&gt;=113, "Yellow Ripening", V1091&gt;=101, "Dough Stage", V1091&gt;=93, "Milking Stage", V1091&gt;=86, "Flowering", V1091&gt;=56, "Panicle Initiation/Booting", V1091&lt;56, "Vegetative/Tillering")</f>
        <v>Panicle Initiation/Booting</v>
      </c>
    </row>
    <row r="1092" ht="15.75" hidden="1" customHeight="1">
      <c r="A1092" s="3">
        <v>1091.0</v>
      </c>
      <c r="B1092" s="3" t="s">
        <v>23</v>
      </c>
      <c r="C1092" s="3" t="s">
        <v>1453</v>
      </c>
      <c r="D1092" s="3" t="s">
        <v>1454</v>
      </c>
      <c r="E1092" s="3" t="s">
        <v>1455</v>
      </c>
      <c r="F1092" s="3">
        <v>1742023.0</v>
      </c>
      <c r="G1092" s="4">
        <v>46032.0</v>
      </c>
      <c r="H1092" s="4">
        <v>46134.0</v>
      </c>
      <c r="I1092" s="3" t="s">
        <v>2905</v>
      </c>
      <c r="J1092" s="3" t="s">
        <v>2906</v>
      </c>
      <c r="K1092" s="3" t="s">
        <v>2907</v>
      </c>
      <c r="L1092" s="3">
        <v>0.3</v>
      </c>
      <c r="M1092" s="3">
        <v>7500.0</v>
      </c>
      <c r="N1092" s="3">
        <v>2.0</v>
      </c>
      <c r="O1092" s="3">
        <v>180861.0</v>
      </c>
      <c r="P1092" s="3"/>
      <c r="Q1092" s="3">
        <v>1318670.0</v>
      </c>
      <c r="R1092" s="3"/>
      <c r="S1092" s="3">
        <v>5250.0</v>
      </c>
      <c r="T1092" s="3" t="s">
        <v>31</v>
      </c>
      <c r="U1092" s="3">
        <v>5250.0</v>
      </c>
      <c r="V1092" s="5">
        <f>(DATE(2026,2,3)-'RICE_Insured Farms_with PPI Pol'!$G1092)+IF('RICE_Insured Farms_with PPI Pol'!$H1092&lt;&gt;'RICE_Insured Farms_with PPI Pol'!$G1092,18,0)</f>
        <v>42</v>
      </c>
      <c r="W1092" s="3" t="str">
        <f t="array" ref="W1092">IFS(V1092&gt;120, "Harvested", V1092&gt;=113, "Yellow Ripening", V1092&gt;=101, "Dough Stage", V1092&gt;=93, "Milking Stage", V1092&gt;=86, "Flowering", V1092&gt;=56, "Panicle Initiation/Booting", V1092&lt;56, "Vegetative/Tillering")</f>
        <v>Vegetative/Tillering</v>
      </c>
    </row>
    <row r="1093" ht="15.75" hidden="1" customHeight="1">
      <c r="A1093" s="3">
        <v>1092.0</v>
      </c>
      <c r="B1093" s="3" t="s">
        <v>23</v>
      </c>
      <c r="C1093" s="3" t="s">
        <v>50</v>
      </c>
      <c r="D1093" s="3" t="s">
        <v>51</v>
      </c>
      <c r="E1093" s="3" t="s">
        <v>2908</v>
      </c>
      <c r="F1093" s="3">
        <v>1741851.0</v>
      </c>
      <c r="G1093" s="4">
        <v>46036.0</v>
      </c>
      <c r="H1093" s="4">
        <v>46131.0</v>
      </c>
      <c r="I1093" s="3" t="s">
        <v>2909</v>
      </c>
      <c r="J1093" s="3" t="s">
        <v>2910</v>
      </c>
      <c r="K1093" s="3" t="s">
        <v>1829</v>
      </c>
      <c r="L1093" s="3">
        <v>1.1554</v>
      </c>
      <c r="M1093" s="3">
        <v>28885.0</v>
      </c>
      <c r="N1093" s="3">
        <v>2.0</v>
      </c>
      <c r="O1093" s="3">
        <v>502523.0</v>
      </c>
      <c r="P1093" s="3" t="s">
        <v>2911</v>
      </c>
      <c r="Q1093" s="3">
        <v>1252582.0</v>
      </c>
      <c r="R1093" s="3"/>
      <c r="S1093" s="3">
        <v>20219.5</v>
      </c>
      <c r="T1093" s="3" t="s">
        <v>31</v>
      </c>
      <c r="U1093" s="3">
        <v>20219.5</v>
      </c>
      <c r="V1093" s="5">
        <f>(DATE(2026,2,3)-'RICE_Insured Farms_with PPI Pol'!$G1093)+IF('RICE_Insured Farms_with PPI Pol'!$H1093&lt;&gt;'RICE_Insured Farms_with PPI Pol'!$G1093,18,0)</f>
        <v>38</v>
      </c>
      <c r="W1093" s="3" t="str">
        <f t="array" ref="W1093">IFS(V1093&gt;120, "Harvested", V1093&gt;=113, "Yellow Ripening", V1093&gt;=101, "Dough Stage", V1093&gt;=93, "Milking Stage", V1093&gt;=86, "Flowering", V1093&gt;=56, "Panicle Initiation/Booting", V1093&lt;56, "Vegetative/Tillering")</f>
        <v>Vegetative/Tillering</v>
      </c>
    </row>
    <row r="1094" ht="15.75" customHeight="1">
      <c r="A1094" s="3">
        <v>1093.0</v>
      </c>
      <c r="B1094" s="3" t="s">
        <v>23</v>
      </c>
      <c r="C1094" s="3" t="s">
        <v>1453</v>
      </c>
      <c r="D1094" s="3" t="s">
        <v>1454</v>
      </c>
      <c r="E1094" s="3" t="s">
        <v>2912</v>
      </c>
      <c r="F1094" s="3">
        <v>1742043.0</v>
      </c>
      <c r="G1094" s="4">
        <v>46020.0</v>
      </c>
      <c r="H1094" s="4">
        <v>46122.0</v>
      </c>
      <c r="I1094" s="3" t="s">
        <v>2913</v>
      </c>
      <c r="J1094" s="3" t="s">
        <v>2914</v>
      </c>
      <c r="K1094" s="3" t="s">
        <v>1640</v>
      </c>
      <c r="L1094" s="3">
        <v>0.2026</v>
      </c>
      <c r="M1094" s="3">
        <v>5065.0</v>
      </c>
      <c r="N1094" s="3">
        <v>3.0</v>
      </c>
      <c r="O1094" s="3">
        <v>419257.0</v>
      </c>
      <c r="P1094" s="3"/>
      <c r="Q1094" s="3">
        <v>1139641.0</v>
      </c>
      <c r="R1094" s="3"/>
      <c r="S1094" s="3">
        <v>4052.0</v>
      </c>
      <c r="T1094" s="3" t="s">
        <v>37</v>
      </c>
      <c r="U1094" s="3">
        <v>4052.0</v>
      </c>
      <c r="V1094" s="5">
        <f>(DATE(2026,2,3)-'RICE_Insured Farms_with PPI Pol'!$G1094)+IF('RICE_Insured Farms_with PPI Pol'!$H1094&lt;&gt;'RICE_Insured Farms_with PPI Pol'!$G1094,18,0)</f>
        <v>54</v>
      </c>
      <c r="W1094" s="3" t="str">
        <f t="array" ref="W1094">IFS(V1094&gt;120, "Harvested", V1094&gt;=113, "Yellow Ripening", V1094&gt;=101, "Dough Stage", V1094&gt;=93, "Milking Stage", V1094&gt;=86, "Flowering", V1094&gt;=56, "Panicle Initiation/Booting", V1094&lt;56, "Vegetative/Tillering")</f>
        <v>Vegetative/Tillering</v>
      </c>
    </row>
    <row r="1095" ht="15.75" customHeight="1">
      <c r="A1095" s="3">
        <v>1094.0</v>
      </c>
      <c r="B1095" s="3" t="s">
        <v>23</v>
      </c>
      <c r="C1095" s="3" t="s">
        <v>1453</v>
      </c>
      <c r="D1095" s="3" t="s">
        <v>1454</v>
      </c>
      <c r="E1095" s="3" t="s">
        <v>2912</v>
      </c>
      <c r="F1095" s="3">
        <v>1742043.0</v>
      </c>
      <c r="G1095" s="4">
        <v>46021.0</v>
      </c>
      <c r="H1095" s="4">
        <v>46123.0</v>
      </c>
      <c r="I1095" s="3" t="s">
        <v>2913</v>
      </c>
      <c r="J1095" s="3" t="s">
        <v>2914</v>
      </c>
      <c r="K1095" s="3" t="s">
        <v>1640</v>
      </c>
      <c r="L1095" s="3">
        <v>0.3352</v>
      </c>
      <c r="M1095" s="3">
        <v>8380.0</v>
      </c>
      <c r="N1095" s="3">
        <v>3.0</v>
      </c>
      <c r="O1095" s="3">
        <v>419257.0</v>
      </c>
      <c r="P1095" s="3"/>
      <c r="Q1095" s="3">
        <v>1317778.0</v>
      </c>
      <c r="R1095" s="3"/>
      <c r="S1095" s="3">
        <v>6704.0</v>
      </c>
      <c r="T1095" s="3" t="s">
        <v>37</v>
      </c>
      <c r="U1095" s="3">
        <v>6704.0</v>
      </c>
      <c r="V1095" s="5">
        <f>(DATE(2026,2,3)-'RICE_Insured Farms_with PPI Pol'!$G1095)+IF('RICE_Insured Farms_with PPI Pol'!$H1095&lt;&gt;'RICE_Insured Farms_with PPI Pol'!$G1095,18,0)</f>
        <v>53</v>
      </c>
      <c r="W1095" s="3" t="str">
        <f t="array" ref="W1095">IFS(V1095&gt;120, "Harvested", V1095&gt;=113, "Yellow Ripening", V1095&gt;=101, "Dough Stage", V1095&gt;=93, "Milking Stage", V1095&gt;=86, "Flowering", V1095&gt;=56, "Panicle Initiation/Booting", V1095&lt;56, "Vegetative/Tillering")</f>
        <v>Vegetative/Tillering</v>
      </c>
    </row>
    <row r="1096" ht="15.75" hidden="1" customHeight="1">
      <c r="A1096" s="3">
        <v>1095.0</v>
      </c>
      <c r="B1096" s="3" t="s">
        <v>23</v>
      </c>
      <c r="C1096" s="3" t="s">
        <v>68</v>
      </c>
      <c r="D1096" s="3" t="s">
        <v>1693</v>
      </c>
      <c r="E1096" s="3" t="s">
        <v>1694</v>
      </c>
      <c r="F1096" s="3">
        <v>1742172.0</v>
      </c>
      <c r="G1096" s="4">
        <v>46035.0</v>
      </c>
      <c r="H1096" s="4">
        <v>46137.0</v>
      </c>
      <c r="I1096" s="3" t="s">
        <v>2915</v>
      </c>
      <c r="J1096" s="3" t="s">
        <v>727</v>
      </c>
      <c r="K1096" s="3" t="s">
        <v>2916</v>
      </c>
      <c r="L1096" s="3">
        <v>0.9866</v>
      </c>
      <c r="M1096" s="3">
        <v>24665.0</v>
      </c>
      <c r="N1096" s="3">
        <v>2.0</v>
      </c>
      <c r="O1096" s="3">
        <v>48394.0</v>
      </c>
      <c r="P1096" s="3" t="s">
        <v>2917</v>
      </c>
      <c r="Q1096" s="3">
        <v>1220317.0</v>
      </c>
      <c r="R1096" s="3"/>
      <c r="S1096" s="3">
        <v>17265.5</v>
      </c>
      <c r="T1096" s="3" t="s">
        <v>31</v>
      </c>
      <c r="U1096" s="3">
        <v>17265.5</v>
      </c>
      <c r="V1096" s="5">
        <f>(DATE(2026,2,3)-'RICE_Insured Farms_with PPI Pol'!$G1096)+IF('RICE_Insured Farms_with PPI Pol'!$H1096&lt;&gt;'RICE_Insured Farms_with PPI Pol'!$G1096,18,0)</f>
        <v>39</v>
      </c>
      <c r="W1096" s="3" t="str">
        <f t="array" ref="W1096">IFS(V1096&gt;120, "Harvested", V1096&gt;=113, "Yellow Ripening", V1096&gt;=101, "Dough Stage", V1096&gt;=93, "Milking Stage", V1096&gt;=86, "Flowering", V1096&gt;=56, "Panicle Initiation/Booting", V1096&lt;56, "Vegetative/Tillering")</f>
        <v>Vegetative/Tillering</v>
      </c>
    </row>
    <row r="1097" ht="15.75" hidden="1" customHeight="1">
      <c r="A1097" s="3">
        <v>1096.0</v>
      </c>
      <c r="B1097" s="3" t="s">
        <v>23</v>
      </c>
      <c r="C1097" s="3" t="s">
        <v>68</v>
      </c>
      <c r="D1097" s="3" t="s">
        <v>289</v>
      </c>
      <c r="E1097" s="3" t="s">
        <v>743</v>
      </c>
      <c r="F1097" s="3">
        <v>1760011.0</v>
      </c>
      <c r="G1097" s="4">
        <v>46030.0</v>
      </c>
      <c r="H1097" s="4">
        <v>46132.0</v>
      </c>
      <c r="I1097" s="3" t="s">
        <v>2918</v>
      </c>
      <c r="J1097" s="3" t="s">
        <v>2919</v>
      </c>
      <c r="K1097" s="3" t="s">
        <v>626</v>
      </c>
      <c r="L1097" s="3">
        <v>1.0</v>
      </c>
      <c r="M1097" s="3">
        <v>25000.0</v>
      </c>
      <c r="N1097" s="3">
        <v>2.0</v>
      </c>
      <c r="O1097" s="3">
        <v>76665.0</v>
      </c>
      <c r="P1097" s="3"/>
      <c r="Q1097" s="3">
        <v>1035029.0</v>
      </c>
      <c r="R1097" s="3"/>
      <c r="S1097" s="3">
        <v>17500.0</v>
      </c>
      <c r="T1097" s="3" t="s">
        <v>31</v>
      </c>
      <c r="U1097" s="3">
        <v>17500.0</v>
      </c>
      <c r="V1097" s="5">
        <f>(DATE(2026,2,3)-'RICE_Insured Farms_with PPI Pol'!$G1097)+IF('RICE_Insured Farms_with PPI Pol'!$H1097&lt;&gt;'RICE_Insured Farms_with PPI Pol'!$G1097,18,0)</f>
        <v>44</v>
      </c>
      <c r="W1097" s="3" t="str">
        <f t="array" ref="W1097">IFS(V1097&gt;120, "Harvested", V1097&gt;=113, "Yellow Ripening", V1097&gt;=101, "Dough Stage", V1097&gt;=93, "Milking Stage", V1097&gt;=86, "Flowering", V1097&gt;=56, "Panicle Initiation/Booting", V1097&lt;56, "Vegetative/Tillering")</f>
        <v>Vegetative/Tillering</v>
      </c>
    </row>
    <row r="1098" ht="15.75" hidden="1" customHeight="1">
      <c r="A1098" s="3">
        <v>1097.0</v>
      </c>
      <c r="B1098" s="3" t="s">
        <v>23</v>
      </c>
      <c r="C1098" s="3" t="s">
        <v>68</v>
      </c>
      <c r="D1098" s="3" t="s">
        <v>289</v>
      </c>
      <c r="E1098" s="3" t="s">
        <v>290</v>
      </c>
      <c r="F1098" s="3">
        <v>1760035.0</v>
      </c>
      <c r="G1098" s="4">
        <v>46038.0</v>
      </c>
      <c r="H1098" s="4">
        <v>46140.0</v>
      </c>
      <c r="I1098" s="3" t="s">
        <v>2008</v>
      </c>
      <c r="J1098" s="3" t="s">
        <v>2920</v>
      </c>
      <c r="K1098" s="3" t="s">
        <v>2921</v>
      </c>
      <c r="L1098" s="3">
        <v>0.6066</v>
      </c>
      <c r="M1098" s="3">
        <v>15165.0</v>
      </c>
      <c r="N1098" s="3">
        <v>2.0</v>
      </c>
      <c r="O1098" s="3">
        <v>338080.0</v>
      </c>
      <c r="P1098" s="3" t="s">
        <v>2922</v>
      </c>
      <c r="Q1098" s="3">
        <v>1283659.0</v>
      </c>
      <c r="R1098" s="3"/>
      <c r="S1098" s="3">
        <v>10615.5</v>
      </c>
      <c r="T1098" s="3" t="s">
        <v>31</v>
      </c>
      <c r="U1098" s="3">
        <v>10615.5</v>
      </c>
      <c r="V1098" s="5">
        <f>(DATE(2026,2,3)-'RICE_Insured Farms_with PPI Pol'!$G1098)+IF('RICE_Insured Farms_with PPI Pol'!$H1098&lt;&gt;'RICE_Insured Farms_with PPI Pol'!$G1098,18,0)</f>
        <v>36</v>
      </c>
      <c r="W1098" s="3" t="str">
        <f t="array" ref="W1098">IFS(V1098&gt;120, "Harvested", V1098&gt;=113, "Yellow Ripening", V1098&gt;=101, "Dough Stage", V1098&gt;=93, "Milking Stage", V1098&gt;=86, "Flowering", V1098&gt;=56, "Panicle Initiation/Booting", V1098&lt;56, "Vegetative/Tillering")</f>
        <v>Vegetative/Tillering</v>
      </c>
    </row>
    <row r="1099" ht="15.75" hidden="1" customHeight="1">
      <c r="A1099" s="3">
        <v>1098.0</v>
      </c>
      <c r="B1099" s="3" t="s">
        <v>23</v>
      </c>
      <c r="C1099" s="3" t="s">
        <v>68</v>
      </c>
      <c r="D1099" s="3" t="s">
        <v>289</v>
      </c>
      <c r="E1099" s="3" t="s">
        <v>290</v>
      </c>
      <c r="F1099" s="3">
        <v>1760035.0</v>
      </c>
      <c r="G1099" s="4">
        <v>46039.0</v>
      </c>
      <c r="H1099" s="4">
        <v>46141.0</v>
      </c>
      <c r="I1099" s="3" t="s">
        <v>2008</v>
      </c>
      <c r="J1099" s="3" t="s">
        <v>2923</v>
      </c>
      <c r="K1099" s="3" t="s">
        <v>2924</v>
      </c>
      <c r="L1099" s="3">
        <v>0.4021</v>
      </c>
      <c r="M1099" s="3">
        <v>10052.5</v>
      </c>
      <c r="N1099" s="3">
        <v>2.0</v>
      </c>
      <c r="O1099" s="3">
        <v>327851.0</v>
      </c>
      <c r="P1099" s="3" t="s">
        <v>2925</v>
      </c>
      <c r="Q1099" s="3">
        <v>1318050.0</v>
      </c>
      <c r="R1099" s="3"/>
      <c r="S1099" s="3">
        <v>7036.75</v>
      </c>
      <c r="T1099" s="3" t="s">
        <v>31</v>
      </c>
      <c r="U1099" s="3">
        <v>7036.75</v>
      </c>
      <c r="V1099" s="5">
        <f>(DATE(2026,2,3)-'RICE_Insured Farms_with PPI Pol'!$G1099)+IF('RICE_Insured Farms_with PPI Pol'!$H1099&lt;&gt;'RICE_Insured Farms_with PPI Pol'!$G1099,18,0)</f>
        <v>35</v>
      </c>
      <c r="W1099" s="3" t="str">
        <f t="array" ref="W1099">IFS(V1099&gt;120, "Harvested", V1099&gt;=113, "Yellow Ripening", V1099&gt;=101, "Dough Stage", V1099&gt;=93, "Milking Stage", V1099&gt;=86, "Flowering", V1099&gt;=56, "Panicle Initiation/Booting", V1099&lt;56, "Vegetative/Tillering")</f>
        <v>Vegetative/Tillering</v>
      </c>
    </row>
    <row r="1100" ht="15.75" customHeight="1">
      <c r="A1100" s="3">
        <v>1099.0</v>
      </c>
      <c r="B1100" s="3" t="s">
        <v>1776</v>
      </c>
      <c r="C1100" s="3" t="s">
        <v>24</v>
      </c>
      <c r="D1100" s="3" t="s">
        <v>25</v>
      </c>
      <c r="E1100" s="3" t="s">
        <v>1374</v>
      </c>
      <c r="F1100" s="3">
        <v>1760471.0</v>
      </c>
      <c r="G1100" s="4">
        <v>46025.0</v>
      </c>
      <c r="H1100" s="4">
        <v>46120.0</v>
      </c>
      <c r="I1100" s="3" t="s">
        <v>2926</v>
      </c>
      <c r="J1100" s="3" t="s">
        <v>2119</v>
      </c>
      <c r="K1100" s="3" t="s">
        <v>2927</v>
      </c>
      <c r="L1100" s="3">
        <v>0.1353</v>
      </c>
      <c r="M1100" s="3">
        <v>2706.0</v>
      </c>
      <c r="N1100" s="3">
        <v>3.0</v>
      </c>
      <c r="O1100" s="3">
        <v>480865.0</v>
      </c>
      <c r="P1100" s="3"/>
      <c r="Q1100" s="3">
        <v>1208528.0</v>
      </c>
      <c r="R1100" s="3"/>
      <c r="S1100" s="3">
        <v>2164.8</v>
      </c>
      <c r="T1100" s="3" t="s">
        <v>37</v>
      </c>
      <c r="U1100" s="3">
        <v>2164.8</v>
      </c>
      <c r="V1100" s="5">
        <f>(DATE(2026,2,3)-'RICE_Insured Farms_with PPI Pol'!$G1100)+IF('RICE_Insured Farms_with PPI Pol'!$H1100&lt;&gt;'RICE_Insured Farms_with PPI Pol'!$G1100,18,0)</f>
        <v>49</v>
      </c>
      <c r="W1100" s="3" t="str">
        <f t="array" ref="W1100">IFS(V1100&gt;120, "Harvested", V1100&gt;=113, "Yellow Ripening", V1100&gt;=101, "Dough Stage", V1100&gt;=93, "Milking Stage", V1100&gt;=86, "Flowering", V1100&gt;=56, "Panicle Initiation/Booting", V1100&lt;56, "Vegetative/Tillering")</f>
        <v>Vegetative/Tillering</v>
      </c>
    </row>
    <row r="1101" ht="15.75" customHeight="1">
      <c r="A1101" s="3">
        <v>1100.0</v>
      </c>
      <c r="B1101" s="3" t="s">
        <v>1776</v>
      </c>
      <c r="C1101" s="3" t="s">
        <v>24</v>
      </c>
      <c r="D1101" s="3" t="s">
        <v>25</v>
      </c>
      <c r="E1101" s="3" t="s">
        <v>1374</v>
      </c>
      <c r="F1101" s="3">
        <v>1760471.0</v>
      </c>
      <c r="G1101" s="4">
        <v>46025.0</v>
      </c>
      <c r="H1101" s="4">
        <v>46120.0</v>
      </c>
      <c r="I1101" s="3" t="s">
        <v>2926</v>
      </c>
      <c r="J1101" s="3" t="s">
        <v>2119</v>
      </c>
      <c r="K1101" s="3" t="s">
        <v>2927</v>
      </c>
      <c r="L1101" s="3">
        <v>0.25</v>
      </c>
      <c r="M1101" s="3">
        <v>5000.0</v>
      </c>
      <c r="N1101" s="3">
        <v>3.0</v>
      </c>
      <c r="O1101" s="3">
        <v>480865.0</v>
      </c>
      <c r="P1101" s="3"/>
      <c r="Q1101" s="3">
        <v>1208535.0</v>
      </c>
      <c r="R1101" s="3"/>
      <c r="S1101" s="3">
        <v>4000.0</v>
      </c>
      <c r="T1101" s="3" t="s">
        <v>37</v>
      </c>
      <c r="U1101" s="3">
        <v>4000.0</v>
      </c>
      <c r="V1101" s="5">
        <f>(DATE(2026,2,3)-'RICE_Insured Farms_with PPI Pol'!$G1101)+IF('RICE_Insured Farms_with PPI Pol'!$H1101&lt;&gt;'RICE_Insured Farms_with PPI Pol'!$G1101,18,0)</f>
        <v>49</v>
      </c>
      <c r="W1101" s="3" t="str">
        <f t="array" ref="W1101">IFS(V1101&gt;120, "Harvested", V1101&gt;=113, "Yellow Ripening", V1101&gt;=101, "Dough Stage", V1101&gt;=93, "Milking Stage", V1101&gt;=86, "Flowering", V1101&gt;=56, "Panicle Initiation/Booting", V1101&lt;56, "Vegetative/Tillering")</f>
        <v>Vegetative/Tillering</v>
      </c>
    </row>
    <row r="1102" ht="15.75" hidden="1" customHeight="1">
      <c r="A1102" s="3">
        <v>1373.0</v>
      </c>
      <c r="B1102" s="3" t="s">
        <v>23</v>
      </c>
      <c r="C1102" s="3" t="s">
        <v>24</v>
      </c>
      <c r="D1102" s="3" t="s">
        <v>25</v>
      </c>
      <c r="E1102" s="3" t="s">
        <v>1164</v>
      </c>
      <c r="F1102" s="3">
        <v>1761010.0</v>
      </c>
      <c r="G1102" s="4">
        <v>46018.0</v>
      </c>
      <c r="H1102" s="4">
        <v>46091.0</v>
      </c>
      <c r="I1102" s="3" t="s">
        <v>613</v>
      </c>
      <c r="J1102" s="3" t="s">
        <v>2928</v>
      </c>
      <c r="K1102" s="3" t="s">
        <v>1423</v>
      </c>
      <c r="L1102" s="3">
        <v>0.9157</v>
      </c>
      <c r="M1102" s="3">
        <v>22892.5</v>
      </c>
      <c r="N1102" s="3">
        <v>6.0</v>
      </c>
      <c r="O1102" s="3">
        <v>325519.0</v>
      </c>
      <c r="P1102" s="3" t="s">
        <v>2929</v>
      </c>
      <c r="Q1102" s="3">
        <v>1328740.0</v>
      </c>
      <c r="R1102" s="3"/>
      <c r="S1102" s="3">
        <v>20603.25</v>
      </c>
      <c r="T1102" s="3" t="s">
        <v>2930</v>
      </c>
      <c r="U1102" s="3">
        <v>20603.25</v>
      </c>
      <c r="V1102" s="5">
        <f>(DATE(2026,2,3)-'RICE_Insured Farms_with PPI Pol'!$G1102)+IF('RICE_Insured Farms_with PPI Pol'!$H1102&lt;&gt;'RICE_Insured Farms_with PPI Pol'!$G1102,18,0)</f>
        <v>56</v>
      </c>
      <c r="W1102" s="3" t="str">
        <f t="array" ref="W1102">IFS(V1102&gt;120, "Harvested", V1102&gt;=113, "Yellow Ripening", V1102&gt;=101, "Dough Stage", V1102&gt;=93, "Milking Stage", V1102&gt;=86, "Flowering", V1102&gt;=56, "Panicle Initiation/Booting", V1102&lt;56, "Vegetative/Tillering")</f>
        <v>Panicle Initiation/Booting</v>
      </c>
    </row>
    <row r="1103" ht="15.75" hidden="1" customHeight="1">
      <c r="A1103" s="3">
        <v>1102.0</v>
      </c>
      <c r="B1103" s="3" t="s">
        <v>23</v>
      </c>
      <c r="C1103" s="3" t="s">
        <v>68</v>
      </c>
      <c r="D1103" s="3" t="s">
        <v>289</v>
      </c>
      <c r="E1103" s="3" t="s">
        <v>743</v>
      </c>
      <c r="F1103" s="3">
        <v>1760011.0</v>
      </c>
      <c r="G1103" s="4">
        <v>46030.0</v>
      </c>
      <c r="H1103" s="4">
        <v>46132.0</v>
      </c>
      <c r="I1103" s="3" t="s">
        <v>2746</v>
      </c>
      <c r="J1103" s="3" t="s">
        <v>870</v>
      </c>
      <c r="K1103" s="3" t="s">
        <v>2931</v>
      </c>
      <c r="L1103" s="3">
        <v>0.93</v>
      </c>
      <c r="M1103" s="3">
        <v>23250.0</v>
      </c>
      <c r="N1103" s="3">
        <v>2.0</v>
      </c>
      <c r="O1103" s="3">
        <v>297278.0</v>
      </c>
      <c r="P1103" s="3"/>
      <c r="Q1103" s="3">
        <v>1136665.0</v>
      </c>
      <c r="R1103" s="3"/>
      <c r="S1103" s="3">
        <v>16275.0</v>
      </c>
      <c r="T1103" s="3" t="s">
        <v>31</v>
      </c>
      <c r="U1103" s="3">
        <v>16275.0</v>
      </c>
      <c r="V1103" s="5">
        <f>(DATE(2026,2,3)-'RICE_Insured Farms_with PPI Pol'!$G1103)+IF('RICE_Insured Farms_with PPI Pol'!$H1103&lt;&gt;'RICE_Insured Farms_with PPI Pol'!$G1103,18,0)</f>
        <v>44</v>
      </c>
      <c r="W1103" s="3" t="str">
        <f t="array" ref="W1103">IFS(V1103&gt;120, "Harvested", V1103&gt;=113, "Yellow Ripening", V1103&gt;=101, "Dough Stage", V1103&gt;=93, "Milking Stage", V1103&gt;=86, "Flowering", V1103&gt;=56, "Panicle Initiation/Booting", V1103&lt;56, "Vegetative/Tillering")</f>
        <v>Vegetative/Tillering</v>
      </c>
    </row>
    <row r="1104" ht="15.75" hidden="1" customHeight="1">
      <c r="A1104" s="3">
        <v>1103.0</v>
      </c>
      <c r="B1104" s="3" t="s">
        <v>23</v>
      </c>
      <c r="C1104" s="3" t="s">
        <v>68</v>
      </c>
      <c r="D1104" s="3" t="s">
        <v>69</v>
      </c>
      <c r="E1104" s="3" t="s">
        <v>131</v>
      </c>
      <c r="F1104" s="3">
        <v>1739645.0</v>
      </c>
      <c r="G1104" s="4">
        <v>46027.0</v>
      </c>
      <c r="H1104" s="4">
        <v>46129.0</v>
      </c>
      <c r="I1104" s="3" t="s">
        <v>2932</v>
      </c>
      <c r="J1104" s="3" t="s">
        <v>2933</v>
      </c>
      <c r="K1104" s="3" t="s">
        <v>2140</v>
      </c>
      <c r="L1104" s="3">
        <v>0.3542</v>
      </c>
      <c r="M1104" s="3">
        <v>8855.0</v>
      </c>
      <c r="N1104" s="3">
        <v>2.0</v>
      </c>
      <c r="O1104" s="3">
        <v>357697.0</v>
      </c>
      <c r="P1104" s="3" t="s">
        <v>2934</v>
      </c>
      <c r="Q1104" s="3">
        <v>1137652.0</v>
      </c>
      <c r="R1104" s="3"/>
      <c r="S1104" s="3">
        <v>6198.5</v>
      </c>
      <c r="T1104" s="3" t="s">
        <v>31</v>
      </c>
      <c r="U1104" s="3">
        <v>6198.5</v>
      </c>
      <c r="V1104" s="5">
        <f>(DATE(2026,2,3)-'RICE_Insured Farms_with PPI Pol'!$G1104)+IF('RICE_Insured Farms_with PPI Pol'!$H1104&lt;&gt;'RICE_Insured Farms_with PPI Pol'!$G1104,18,0)</f>
        <v>47</v>
      </c>
      <c r="W1104" s="3" t="str">
        <f t="array" ref="W1104">IFS(V1104&gt;120, "Harvested", V1104&gt;=113, "Yellow Ripening", V1104&gt;=101, "Dough Stage", V1104&gt;=93, "Milking Stage", V1104&gt;=86, "Flowering", V1104&gt;=56, "Panicle Initiation/Booting", V1104&lt;56, "Vegetative/Tillering")</f>
        <v>Vegetative/Tillering</v>
      </c>
    </row>
    <row r="1105" ht="15.75" hidden="1" customHeight="1">
      <c r="A1105" s="3">
        <v>1104.0</v>
      </c>
      <c r="B1105" s="3" t="s">
        <v>23</v>
      </c>
      <c r="C1105" s="3" t="s">
        <v>1453</v>
      </c>
      <c r="D1105" s="3" t="s">
        <v>1454</v>
      </c>
      <c r="E1105" s="3" t="s">
        <v>2912</v>
      </c>
      <c r="F1105" s="3">
        <v>1742041.0</v>
      </c>
      <c r="G1105" s="4">
        <v>46036.0</v>
      </c>
      <c r="H1105" s="4">
        <v>46138.0</v>
      </c>
      <c r="I1105" s="3" t="s">
        <v>2932</v>
      </c>
      <c r="J1105" s="3" t="s">
        <v>2935</v>
      </c>
      <c r="K1105" s="3" t="s">
        <v>2936</v>
      </c>
      <c r="L1105" s="3">
        <v>0.2165</v>
      </c>
      <c r="M1105" s="3">
        <v>5412.5</v>
      </c>
      <c r="N1105" s="3">
        <v>2.0</v>
      </c>
      <c r="O1105" s="3">
        <v>123336.0</v>
      </c>
      <c r="P1105" s="3" t="s">
        <v>2937</v>
      </c>
      <c r="Q1105" s="3">
        <v>1317761.0</v>
      </c>
      <c r="R1105" s="3"/>
      <c r="S1105" s="3">
        <v>3788.75</v>
      </c>
      <c r="T1105" s="3" t="s">
        <v>31</v>
      </c>
      <c r="U1105" s="3">
        <v>3788.75</v>
      </c>
      <c r="V1105" s="5">
        <f>(DATE(2026,2,3)-'RICE_Insured Farms_with PPI Pol'!$G1105)+IF('RICE_Insured Farms_with PPI Pol'!$H1105&lt;&gt;'RICE_Insured Farms_with PPI Pol'!$G1105,18,0)</f>
        <v>38</v>
      </c>
      <c r="W1105" s="3" t="str">
        <f t="array" ref="W1105">IFS(V1105&gt;120, "Harvested", V1105&gt;=113, "Yellow Ripening", V1105&gt;=101, "Dough Stage", V1105&gt;=93, "Milking Stage", V1105&gt;=86, "Flowering", V1105&gt;=56, "Panicle Initiation/Booting", V1105&lt;56, "Vegetative/Tillering")</f>
        <v>Vegetative/Tillering</v>
      </c>
    </row>
    <row r="1106" ht="15.75" customHeight="1">
      <c r="A1106" s="3">
        <v>1105.0</v>
      </c>
      <c r="B1106" s="3" t="s">
        <v>23</v>
      </c>
      <c r="C1106" s="3" t="s">
        <v>68</v>
      </c>
      <c r="D1106" s="3" t="s">
        <v>69</v>
      </c>
      <c r="E1106" s="3" t="s">
        <v>131</v>
      </c>
      <c r="F1106" s="3">
        <v>1739642.0</v>
      </c>
      <c r="G1106" s="4">
        <v>46018.0</v>
      </c>
      <c r="H1106" s="4">
        <v>46120.0</v>
      </c>
      <c r="I1106" s="3" t="s">
        <v>532</v>
      </c>
      <c r="J1106" s="3" t="s">
        <v>2938</v>
      </c>
      <c r="K1106" s="3" t="s">
        <v>276</v>
      </c>
      <c r="L1106" s="3">
        <v>0.3586</v>
      </c>
      <c r="M1106" s="3">
        <v>8965.0</v>
      </c>
      <c r="N1106" s="3">
        <v>3.0</v>
      </c>
      <c r="O1106" s="3">
        <v>193019.0</v>
      </c>
      <c r="P1106" s="3" t="s">
        <v>2939</v>
      </c>
      <c r="Q1106" s="3">
        <v>1137778.0</v>
      </c>
      <c r="R1106" s="3"/>
      <c r="S1106" s="3">
        <v>7172.0</v>
      </c>
      <c r="T1106" s="3" t="s">
        <v>37</v>
      </c>
      <c r="U1106" s="3">
        <v>7172.0</v>
      </c>
      <c r="V1106" s="5">
        <f>(DATE(2026,2,3)-'RICE_Insured Farms_with PPI Pol'!$G1106)+IF('RICE_Insured Farms_with PPI Pol'!$H1106&lt;&gt;'RICE_Insured Farms_with PPI Pol'!$G1106,18,0)</f>
        <v>56</v>
      </c>
      <c r="W1106" s="3" t="str">
        <f t="array" ref="W1106">IFS(V1106&gt;120, "Harvested", V1106&gt;=113, "Yellow Ripening", V1106&gt;=101, "Dough Stage", V1106&gt;=93, "Milking Stage", V1106&gt;=86, "Flowering", V1106&gt;=56, "Panicle Initiation/Booting", V1106&lt;56, "Vegetative/Tillering")</f>
        <v>Panicle Initiation/Booting</v>
      </c>
    </row>
    <row r="1107" ht="15.75" customHeight="1">
      <c r="A1107" s="3">
        <v>1106.0</v>
      </c>
      <c r="B1107" s="3" t="s">
        <v>23</v>
      </c>
      <c r="C1107" s="3" t="s">
        <v>68</v>
      </c>
      <c r="D1107" s="3" t="s">
        <v>69</v>
      </c>
      <c r="E1107" s="3" t="s">
        <v>131</v>
      </c>
      <c r="F1107" s="3">
        <v>1739649.0</v>
      </c>
      <c r="G1107" s="4">
        <v>46019.0</v>
      </c>
      <c r="H1107" s="4">
        <v>46121.0</v>
      </c>
      <c r="I1107" s="3" t="s">
        <v>532</v>
      </c>
      <c r="J1107" s="3" t="s">
        <v>2940</v>
      </c>
      <c r="K1107" s="3" t="s">
        <v>2941</v>
      </c>
      <c r="L1107" s="3">
        <v>0.3137</v>
      </c>
      <c r="M1107" s="3">
        <v>7842.5</v>
      </c>
      <c r="N1107" s="3">
        <v>3.0</v>
      </c>
      <c r="O1107" s="3">
        <v>387471.0</v>
      </c>
      <c r="P1107" s="3" t="s">
        <v>2942</v>
      </c>
      <c r="Q1107" s="3">
        <v>1137983.0</v>
      </c>
      <c r="R1107" s="3"/>
      <c r="S1107" s="3">
        <v>6274.0</v>
      </c>
      <c r="T1107" s="3" t="s">
        <v>37</v>
      </c>
      <c r="U1107" s="3">
        <v>6274.0</v>
      </c>
      <c r="V1107" s="5">
        <f>(DATE(2026,2,3)-'RICE_Insured Farms_with PPI Pol'!$G1107)+IF('RICE_Insured Farms_with PPI Pol'!$H1107&lt;&gt;'RICE_Insured Farms_with PPI Pol'!$G1107,18,0)</f>
        <v>55</v>
      </c>
      <c r="W1107" s="3" t="str">
        <f t="array" ref="W1107">IFS(V1107&gt;120, "Harvested", V1107&gt;=113, "Yellow Ripening", V1107&gt;=101, "Dough Stage", V1107&gt;=93, "Milking Stage", V1107&gt;=86, "Flowering", V1107&gt;=56, "Panicle Initiation/Booting", V1107&lt;56, "Vegetative/Tillering")</f>
        <v>Vegetative/Tillering</v>
      </c>
    </row>
    <row r="1108" ht="15.75" hidden="1" customHeight="1">
      <c r="A1108" s="3">
        <v>1107.0</v>
      </c>
      <c r="B1108" s="3" t="s">
        <v>23</v>
      </c>
      <c r="C1108" s="3" t="s">
        <v>68</v>
      </c>
      <c r="D1108" s="3" t="s">
        <v>289</v>
      </c>
      <c r="E1108" s="3" t="s">
        <v>774</v>
      </c>
      <c r="F1108" s="3">
        <v>1760034.0</v>
      </c>
      <c r="G1108" s="4">
        <v>46033.0</v>
      </c>
      <c r="H1108" s="4">
        <v>46135.0</v>
      </c>
      <c r="I1108" s="3" t="s">
        <v>2943</v>
      </c>
      <c r="J1108" s="3" t="s">
        <v>2944</v>
      </c>
      <c r="K1108" s="3" t="s">
        <v>1852</v>
      </c>
      <c r="L1108" s="3">
        <v>0.4619</v>
      </c>
      <c r="M1108" s="3">
        <v>11547.5</v>
      </c>
      <c r="N1108" s="3">
        <v>2.0</v>
      </c>
      <c r="O1108" s="3">
        <v>416106.0</v>
      </c>
      <c r="P1108" s="3" t="s">
        <v>2945</v>
      </c>
      <c r="Q1108" s="3">
        <v>1276616.0</v>
      </c>
      <c r="R1108" s="3"/>
      <c r="S1108" s="3">
        <v>8083.25</v>
      </c>
      <c r="T1108" s="3" t="s">
        <v>31</v>
      </c>
      <c r="U1108" s="3">
        <v>8083.25</v>
      </c>
      <c r="V1108" s="5">
        <f>(DATE(2026,2,3)-'RICE_Insured Farms_with PPI Pol'!$G1108)+IF('RICE_Insured Farms_with PPI Pol'!$H1108&lt;&gt;'RICE_Insured Farms_with PPI Pol'!$G1108,18,0)</f>
        <v>41</v>
      </c>
      <c r="W1108" s="3" t="str">
        <f t="array" ref="W1108">IFS(V1108&gt;120, "Harvested", V1108&gt;=113, "Yellow Ripening", V1108&gt;=101, "Dough Stage", V1108&gt;=93, "Milking Stage", V1108&gt;=86, "Flowering", V1108&gt;=56, "Panicle Initiation/Booting", V1108&lt;56, "Vegetative/Tillering")</f>
        <v>Vegetative/Tillering</v>
      </c>
    </row>
    <row r="1109" ht="15.75" customHeight="1">
      <c r="A1109" s="3">
        <v>1108.0</v>
      </c>
      <c r="B1109" s="3" t="s">
        <v>23</v>
      </c>
      <c r="C1109" s="3" t="s">
        <v>24</v>
      </c>
      <c r="D1109" s="3" t="s">
        <v>25</v>
      </c>
      <c r="E1109" s="3" t="s">
        <v>32</v>
      </c>
      <c r="F1109" s="3">
        <v>1761013.0</v>
      </c>
      <c r="G1109" s="4">
        <v>46020.0</v>
      </c>
      <c r="H1109" s="4">
        <v>46115.0</v>
      </c>
      <c r="I1109" s="3" t="s">
        <v>2946</v>
      </c>
      <c r="J1109" s="3" t="s">
        <v>2947</v>
      </c>
      <c r="K1109" s="3" t="s">
        <v>2948</v>
      </c>
      <c r="L1109" s="3">
        <v>0.5</v>
      </c>
      <c r="M1109" s="3">
        <v>12500.0</v>
      </c>
      <c r="N1109" s="3">
        <v>3.0</v>
      </c>
      <c r="O1109" s="3">
        <v>233193.0</v>
      </c>
      <c r="P1109" s="3" t="s">
        <v>2949</v>
      </c>
      <c r="Q1109" s="3">
        <v>1235412.0</v>
      </c>
      <c r="R1109" s="3"/>
      <c r="S1109" s="3">
        <v>10000.0</v>
      </c>
      <c r="T1109" s="3" t="s">
        <v>37</v>
      </c>
      <c r="U1109" s="3">
        <v>10000.0</v>
      </c>
      <c r="V1109" s="5">
        <f>(DATE(2026,2,3)-'RICE_Insured Farms_with PPI Pol'!$G1109)+IF('RICE_Insured Farms_with PPI Pol'!$H1109&lt;&gt;'RICE_Insured Farms_with PPI Pol'!$G1109,18,0)</f>
        <v>54</v>
      </c>
      <c r="W1109" s="3" t="str">
        <f t="array" ref="W1109">IFS(V1109&gt;120, "Harvested", V1109&gt;=113, "Yellow Ripening", V1109&gt;=101, "Dough Stage", V1109&gt;=93, "Milking Stage", V1109&gt;=86, "Flowering", V1109&gt;=56, "Panicle Initiation/Booting", V1109&lt;56, "Vegetative/Tillering")</f>
        <v>Vegetative/Tillering</v>
      </c>
    </row>
    <row r="1110" ht="15.75" customHeight="1">
      <c r="A1110" s="3">
        <v>1109.0</v>
      </c>
      <c r="B1110" s="3" t="s">
        <v>23</v>
      </c>
      <c r="C1110" s="3" t="s">
        <v>68</v>
      </c>
      <c r="D1110" s="3" t="s">
        <v>289</v>
      </c>
      <c r="E1110" s="3" t="s">
        <v>774</v>
      </c>
      <c r="F1110" s="3">
        <v>1760012.0</v>
      </c>
      <c r="G1110" s="4">
        <v>46012.0</v>
      </c>
      <c r="H1110" s="4">
        <v>46114.0</v>
      </c>
      <c r="I1110" s="3" t="s">
        <v>2950</v>
      </c>
      <c r="J1110" s="3" t="s">
        <v>2951</v>
      </c>
      <c r="K1110" s="3" t="s">
        <v>2952</v>
      </c>
      <c r="L1110" s="3">
        <v>0.37</v>
      </c>
      <c r="M1110" s="3">
        <v>9250.0</v>
      </c>
      <c r="N1110" s="3">
        <v>3.0</v>
      </c>
      <c r="O1110" s="3">
        <v>330701.0</v>
      </c>
      <c r="P1110" s="3" t="s">
        <v>2953</v>
      </c>
      <c r="Q1110" s="3">
        <v>1277584.0</v>
      </c>
      <c r="R1110" s="3"/>
      <c r="S1110" s="3">
        <v>7400.0</v>
      </c>
      <c r="T1110" s="3" t="s">
        <v>37</v>
      </c>
      <c r="U1110" s="3">
        <v>7400.0</v>
      </c>
      <c r="V1110" s="5">
        <f>(DATE(2026,2,3)-'RICE_Insured Farms_with PPI Pol'!$G1110)+IF('RICE_Insured Farms_with PPI Pol'!$H1110&lt;&gt;'RICE_Insured Farms_with PPI Pol'!$G1110,18,0)</f>
        <v>62</v>
      </c>
      <c r="W1110" s="3" t="str">
        <f t="array" ref="W1110">IFS(V1110&gt;120, "Harvested", V1110&gt;=113, "Yellow Ripening", V1110&gt;=101, "Dough Stage", V1110&gt;=93, "Milking Stage", V1110&gt;=86, "Flowering", V1110&gt;=56, "Panicle Initiation/Booting", V1110&lt;56, "Vegetative/Tillering")</f>
        <v>Panicle Initiation/Booting</v>
      </c>
    </row>
    <row r="1111" ht="15.75" customHeight="1">
      <c r="A1111" s="3">
        <v>1110.0</v>
      </c>
      <c r="B1111" s="3" t="s">
        <v>23</v>
      </c>
      <c r="C1111" s="3" t="s">
        <v>1453</v>
      </c>
      <c r="D1111" s="3" t="s">
        <v>1454</v>
      </c>
      <c r="E1111" s="3" t="s">
        <v>1455</v>
      </c>
      <c r="F1111" s="3">
        <v>1742042.0</v>
      </c>
      <c r="G1111" s="4">
        <v>46019.0</v>
      </c>
      <c r="H1111" s="4">
        <v>46121.0</v>
      </c>
      <c r="I1111" s="3" t="s">
        <v>1137</v>
      </c>
      <c r="J1111" s="3" t="s">
        <v>2954</v>
      </c>
      <c r="K1111" s="3" t="s">
        <v>2955</v>
      </c>
      <c r="L1111" s="3">
        <v>0.7675</v>
      </c>
      <c r="M1111" s="3">
        <v>19187.5</v>
      </c>
      <c r="N1111" s="3">
        <v>3.0</v>
      </c>
      <c r="O1111" s="3">
        <v>97957.0</v>
      </c>
      <c r="P1111" s="3"/>
      <c r="Q1111" s="3">
        <v>1030790.0</v>
      </c>
      <c r="R1111" s="3"/>
      <c r="S1111" s="3">
        <v>15350.0</v>
      </c>
      <c r="T1111" s="3" t="s">
        <v>37</v>
      </c>
      <c r="U1111" s="3">
        <v>15350.0</v>
      </c>
      <c r="V1111" s="5">
        <f>(DATE(2026,2,3)-'RICE_Insured Farms_with PPI Pol'!$G1111)+IF('RICE_Insured Farms_with PPI Pol'!$H1111&lt;&gt;'RICE_Insured Farms_with PPI Pol'!$G1111,18,0)</f>
        <v>55</v>
      </c>
      <c r="W1111" s="3" t="str">
        <f t="array" ref="W1111">IFS(V1111&gt;120, "Harvested", V1111&gt;=113, "Yellow Ripening", V1111&gt;=101, "Dough Stage", V1111&gt;=93, "Milking Stage", V1111&gt;=86, "Flowering", V1111&gt;=56, "Panicle Initiation/Booting", V1111&lt;56, "Vegetative/Tillering")</f>
        <v>Vegetative/Tillering</v>
      </c>
    </row>
    <row r="1112" ht="15.75" hidden="1" customHeight="1">
      <c r="A1112" s="3">
        <v>1393.0</v>
      </c>
      <c r="B1112" s="3" t="s">
        <v>23</v>
      </c>
      <c r="C1112" s="3" t="s">
        <v>24</v>
      </c>
      <c r="D1112" s="3" t="s">
        <v>25</v>
      </c>
      <c r="E1112" s="3" t="s">
        <v>637</v>
      </c>
      <c r="F1112" s="3">
        <v>1760465.0</v>
      </c>
      <c r="G1112" s="4">
        <v>46007.0</v>
      </c>
      <c r="H1112" s="4">
        <v>46102.0</v>
      </c>
      <c r="I1112" s="3" t="s">
        <v>2956</v>
      </c>
      <c r="J1112" s="3" t="s">
        <v>2957</v>
      </c>
      <c r="K1112" s="3" t="s">
        <v>2958</v>
      </c>
      <c r="L1112" s="3">
        <v>0.3627</v>
      </c>
      <c r="M1112" s="3">
        <v>9067.5</v>
      </c>
      <c r="N1112" s="3">
        <v>4.0</v>
      </c>
      <c r="O1112" s="3">
        <v>5153.0</v>
      </c>
      <c r="P1112" s="3"/>
      <c r="Q1112" s="3">
        <v>1027885.0</v>
      </c>
      <c r="R1112" s="3"/>
      <c r="S1112" s="3">
        <v>7254.0</v>
      </c>
      <c r="T1112" s="3" t="s">
        <v>56</v>
      </c>
      <c r="U1112" s="3">
        <v>7254.0</v>
      </c>
      <c r="V1112" s="5">
        <f>(DATE(2026,2,3)-'RICE_Insured Farms_with PPI Pol'!$G1112)+IF('RICE_Insured Farms_with PPI Pol'!$H1112&lt;&gt;'RICE_Insured Farms_with PPI Pol'!$G1112,18,0)</f>
        <v>67</v>
      </c>
      <c r="W1112" s="3" t="str">
        <f t="array" ref="W1112">IFS(V1112&gt;120, "Harvested", V1112&gt;=113, "Yellow Ripening", V1112&gt;=101, "Dough Stage", V1112&gt;=93, "Milking Stage", V1112&gt;=86, "Flowering", V1112&gt;=56, "Panicle Initiation/Booting", V1112&lt;56, "Vegetative/Tillering")</f>
        <v>Panicle Initiation/Booting</v>
      </c>
    </row>
    <row r="1113" ht="15.75" customHeight="1">
      <c r="A1113" s="3">
        <v>1112.0</v>
      </c>
      <c r="B1113" s="3" t="s">
        <v>23</v>
      </c>
      <c r="C1113" s="3" t="s">
        <v>1453</v>
      </c>
      <c r="D1113" s="3" t="s">
        <v>1454</v>
      </c>
      <c r="E1113" s="3" t="s">
        <v>1455</v>
      </c>
      <c r="F1113" s="3">
        <v>1742042.0</v>
      </c>
      <c r="G1113" s="4">
        <v>46021.0</v>
      </c>
      <c r="H1113" s="4">
        <v>46123.0</v>
      </c>
      <c r="I1113" s="3" t="s">
        <v>1137</v>
      </c>
      <c r="J1113" s="3" t="s">
        <v>407</v>
      </c>
      <c r="K1113" s="3" t="s">
        <v>2959</v>
      </c>
      <c r="L1113" s="3">
        <v>0.4931</v>
      </c>
      <c r="M1113" s="3">
        <v>12327.5</v>
      </c>
      <c r="N1113" s="3">
        <v>3.0</v>
      </c>
      <c r="O1113" s="3">
        <v>17033.0</v>
      </c>
      <c r="P1113" s="3"/>
      <c r="Q1113" s="3">
        <v>1318488.0</v>
      </c>
      <c r="R1113" s="3"/>
      <c r="S1113" s="3">
        <v>9862.0</v>
      </c>
      <c r="T1113" s="3" t="s">
        <v>37</v>
      </c>
      <c r="U1113" s="3">
        <v>9862.0</v>
      </c>
      <c r="V1113" s="5">
        <f>(DATE(2026,2,3)-'RICE_Insured Farms_with PPI Pol'!$G1113)+IF('RICE_Insured Farms_with PPI Pol'!$H1113&lt;&gt;'RICE_Insured Farms_with PPI Pol'!$G1113,18,0)</f>
        <v>53</v>
      </c>
      <c r="W1113" s="3" t="str">
        <f t="array" ref="W1113">IFS(V1113&gt;120, "Harvested", V1113&gt;=113, "Yellow Ripening", V1113&gt;=101, "Dough Stage", V1113&gt;=93, "Milking Stage", V1113&gt;=86, "Flowering", V1113&gt;=56, "Panicle Initiation/Booting", V1113&lt;56, "Vegetative/Tillering")</f>
        <v>Vegetative/Tillering</v>
      </c>
    </row>
    <row r="1114" ht="15.75" customHeight="1">
      <c r="A1114" s="3">
        <v>1113.0</v>
      </c>
      <c r="B1114" s="3" t="s">
        <v>23</v>
      </c>
      <c r="C1114" s="3" t="s">
        <v>68</v>
      </c>
      <c r="D1114" s="3" t="s">
        <v>289</v>
      </c>
      <c r="E1114" s="3" t="s">
        <v>685</v>
      </c>
      <c r="F1114" s="3">
        <v>1760004.0</v>
      </c>
      <c r="G1114" s="4">
        <v>46021.0</v>
      </c>
      <c r="H1114" s="4">
        <v>46123.0</v>
      </c>
      <c r="I1114" s="3" t="s">
        <v>1834</v>
      </c>
      <c r="J1114" s="3" t="s">
        <v>2960</v>
      </c>
      <c r="K1114" s="3" t="s">
        <v>688</v>
      </c>
      <c r="L1114" s="3">
        <v>0.5304</v>
      </c>
      <c r="M1114" s="3">
        <v>13260.0</v>
      </c>
      <c r="N1114" s="3">
        <v>3.0</v>
      </c>
      <c r="O1114" s="3">
        <v>192927.0</v>
      </c>
      <c r="P1114" s="3" t="s">
        <v>2961</v>
      </c>
      <c r="Q1114" s="3">
        <v>1141251.0</v>
      </c>
      <c r="R1114" s="3"/>
      <c r="S1114" s="3">
        <v>10608.0</v>
      </c>
      <c r="T1114" s="3" t="s">
        <v>37</v>
      </c>
      <c r="U1114" s="3">
        <v>10608.0</v>
      </c>
      <c r="V1114" s="5">
        <f>(DATE(2026,2,3)-'RICE_Insured Farms_with PPI Pol'!$G1114)+IF('RICE_Insured Farms_with PPI Pol'!$H1114&lt;&gt;'RICE_Insured Farms_with PPI Pol'!$G1114,18,0)</f>
        <v>53</v>
      </c>
      <c r="W1114" s="3" t="str">
        <f t="array" ref="W1114">IFS(V1114&gt;120, "Harvested", V1114&gt;=113, "Yellow Ripening", V1114&gt;=101, "Dough Stage", V1114&gt;=93, "Milking Stage", V1114&gt;=86, "Flowering", V1114&gt;=56, "Panicle Initiation/Booting", V1114&lt;56, "Vegetative/Tillering")</f>
        <v>Vegetative/Tillering</v>
      </c>
    </row>
    <row r="1115" ht="15.75" hidden="1" customHeight="1">
      <c r="A1115" s="3">
        <v>1114.0</v>
      </c>
      <c r="B1115" s="3" t="s">
        <v>23</v>
      </c>
      <c r="C1115" s="3" t="s">
        <v>68</v>
      </c>
      <c r="D1115" s="3" t="s">
        <v>289</v>
      </c>
      <c r="E1115" s="3" t="s">
        <v>685</v>
      </c>
      <c r="F1115" s="3">
        <v>1760005.0</v>
      </c>
      <c r="G1115" s="4">
        <v>46027.0</v>
      </c>
      <c r="H1115" s="4">
        <v>46129.0</v>
      </c>
      <c r="I1115" s="3" t="s">
        <v>1834</v>
      </c>
      <c r="J1115" s="3" t="s">
        <v>2962</v>
      </c>
      <c r="K1115" s="3" t="s">
        <v>685</v>
      </c>
      <c r="L1115" s="3">
        <v>0.5157</v>
      </c>
      <c r="M1115" s="3">
        <v>12892.5</v>
      </c>
      <c r="N1115" s="3">
        <v>2.0</v>
      </c>
      <c r="O1115" s="3">
        <v>193095.0</v>
      </c>
      <c r="P1115" s="3" t="s">
        <v>2963</v>
      </c>
      <c r="Q1115" s="3">
        <v>619183.0</v>
      </c>
      <c r="R1115" s="3"/>
      <c r="S1115" s="3">
        <v>9024.75</v>
      </c>
      <c r="T1115" s="3" t="s">
        <v>31</v>
      </c>
      <c r="U1115" s="3">
        <v>9024.75</v>
      </c>
      <c r="V1115" s="5">
        <f>(DATE(2026,2,3)-'RICE_Insured Farms_with PPI Pol'!$G1115)+IF('RICE_Insured Farms_with PPI Pol'!$H1115&lt;&gt;'RICE_Insured Farms_with PPI Pol'!$G1115,18,0)</f>
        <v>47</v>
      </c>
      <c r="W1115" s="3" t="str">
        <f t="array" ref="W1115">IFS(V1115&gt;120, "Harvested", V1115&gt;=113, "Yellow Ripening", V1115&gt;=101, "Dough Stage", V1115&gt;=93, "Milking Stage", V1115&gt;=86, "Flowering", V1115&gt;=56, "Panicle Initiation/Booting", V1115&lt;56, "Vegetative/Tillering")</f>
        <v>Vegetative/Tillering</v>
      </c>
    </row>
    <row r="1116" ht="15.75" hidden="1" customHeight="1">
      <c r="A1116" s="3">
        <v>1115.0</v>
      </c>
      <c r="B1116" s="3" t="s">
        <v>23</v>
      </c>
      <c r="C1116" s="3" t="s">
        <v>68</v>
      </c>
      <c r="D1116" s="3" t="s">
        <v>122</v>
      </c>
      <c r="E1116" s="3" t="s">
        <v>1122</v>
      </c>
      <c r="F1116" s="3">
        <v>1196930.0</v>
      </c>
      <c r="G1116" s="4">
        <v>46020.0</v>
      </c>
      <c r="H1116" s="4">
        <v>46140.0</v>
      </c>
      <c r="I1116" s="3" t="s">
        <v>2964</v>
      </c>
      <c r="J1116" s="3" t="s">
        <v>2090</v>
      </c>
      <c r="K1116" s="3" t="s">
        <v>1565</v>
      </c>
      <c r="L1116" s="3">
        <v>0.9689</v>
      </c>
      <c r="M1116" s="3">
        <v>24222.5</v>
      </c>
      <c r="N1116" s="3">
        <v>2.0</v>
      </c>
      <c r="O1116" s="3">
        <v>208067.0</v>
      </c>
      <c r="P1116" s="3" t="s">
        <v>2965</v>
      </c>
      <c r="Q1116" s="3">
        <v>1319065.0</v>
      </c>
      <c r="R1116" s="3"/>
      <c r="S1116" s="3">
        <v>16955.75</v>
      </c>
      <c r="T1116" s="3" t="s">
        <v>31</v>
      </c>
      <c r="U1116" s="3">
        <v>16955.75</v>
      </c>
      <c r="V1116" s="5">
        <f>(DATE(2026,2,3)-'RICE_Insured Farms_with PPI Pol'!$G1116)+IF('RICE_Insured Farms_with PPI Pol'!$H1116&lt;&gt;'RICE_Insured Farms_with PPI Pol'!$G1116,18,0)</f>
        <v>54</v>
      </c>
      <c r="W1116" s="3" t="str">
        <f t="array" ref="W1116">IFS(V1116&gt;120, "Harvested", V1116&gt;=113, "Yellow Ripening", V1116&gt;=101, "Dough Stage", V1116&gt;=93, "Milking Stage", V1116&gt;=86, "Flowering", V1116&gt;=56, "Panicle Initiation/Booting", V1116&lt;56, "Vegetative/Tillering")</f>
        <v>Vegetative/Tillering</v>
      </c>
    </row>
    <row r="1117" ht="15.75" customHeight="1">
      <c r="A1117" s="3">
        <v>1116.0</v>
      </c>
      <c r="B1117" s="3" t="s">
        <v>23</v>
      </c>
      <c r="C1117" s="3" t="s">
        <v>1453</v>
      </c>
      <c r="D1117" s="3" t="s">
        <v>1454</v>
      </c>
      <c r="E1117" s="3" t="s">
        <v>1455</v>
      </c>
      <c r="F1117" s="3">
        <v>1742045.0</v>
      </c>
      <c r="G1117" s="4">
        <v>46017.0</v>
      </c>
      <c r="H1117" s="4">
        <v>46119.0</v>
      </c>
      <c r="I1117" s="3" t="s">
        <v>2966</v>
      </c>
      <c r="J1117" s="3" t="s">
        <v>2967</v>
      </c>
      <c r="K1117" s="3" t="s">
        <v>211</v>
      </c>
      <c r="L1117" s="3">
        <v>0.4606</v>
      </c>
      <c r="M1117" s="3">
        <v>11515.0</v>
      </c>
      <c r="N1117" s="3">
        <v>3.0</v>
      </c>
      <c r="O1117" s="3">
        <v>158331.0</v>
      </c>
      <c r="P1117" s="3" t="s">
        <v>2968</v>
      </c>
      <c r="Q1117" s="3">
        <v>1135035.0</v>
      </c>
      <c r="R1117" s="3"/>
      <c r="S1117" s="3">
        <v>9212.0</v>
      </c>
      <c r="T1117" s="3" t="s">
        <v>37</v>
      </c>
      <c r="U1117" s="3">
        <v>9212.0</v>
      </c>
      <c r="V1117" s="5">
        <f>(DATE(2026,2,3)-'RICE_Insured Farms_with PPI Pol'!$G1117)+IF('RICE_Insured Farms_with PPI Pol'!$H1117&lt;&gt;'RICE_Insured Farms_with PPI Pol'!$G1117,18,0)</f>
        <v>57</v>
      </c>
      <c r="W1117" s="3" t="str">
        <f t="array" ref="W1117">IFS(V1117&gt;120, "Harvested", V1117&gt;=113, "Yellow Ripening", V1117&gt;=101, "Dough Stage", V1117&gt;=93, "Milking Stage", V1117&gt;=86, "Flowering", V1117&gt;=56, "Panicle Initiation/Booting", V1117&lt;56, "Vegetative/Tillering")</f>
        <v>Panicle Initiation/Booting</v>
      </c>
    </row>
    <row r="1118" ht="15.75" hidden="1" customHeight="1">
      <c r="A1118" s="3">
        <v>1117.0</v>
      </c>
      <c r="B1118" s="3" t="s">
        <v>23</v>
      </c>
      <c r="C1118" s="3" t="s">
        <v>121</v>
      </c>
      <c r="D1118" s="3" t="s">
        <v>122</v>
      </c>
      <c r="E1118" s="3" t="s">
        <v>123</v>
      </c>
      <c r="F1118" s="3">
        <v>1760507.0</v>
      </c>
      <c r="G1118" s="4">
        <v>46024.0</v>
      </c>
      <c r="H1118" s="4">
        <v>46144.0</v>
      </c>
      <c r="I1118" s="3" t="s">
        <v>2969</v>
      </c>
      <c r="J1118" s="3" t="s">
        <v>2970</v>
      </c>
      <c r="K1118" s="3" t="s">
        <v>2971</v>
      </c>
      <c r="L1118" s="3">
        <v>2.3316</v>
      </c>
      <c r="M1118" s="3">
        <v>58290.0</v>
      </c>
      <c r="N1118" s="3">
        <v>2.0</v>
      </c>
      <c r="O1118" s="3">
        <v>177719.0</v>
      </c>
      <c r="P1118" s="3" t="s">
        <v>2972</v>
      </c>
      <c r="Q1118" s="3">
        <v>1042530.0</v>
      </c>
      <c r="R1118" s="3"/>
      <c r="S1118" s="3">
        <v>40803.0</v>
      </c>
      <c r="T1118" s="3" t="s">
        <v>31</v>
      </c>
      <c r="U1118" s="3">
        <v>40803.0</v>
      </c>
      <c r="V1118" s="5">
        <f>(DATE(2026,2,3)-'RICE_Insured Farms_with PPI Pol'!$G1118)+IF('RICE_Insured Farms_with PPI Pol'!$H1118&lt;&gt;'RICE_Insured Farms_with PPI Pol'!$G1118,18,0)</f>
        <v>50</v>
      </c>
      <c r="W1118" s="3" t="str">
        <f t="array" ref="W1118">IFS(V1118&gt;120, "Harvested", V1118&gt;=113, "Yellow Ripening", V1118&gt;=101, "Dough Stage", V1118&gt;=93, "Milking Stage", V1118&gt;=86, "Flowering", V1118&gt;=56, "Panicle Initiation/Booting", V1118&lt;56, "Vegetative/Tillering")</f>
        <v>Vegetative/Tillering</v>
      </c>
    </row>
    <row r="1119" ht="15.75" hidden="1" customHeight="1">
      <c r="A1119" s="3">
        <v>1118.0</v>
      </c>
      <c r="B1119" s="3" t="s">
        <v>23</v>
      </c>
      <c r="C1119" s="3" t="s">
        <v>24</v>
      </c>
      <c r="D1119" s="3" t="s">
        <v>25</v>
      </c>
      <c r="E1119" s="3" t="s">
        <v>1164</v>
      </c>
      <c r="F1119" s="3">
        <v>1761010.0</v>
      </c>
      <c r="G1119" s="4">
        <v>46016.0</v>
      </c>
      <c r="H1119" s="4">
        <v>46136.0</v>
      </c>
      <c r="I1119" s="3" t="s">
        <v>1423</v>
      </c>
      <c r="J1119" s="3" t="s">
        <v>2973</v>
      </c>
      <c r="K1119" s="3" t="s">
        <v>2974</v>
      </c>
      <c r="L1119" s="3">
        <v>1.5402</v>
      </c>
      <c r="M1119" s="3">
        <v>38505.0</v>
      </c>
      <c r="N1119" s="3">
        <v>2.0</v>
      </c>
      <c r="O1119" s="3">
        <v>243723.0</v>
      </c>
      <c r="P1119" s="3" t="s">
        <v>2975</v>
      </c>
      <c r="Q1119" s="3">
        <v>1276019.0</v>
      </c>
      <c r="R1119" s="3"/>
      <c r="S1119" s="3">
        <v>26953.5</v>
      </c>
      <c r="T1119" s="3" t="s">
        <v>31</v>
      </c>
      <c r="U1119" s="3">
        <v>26953.5</v>
      </c>
      <c r="V1119" s="5">
        <f>(DATE(2026,2,3)-'RICE_Insured Farms_with PPI Pol'!$G1119)+IF('RICE_Insured Farms_with PPI Pol'!$H1119&lt;&gt;'RICE_Insured Farms_with PPI Pol'!$G1119,18,0)</f>
        <v>58</v>
      </c>
      <c r="W1119" s="3" t="str">
        <f t="array" ref="W1119">IFS(V1119&gt;120, "Harvested", V1119&gt;=113, "Yellow Ripening", V1119&gt;=101, "Dough Stage", V1119&gt;=93, "Milking Stage", V1119&gt;=86, "Flowering", V1119&gt;=56, "Panicle Initiation/Booting", V1119&lt;56, "Vegetative/Tillering")</f>
        <v>Panicle Initiation/Booting</v>
      </c>
    </row>
    <row r="1120" ht="15.75" customHeight="1">
      <c r="A1120" s="3">
        <v>1119.0</v>
      </c>
      <c r="B1120" s="3" t="s">
        <v>23</v>
      </c>
      <c r="C1120" s="3" t="s">
        <v>24</v>
      </c>
      <c r="D1120" s="3" t="s">
        <v>25</v>
      </c>
      <c r="E1120" s="3" t="s">
        <v>1164</v>
      </c>
      <c r="F1120" s="3">
        <v>1761010.0</v>
      </c>
      <c r="G1120" s="4">
        <v>46018.0</v>
      </c>
      <c r="H1120" s="4">
        <v>46112.0</v>
      </c>
      <c r="I1120" s="3" t="s">
        <v>1423</v>
      </c>
      <c r="J1120" s="3" t="s">
        <v>2976</v>
      </c>
      <c r="K1120" s="3" t="s">
        <v>2974</v>
      </c>
      <c r="L1120" s="3">
        <v>1.5</v>
      </c>
      <c r="M1120" s="3">
        <v>37500.0</v>
      </c>
      <c r="N1120" s="3">
        <v>3.0</v>
      </c>
      <c r="O1120" s="3">
        <v>243721.0</v>
      </c>
      <c r="P1120" s="3"/>
      <c r="Q1120" s="3">
        <v>1276004.0</v>
      </c>
      <c r="R1120" s="3"/>
      <c r="S1120" s="3">
        <v>30000.0</v>
      </c>
      <c r="T1120" s="3" t="s">
        <v>37</v>
      </c>
      <c r="U1120" s="3">
        <v>30000.0</v>
      </c>
      <c r="V1120" s="5">
        <f>(DATE(2026,2,3)-'RICE_Insured Farms_with PPI Pol'!$G1120)+IF('RICE_Insured Farms_with PPI Pol'!$H1120&lt;&gt;'RICE_Insured Farms_with PPI Pol'!$G1120,18,0)</f>
        <v>56</v>
      </c>
      <c r="W1120" s="3" t="str">
        <f t="array" ref="W1120">IFS(V1120&gt;120, "Harvested", V1120&gt;=113, "Yellow Ripening", V1120&gt;=101, "Dough Stage", V1120&gt;=93, "Milking Stage", V1120&gt;=86, "Flowering", V1120&gt;=56, "Panicle Initiation/Booting", V1120&lt;56, "Vegetative/Tillering")</f>
        <v>Panicle Initiation/Booting</v>
      </c>
    </row>
    <row r="1121" ht="15.75" hidden="1" customHeight="1">
      <c r="A1121" s="3">
        <v>1120.0</v>
      </c>
      <c r="B1121" s="3" t="s">
        <v>23</v>
      </c>
      <c r="C1121" s="3" t="s">
        <v>68</v>
      </c>
      <c r="D1121" s="3" t="s">
        <v>289</v>
      </c>
      <c r="E1121" s="3" t="s">
        <v>1535</v>
      </c>
      <c r="F1121" s="3">
        <v>1760008.0</v>
      </c>
      <c r="G1121" s="4">
        <v>46032.0</v>
      </c>
      <c r="H1121" s="4">
        <v>46134.0</v>
      </c>
      <c r="I1121" s="3" t="s">
        <v>2977</v>
      </c>
      <c r="J1121" s="3" t="s">
        <v>2978</v>
      </c>
      <c r="K1121" s="3" t="s">
        <v>2979</v>
      </c>
      <c r="L1121" s="3">
        <v>0.3455</v>
      </c>
      <c r="M1121" s="3">
        <v>8637.5</v>
      </c>
      <c r="N1121" s="3">
        <v>2.0</v>
      </c>
      <c r="O1121" s="3">
        <v>282982.0</v>
      </c>
      <c r="P1121" s="3"/>
      <c r="Q1121" s="3">
        <v>1282205.0</v>
      </c>
      <c r="R1121" s="3"/>
      <c r="S1121" s="3">
        <v>6046.25</v>
      </c>
      <c r="T1121" s="3" t="s">
        <v>31</v>
      </c>
      <c r="U1121" s="3">
        <v>6046.25</v>
      </c>
      <c r="V1121" s="5">
        <f>(DATE(2026,2,3)-'RICE_Insured Farms_with PPI Pol'!$G1121)+IF('RICE_Insured Farms_with PPI Pol'!$H1121&lt;&gt;'RICE_Insured Farms_with PPI Pol'!$G1121,18,0)</f>
        <v>42</v>
      </c>
      <c r="W1121" s="3" t="str">
        <f t="array" ref="W1121">IFS(V1121&gt;120, "Harvested", V1121&gt;=113, "Yellow Ripening", V1121&gt;=101, "Dough Stage", V1121&gt;=93, "Milking Stage", V1121&gt;=86, "Flowering", V1121&gt;=56, "Panicle Initiation/Booting", V1121&lt;56, "Vegetative/Tillering")</f>
        <v>Vegetative/Tillering</v>
      </c>
    </row>
    <row r="1122" ht="15.75" customHeight="1">
      <c r="A1122" s="3">
        <v>1121.0</v>
      </c>
      <c r="B1122" s="3" t="s">
        <v>23</v>
      </c>
      <c r="C1122" s="3" t="s">
        <v>68</v>
      </c>
      <c r="D1122" s="3" t="s">
        <v>289</v>
      </c>
      <c r="E1122" s="3" t="s">
        <v>1535</v>
      </c>
      <c r="F1122" s="3">
        <v>1760013.0</v>
      </c>
      <c r="G1122" s="4">
        <v>46017.0</v>
      </c>
      <c r="H1122" s="4">
        <v>46119.0</v>
      </c>
      <c r="I1122" s="3" t="s">
        <v>2977</v>
      </c>
      <c r="J1122" s="3" t="s">
        <v>407</v>
      </c>
      <c r="K1122" s="3" t="s">
        <v>2979</v>
      </c>
      <c r="L1122" s="3">
        <v>0.8773</v>
      </c>
      <c r="M1122" s="3">
        <v>21932.5</v>
      </c>
      <c r="N1122" s="3">
        <v>3.0</v>
      </c>
      <c r="O1122" s="3">
        <v>58277.0</v>
      </c>
      <c r="P1122" s="3" t="s">
        <v>2980</v>
      </c>
      <c r="Q1122" s="3">
        <v>1282165.0</v>
      </c>
      <c r="R1122" s="3"/>
      <c r="S1122" s="3">
        <v>17546.0</v>
      </c>
      <c r="T1122" s="3" t="s">
        <v>37</v>
      </c>
      <c r="U1122" s="3">
        <v>17546.0</v>
      </c>
      <c r="V1122" s="5">
        <f>(DATE(2026,2,3)-'RICE_Insured Farms_with PPI Pol'!$G1122)+IF('RICE_Insured Farms_with PPI Pol'!$H1122&lt;&gt;'RICE_Insured Farms_with PPI Pol'!$G1122,18,0)</f>
        <v>57</v>
      </c>
      <c r="W1122" s="3" t="str">
        <f t="array" ref="W1122">IFS(V1122&gt;120, "Harvested", V1122&gt;=113, "Yellow Ripening", V1122&gt;=101, "Dough Stage", V1122&gt;=93, "Milking Stage", V1122&gt;=86, "Flowering", V1122&gt;=56, "Panicle Initiation/Booting", V1122&lt;56, "Vegetative/Tillering")</f>
        <v>Panicle Initiation/Booting</v>
      </c>
    </row>
    <row r="1123" ht="15.75" customHeight="1">
      <c r="A1123" s="3">
        <v>1122.0</v>
      </c>
      <c r="B1123" s="3" t="s">
        <v>1776</v>
      </c>
      <c r="C1123" s="3" t="s">
        <v>24</v>
      </c>
      <c r="D1123" s="3" t="s">
        <v>25</v>
      </c>
      <c r="E1123" s="3" t="s">
        <v>1374</v>
      </c>
      <c r="F1123" s="3">
        <v>1760470.0</v>
      </c>
      <c r="G1123" s="4">
        <v>46019.0</v>
      </c>
      <c r="H1123" s="4">
        <v>46114.0</v>
      </c>
      <c r="I1123" s="3" t="s">
        <v>2977</v>
      </c>
      <c r="J1123" s="3" t="s">
        <v>833</v>
      </c>
      <c r="K1123" s="3" t="s">
        <v>2981</v>
      </c>
      <c r="L1123" s="3">
        <v>0.19</v>
      </c>
      <c r="M1123" s="3">
        <v>3800.0</v>
      </c>
      <c r="N1123" s="3">
        <v>3.0</v>
      </c>
      <c r="O1123" s="3">
        <v>304497.0</v>
      </c>
      <c r="P1123" s="3" t="s">
        <v>2982</v>
      </c>
      <c r="Q1123" s="3">
        <v>887405.0</v>
      </c>
      <c r="R1123" s="3"/>
      <c r="S1123" s="3">
        <v>3040.0</v>
      </c>
      <c r="T1123" s="3" t="s">
        <v>37</v>
      </c>
      <c r="U1123" s="3">
        <v>3040.0</v>
      </c>
      <c r="V1123" s="5">
        <f>(DATE(2026,2,3)-'RICE_Insured Farms_with PPI Pol'!$G1123)+IF('RICE_Insured Farms_with PPI Pol'!$H1123&lt;&gt;'RICE_Insured Farms_with PPI Pol'!$G1123,18,0)</f>
        <v>55</v>
      </c>
      <c r="W1123" s="3" t="str">
        <f t="array" ref="W1123">IFS(V1123&gt;120, "Harvested", V1123&gt;=113, "Yellow Ripening", V1123&gt;=101, "Dough Stage", V1123&gt;=93, "Milking Stage", V1123&gt;=86, "Flowering", V1123&gt;=56, "Panicle Initiation/Booting", V1123&lt;56, "Vegetative/Tillering")</f>
        <v>Vegetative/Tillering</v>
      </c>
    </row>
    <row r="1124" ht="15.75" hidden="1" customHeight="1">
      <c r="A1124" s="3">
        <v>1123.0</v>
      </c>
      <c r="B1124" s="3" t="s">
        <v>23</v>
      </c>
      <c r="C1124" s="3" t="s">
        <v>121</v>
      </c>
      <c r="D1124" s="3" t="s">
        <v>1492</v>
      </c>
      <c r="E1124" s="3" t="s">
        <v>2306</v>
      </c>
      <c r="F1124" s="3">
        <v>1740642.0</v>
      </c>
      <c r="G1124" s="4">
        <v>46021.0</v>
      </c>
      <c r="H1124" s="4">
        <v>46141.0</v>
      </c>
      <c r="I1124" s="3" t="s">
        <v>2983</v>
      </c>
      <c r="J1124" s="3" t="s">
        <v>2769</v>
      </c>
      <c r="K1124" s="3" t="s">
        <v>2984</v>
      </c>
      <c r="L1124" s="3">
        <v>0.7227</v>
      </c>
      <c r="M1124" s="3">
        <v>18067.5</v>
      </c>
      <c r="N1124" s="3">
        <v>2.0</v>
      </c>
      <c r="O1124" s="3">
        <v>46648.0</v>
      </c>
      <c r="P1124" s="3" t="s">
        <v>2985</v>
      </c>
      <c r="Q1124" s="3">
        <v>1136616.0</v>
      </c>
      <c r="R1124" s="3"/>
      <c r="S1124" s="3">
        <v>12647.25</v>
      </c>
      <c r="T1124" s="3" t="s">
        <v>31</v>
      </c>
      <c r="U1124" s="3">
        <v>12647.25</v>
      </c>
      <c r="V1124" s="5">
        <f>(DATE(2026,2,3)-'RICE_Insured Farms_with PPI Pol'!$G1124)+IF('RICE_Insured Farms_with PPI Pol'!$H1124&lt;&gt;'RICE_Insured Farms_with PPI Pol'!$G1124,18,0)</f>
        <v>53</v>
      </c>
      <c r="W1124" s="3" t="str">
        <f t="array" ref="W1124">IFS(V1124&gt;120, "Harvested", V1124&gt;=113, "Yellow Ripening", V1124&gt;=101, "Dough Stage", V1124&gt;=93, "Milking Stage", V1124&gt;=86, "Flowering", V1124&gt;=56, "Panicle Initiation/Booting", V1124&lt;56, "Vegetative/Tillering")</f>
        <v>Vegetative/Tillering</v>
      </c>
    </row>
    <row r="1125" ht="15.75" hidden="1" customHeight="1">
      <c r="A1125" s="3">
        <v>1124.0</v>
      </c>
      <c r="B1125" s="3" t="s">
        <v>23</v>
      </c>
      <c r="C1125" s="3" t="s">
        <v>121</v>
      </c>
      <c r="D1125" s="3" t="s">
        <v>1368</v>
      </c>
      <c r="E1125" s="3" t="s">
        <v>321</v>
      </c>
      <c r="F1125" s="3">
        <v>1742652.0</v>
      </c>
      <c r="G1125" s="4">
        <v>46026.0</v>
      </c>
      <c r="H1125" s="4">
        <v>46146.0</v>
      </c>
      <c r="I1125" s="3" t="s">
        <v>2986</v>
      </c>
      <c r="J1125" s="3" t="s">
        <v>43</v>
      </c>
      <c r="K1125" s="3" t="s">
        <v>1963</v>
      </c>
      <c r="L1125" s="3">
        <v>1.8844</v>
      </c>
      <c r="M1125" s="3">
        <v>47110.0</v>
      </c>
      <c r="N1125" s="3">
        <v>2.0</v>
      </c>
      <c r="O1125" s="3">
        <v>129911.0</v>
      </c>
      <c r="P1125" s="3" t="s">
        <v>2987</v>
      </c>
      <c r="Q1125" s="3">
        <v>1159447.0</v>
      </c>
      <c r="R1125" s="3"/>
      <c r="S1125" s="3">
        <v>32977.0</v>
      </c>
      <c r="T1125" s="3" t="s">
        <v>31</v>
      </c>
      <c r="U1125" s="3">
        <v>32977.0</v>
      </c>
      <c r="V1125" s="5">
        <f>(DATE(2026,2,3)-'RICE_Insured Farms_with PPI Pol'!$G1125)+IF('RICE_Insured Farms_with PPI Pol'!$H1125&lt;&gt;'RICE_Insured Farms_with PPI Pol'!$G1125,18,0)</f>
        <v>48</v>
      </c>
      <c r="W1125" s="3" t="str">
        <f t="array" ref="W1125">IFS(V1125&gt;120, "Harvested", V1125&gt;=113, "Yellow Ripening", V1125&gt;=101, "Dough Stage", V1125&gt;=93, "Milking Stage", V1125&gt;=86, "Flowering", V1125&gt;=56, "Panicle Initiation/Booting", V1125&lt;56, "Vegetative/Tillering")</f>
        <v>Vegetative/Tillering</v>
      </c>
    </row>
    <row r="1126" ht="15.75" hidden="1" customHeight="1">
      <c r="A1126" s="3">
        <v>1125.0</v>
      </c>
      <c r="B1126" s="3" t="s">
        <v>23</v>
      </c>
      <c r="C1126" s="3" t="s">
        <v>121</v>
      </c>
      <c r="D1126" s="3" t="s">
        <v>1368</v>
      </c>
      <c r="E1126" s="3" t="s">
        <v>321</v>
      </c>
      <c r="F1126" s="3">
        <v>1742652.0</v>
      </c>
      <c r="G1126" s="4">
        <v>46026.0</v>
      </c>
      <c r="H1126" s="4">
        <v>46146.0</v>
      </c>
      <c r="I1126" s="3" t="s">
        <v>2986</v>
      </c>
      <c r="J1126" s="3" t="s">
        <v>2988</v>
      </c>
      <c r="K1126" s="3" t="s">
        <v>2989</v>
      </c>
      <c r="L1126" s="3">
        <v>0.9809</v>
      </c>
      <c r="M1126" s="3">
        <v>24522.5</v>
      </c>
      <c r="N1126" s="3">
        <v>2.0</v>
      </c>
      <c r="O1126" s="3">
        <v>130035.0</v>
      </c>
      <c r="P1126" s="3"/>
      <c r="Q1126" s="3">
        <v>1210398.0</v>
      </c>
      <c r="R1126" s="3"/>
      <c r="S1126" s="3">
        <v>17165.75</v>
      </c>
      <c r="T1126" s="3" t="s">
        <v>31</v>
      </c>
      <c r="U1126" s="3">
        <v>17165.75</v>
      </c>
      <c r="V1126" s="5">
        <f>(DATE(2026,2,3)-'RICE_Insured Farms_with PPI Pol'!$G1126)+IF('RICE_Insured Farms_with PPI Pol'!$H1126&lt;&gt;'RICE_Insured Farms_with PPI Pol'!$G1126,18,0)</f>
        <v>48</v>
      </c>
      <c r="W1126" s="3" t="str">
        <f t="array" ref="W1126">IFS(V1126&gt;120, "Harvested", V1126&gt;=113, "Yellow Ripening", V1126&gt;=101, "Dough Stage", V1126&gt;=93, "Milking Stage", V1126&gt;=86, "Flowering", V1126&gt;=56, "Panicle Initiation/Booting", V1126&lt;56, "Vegetative/Tillering")</f>
        <v>Vegetative/Tillering</v>
      </c>
    </row>
    <row r="1127" ht="15.75" hidden="1" customHeight="1">
      <c r="A1127" s="3">
        <v>1126.0</v>
      </c>
      <c r="B1127" s="3" t="s">
        <v>23</v>
      </c>
      <c r="C1127" s="3" t="s">
        <v>121</v>
      </c>
      <c r="D1127" s="3" t="s">
        <v>1368</v>
      </c>
      <c r="E1127" s="3" t="s">
        <v>321</v>
      </c>
      <c r="F1127" s="3">
        <v>1742652.0</v>
      </c>
      <c r="G1127" s="4">
        <v>46026.0</v>
      </c>
      <c r="H1127" s="4">
        <v>46146.0</v>
      </c>
      <c r="I1127" s="3" t="s">
        <v>2986</v>
      </c>
      <c r="J1127" s="3" t="s">
        <v>2988</v>
      </c>
      <c r="K1127" s="3" t="s">
        <v>2989</v>
      </c>
      <c r="L1127" s="3">
        <v>1.2486</v>
      </c>
      <c r="M1127" s="3">
        <v>31215.0</v>
      </c>
      <c r="N1127" s="3">
        <v>2.0</v>
      </c>
      <c r="O1127" s="3">
        <v>130035.0</v>
      </c>
      <c r="P1127" s="3"/>
      <c r="Q1127" s="3">
        <v>1279145.0</v>
      </c>
      <c r="R1127" s="3"/>
      <c r="S1127" s="3">
        <v>21850.5</v>
      </c>
      <c r="T1127" s="3" t="s">
        <v>31</v>
      </c>
      <c r="U1127" s="3">
        <v>21850.5</v>
      </c>
      <c r="V1127" s="5">
        <f>(DATE(2026,2,3)-'RICE_Insured Farms_with PPI Pol'!$G1127)+IF('RICE_Insured Farms_with PPI Pol'!$H1127&lt;&gt;'RICE_Insured Farms_with PPI Pol'!$G1127,18,0)</f>
        <v>48</v>
      </c>
      <c r="W1127" s="3" t="str">
        <f t="array" ref="W1127">IFS(V1127&gt;120, "Harvested", V1127&gt;=113, "Yellow Ripening", V1127&gt;=101, "Dough Stage", V1127&gt;=93, "Milking Stage", V1127&gt;=86, "Flowering", V1127&gt;=56, "Panicle Initiation/Booting", V1127&lt;56, "Vegetative/Tillering")</f>
        <v>Vegetative/Tillering</v>
      </c>
    </row>
    <row r="1128" ht="15.75" hidden="1" customHeight="1">
      <c r="A1128" s="3">
        <v>1127.0</v>
      </c>
      <c r="B1128" s="3" t="s">
        <v>23</v>
      </c>
      <c r="C1128" s="3" t="s">
        <v>68</v>
      </c>
      <c r="D1128" s="3" t="s">
        <v>679</v>
      </c>
      <c r="E1128" s="3" t="s">
        <v>680</v>
      </c>
      <c r="F1128" s="3">
        <v>1175382.0</v>
      </c>
      <c r="G1128" s="4">
        <v>46041.0</v>
      </c>
      <c r="H1128" s="4">
        <v>46143.0</v>
      </c>
      <c r="I1128" s="3" t="s">
        <v>2990</v>
      </c>
      <c r="J1128" s="3" t="s">
        <v>2991</v>
      </c>
      <c r="K1128" s="3" t="s">
        <v>1004</v>
      </c>
      <c r="L1128" s="3">
        <v>0.424</v>
      </c>
      <c r="M1128" s="3">
        <v>10600.0</v>
      </c>
      <c r="N1128" s="3">
        <v>2.0</v>
      </c>
      <c r="O1128" s="3">
        <v>440386.0</v>
      </c>
      <c r="P1128" s="3" t="s">
        <v>2992</v>
      </c>
      <c r="Q1128" s="3">
        <v>1143116.0</v>
      </c>
      <c r="R1128" s="3"/>
      <c r="S1128" s="3">
        <v>7420.0</v>
      </c>
      <c r="T1128" s="3" t="s">
        <v>31</v>
      </c>
      <c r="U1128" s="3">
        <v>7420.0</v>
      </c>
      <c r="V1128" s="5">
        <f>(DATE(2026,2,3)-'RICE_Insured Farms_with PPI Pol'!$G1128)+IF('RICE_Insured Farms_with PPI Pol'!$H1128&lt;&gt;'RICE_Insured Farms_with PPI Pol'!$G1128,18,0)</f>
        <v>33</v>
      </c>
      <c r="W1128" s="3" t="str">
        <f t="array" ref="W1128">IFS(V1128&gt;120, "Harvested", V1128&gt;=113, "Yellow Ripening", V1128&gt;=101, "Dough Stage", V1128&gt;=93, "Milking Stage", V1128&gt;=86, "Flowering", V1128&gt;=56, "Panicle Initiation/Booting", V1128&lt;56, "Vegetative/Tillering")</f>
        <v>Vegetative/Tillering</v>
      </c>
    </row>
    <row r="1129" ht="15.75" customHeight="1">
      <c r="A1129" s="3">
        <v>1128.0</v>
      </c>
      <c r="B1129" s="3" t="s">
        <v>23</v>
      </c>
      <c r="C1129" s="3" t="s">
        <v>121</v>
      </c>
      <c r="D1129" s="3" t="s">
        <v>384</v>
      </c>
      <c r="E1129" s="3" t="s">
        <v>385</v>
      </c>
      <c r="F1129" s="3">
        <v>1742517.0</v>
      </c>
      <c r="G1129" s="4">
        <v>46025.0</v>
      </c>
      <c r="H1129" s="4">
        <v>46120.0</v>
      </c>
      <c r="I1129" s="3" t="s">
        <v>2886</v>
      </c>
      <c r="J1129" s="3" t="s">
        <v>971</v>
      </c>
      <c r="K1129" s="3" t="s">
        <v>2888</v>
      </c>
      <c r="L1129" s="3">
        <v>1.8668</v>
      </c>
      <c r="M1129" s="3">
        <v>46670.0</v>
      </c>
      <c r="N1129" s="3">
        <v>3.0</v>
      </c>
      <c r="O1129" s="3">
        <v>109909.0</v>
      </c>
      <c r="P1129" s="3" t="s">
        <v>2993</v>
      </c>
      <c r="Q1129" s="3">
        <v>1152099.0</v>
      </c>
      <c r="R1129" s="3"/>
      <c r="S1129" s="3">
        <v>37336.0</v>
      </c>
      <c r="T1129" s="3" t="s">
        <v>37</v>
      </c>
      <c r="U1129" s="3">
        <v>37336.0</v>
      </c>
      <c r="V1129" s="5">
        <f>(DATE(2026,2,3)-'RICE_Insured Farms_with PPI Pol'!$G1129)+IF('RICE_Insured Farms_with PPI Pol'!$H1129&lt;&gt;'RICE_Insured Farms_with PPI Pol'!$G1129,18,0)</f>
        <v>49</v>
      </c>
      <c r="W1129" s="3" t="str">
        <f t="array" ref="W1129">IFS(V1129&gt;120, "Harvested", V1129&gt;=113, "Yellow Ripening", V1129&gt;=101, "Dough Stage", V1129&gt;=93, "Milking Stage", V1129&gt;=86, "Flowering", V1129&gt;=56, "Panicle Initiation/Booting", V1129&lt;56, "Vegetative/Tillering")</f>
        <v>Vegetative/Tillering</v>
      </c>
    </row>
    <row r="1130" ht="15.75" hidden="1" customHeight="1">
      <c r="A1130" s="3">
        <v>1129.0</v>
      </c>
      <c r="B1130" s="3" t="s">
        <v>23</v>
      </c>
      <c r="C1130" s="3" t="s">
        <v>68</v>
      </c>
      <c r="D1130" s="3" t="s">
        <v>289</v>
      </c>
      <c r="E1130" s="3" t="s">
        <v>352</v>
      </c>
      <c r="F1130" s="3">
        <v>1760053.0</v>
      </c>
      <c r="G1130" s="4">
        <v>46029.0</v>
      </c>
      <c r="H1130" s="4">
        <v>46131.0</v>
      </c>
      <c r="I1130" s="3" t="s">
        <v>2994</v>
      </c>
      <c r="J1130" s="3" t="s">
        <v>2995</v>
      </c>
      <c r="K1130" s="3" t="s">
        <v>1587</v>
      </c>
      <c r="L1130" s="3">
        <v>0.5116</v>
      </c>
      <c r="M1130" s="3">
        <v>12790.0</v>
      </c>
      <c r="N1130" s="3">
        <v>2.0</v>
      </c>
      <c r="O1130" s="3">
        <v>328489.0</v>
      </c>
      <c r="P1130" s="3"/>
      <c r="Q1130" s="3">
        <v>970742.0</v>
      </c>
      <c r="R1130" s="3"/>
      <c r="S1130" s="3">
        <v>8953.0</v>
      </c>
      <c r="T1130" s="3" t="s">
        <v>31</v>
      </c>
      <c r="U1130" s="3">
        <v>8953.0</v>
      </c>
      <c r="V1130" s="5">
        <f>(DATE(2026,2,3)-'RICE_Insured Farms_with PPI Pol'!$G1130)+IF('RICE_Insured Farms_with PPI Pol'!$H1130&lt;&gt;'RICE_Insured Farms_with PPI Pol'!$G1130,18,0)</f>
        <v>45</v>
      </c>
      <c r="W1130" s="3" t="str">
        <f t="array" ref="W1130">IFS(V1130&gt;120, "Harvested", V1130&gt;=113, "Yellow Ripening", V1130&gt;=101, "Dough Stage", V1130&gt;=93, "Milking Stage", V1130&gt;=86, "Flowering", V1130&gt;=56, "Panicle Initiation/Booting", V1130&lt;56, "Vegetative/Tillering")</f>
        <v>Vegetative/Tillering</v>
      </c>
    </row>
    <row r="1131" ht="15.75" hidden="1" customHeight="1">
      <c r="A1131" s="3">
        <v>1130.0</v>
      </c>
      <c r="B1131" s="3" t="s">
        <v>23</v>
      </c>
      <c r="C1131" s="3" t="s">
        <v>68</v>
      </c>
      <c r="D1131" s="3" t="s">
        <v>289</v>
      </c>
      <c r="E1131" s="3" t="s">
        <v>352</v>
      </c>
      <c r="F1131" s="3">
        <v>1760053.0</v>
      </c>
      <c r="G1131" s="4">
        <v>46031.0</v>
      </c>
      <c r="H1131" s="4">
        <v>46133.0</v>
      </c>
      <c r="I1131" s="3" t="s">
        <v>2994</v>
      </c>
      <c r="J1131" s="3" t="s">
        <v>2996</v>
      </c>
      <c r="K1131" s="3" t="s">
        <v>1587</v>
      </c>
      <c r="L1131" s="3">
        <v>0.3216</v>
      </c>
      <c r="M1131" s="3">
        <v>8040.0</v>
      </c>
      <c r="N1131" s="3">
        <v>2.0</v>
      </c>
      <c r="O1131" s="3">
        <v>328488.0</v>
      </c>
      <c r="P1131" s="3"/>
      <c r="Q1131" s="3">
        <v>1284629.0</v>
      </c>
      <c r="R1131" s="3"/>
      <c r="S1131" s="3">
        <v>5628.0</v>
      </c>
      <c r="T1131" s="3" t="s">
        <v>31</v>
      </c>
      <c r="U1131" s="3">
        <v>5628.0</v>
      </c>
      <c r="V1131" s="5">
        <f>(DATE(2026,2,3)-'RICE_Insured Farms_with PPI Pol'!$G1131)+IF('RICE_Insured Farms_with PPI Pol'!$H1131&lt;&gt;'RICE_Insured Farms_with PPI Pol'!$G1131,18,0)</f>
        <v>43</v>
      </c>
      <c r="W1131" s="3" t="str">
        <f t="array" ref="W1131">IFS(V1131&gt;120, "Harvested", V1131&gt;=113, "Yellow Ripening", V1131&gt;=101, "Dough Stage", V1131&gt;=93, "Milking Stage", V1131&gt;=86, "Flowering", V1131&gt;=56, "Panicle Initiation/Booting", V1131&lt;56, "Vegetative/Tillering")</f>
        <v>Vegetative/Tillering</v>
      </c>
    </row>
    <row r="1132" ht="15.75" hidden="1" customHeight="1">
      <c r="A1132" s="3">
        <v>1131.0</v>
      </c>
      <c r="B1132" s="3" t="s">
        <v>23</v>
      </c>
      <c r="C1132" s="3" t="s">
        <v>68</v>
      </c>
      <c r="D1132" s="3" t="s">
        <v>289</v>
      </c>
      <c r="E1132" s="3" t="s">
        <v>352</v>
      </c>
      <c r="F1132" s="3">
        <v>1760053.0</v>
      </c>
      <c r="G1132" s="4">
        <v>46031.0</v>
      </c>
      <c r="H1132" s="4">
        <v>46133.0</v>
      </c>
      <c r="I1132" s="3" t="s">
        <v>2994</v>
      </c>
      <c r="J1132" s="3" t="s">
        <v>2996</v>
      </c>
      <c r="K1132" s="3" t="s">
        <v>1587</v>
      </c>
      <c r="L1132" s="3">
        <v>0.4912</v>
      </c>
      <c r="M1132" s="3">
        <v>12280.0</v>
      </c>
      <c r="N1132" s="3">
        <v>2.0</v>
      </c>
      <c r="O1132" s="3">
        <v>328488.0</v>
      </c>
      <c r="P1132" s="3"/>
      <c r="Q1132" s="3">
        <v>970740.0</v>
      </c>
      <c r="R1132" s="3"/>
      <c r="S1132" s="3">
        <v>8596.0</v>
      </c>
      <c r="T1132" s="3" t="s">
        <v>31</v>
      </c>
      <c r="U1132" s="3">
        <v>8596.0</v>
      </c>
      <c r="V1132" s="5">
        <f>(DATE(2026,2,3)-'RICE_Insured Farms_with PPI Pol'!$G1132)+IF('RICE_Insured Farms_with PPI Pol'!$H1132&lt;&gt;'RICE_Insured Farms_with PPI Pol'!$G1132,18,0)</f>
        <v>43</v>
      </c>
      <c r="W1132" s="3" t="str">
        <f t="array" ref="W1132">IFS(V1132&gt;120, "Harvested", V1132&gt;=113, "Yellow Ripening", V1132&gt;=101, "Dough Stage", V1132&gt;=93, "Milking Stage", V1132&gt;=86, "Flowering", V1132&gt;=56, "Panicle Initiation/Booting", V1132&lt;56, "Vegetative/Tillering")</f>
        <v>Vegetative/Tillering</v>
      </c>
    </row>
    <row r="1133" ht="15.75" hidden="1" customHeight="1">
      <c r="A1133" s="3">
        <v>1132.0</v>
      </c>
      <c r="B1133" s="3" t="s">
        <v>23</v>
      </c>
      <c r="C1133" s="3" t="s">
        <v>68</v>
      </c>
      <c r="D1133" s="3" t="s">
        <v>69</v>
      </c>
      <c r="E1133" s="3" t="s">
        <v>131</v>
      </c>
      <c r="F1133" s="3">
        <v>1739639.0</v>
      </c>
      <c r="G1133" s="4">
        <v>46027.0</v>
      </c>
      <c r="H1133" s="4">
        <v>46129.0</v>
      </c>
      <c r="I1133" s="3" t="s">
        <v>2997</v>
      </c>
      <c r="J1133" s="3" t="s">
        <v>2998</v>
      </c>
      <c r="K1133" s="3" t="s">
        <v>2999</v>
      </c>
      <c r="L1133" s="3">
        <v>0.9074</v>
      </c>
      <c r="M1133" s="3">
        <v>22685.0</v>
      </c>
      <c r="N1133" s="3">
        <v>2.0</v>
      </c>
      <c r="O1133" s="3">
        <v>135682.0</v>
      </c>
      <c r="P1133" s="3"/>
      <c r="Q1133" s="3">
        <v>1138037.0</v>
      </c>
      <c r="R1133" s="3"/>
      <c r="S1133" s="3">
        <v>15879.5</v>
      </c>
      <c r="T1133" s="3" t="s">
        <v>31</v>
      </c>
      <c r="U1133" s="3">
        <v>15879.5</v>
      </c>
      <c r="V1133" s="5">
        <f>(DATE(2026,2,3)-'RICE_Insured Farms_with PPI Pol'!$G1133)+IF('RICE_Insured Farms_with PPI Pol'!$H1133&lt;&gt;'RICE_Insured Farms_with PPI Pol'!$G1133,18,0)</f>
        <v>47</v>
      </c>
      <c r="W1133" s="3" t="str">
        <f t="array" ref="W1133">IFS(V1133&gt;120, "Harvested", V1133&gt;=113, "Yellow Ripening", V1133&gt;=101, "Dough Stage", V1133&gt;=93, "Milking Stage", V1133&gt;=86, "Flowering", V1133&gt;=56, "Panicle Initiation/Booting", V1133&lt;56, "Vegetative/Tillering")</f>
        <v>Vegetative/Tillering</v>
      </c>
    </row>
    <row r="1134" ht="15.75" hidden="1" customHeight="1">
      <c r="A1134" s="3">
        <v>1133.0</v>
      </c>
      <c r="B1134" s="3" t="s">
        <v>23</v>
      </c>
      <c r="C1134" s="3" t="s">
        <v>121</v>
      </c>
      <c r="D1134" s="3" t="s">
        <v>399</v>
      </c>
      <c r="E1134" s="3" t="s">
        <v>400</v>
      </c>
      <c r="F1134" s="3">
        <v>1760153.0</v>
      </c>
      <c r="G1134" s="4">
        <v>46032.0</v>
      </c>
      <c r="H1134" s="4">
        <v>46152.0</v>
      </c>
      <c r="I1134" s="3" t="s">
        <v>3000</v>
      </c>
      <c r="J1134" s="3" t="s">
        <v>3001</v>
      </c>
      <c r="K1134" s="3" t="s">
        <v>3002</v>
      </c>
      <c r="L1134" s="3">
        <v>1.75</v>
      </c>
      <c r="M1134" s="3">
        <v>43750.0</v>
      </c>
      <c r="N1134" s="3">
        <v>1.0</v>
      </c>
      <c r="O1134" s="3">
        <v>440247.0</v>
      </c>
      <c r="P1134" s="3"/>
      <c r="Q1134" s="3">
        <v>1195023.0</v>
      </c>
      <c r="R1134" s="3"/>
      <c r="S1134" s="3">
        <v>26250.0</v>
      </c>
      <c r="T1134" s="3" t="s">
        <v>62</v>
      </c>
      <c r="U1134" s="3">
        <v>26250.0</v>
      </c>
      <c r="V1134" s="5">
        <f>(DATE(2026,2,3)-'RICE_Insured Farms_with PPI Pol'!$G1134)+IF('RICE_Insured Farms_with PPI Pol'!$H1134&lt;&gt;'RICE_Insured Farms_with PPI Pol'!$G1134,18,0)</f>
        <v>42</v>
      </c>
      <c r="W1134" s="3" t="str">
        <f t="array" ref="W1134">IFS(V1134&gt;120, "Harvested", V1134&gt;=113, "Yellow Ripening", V1134&gt;=101, "Dough Stage", V1134&gt;=93, "Milking Stage", V1134&gt;=86, "Flowering", V1134&gt;=56, "Panicle Initiation/Booting", V1134&lt;56, "Vegetative/Tillering")</f>
        <v>Vegetative/Tillering</v>
      </c>
    </row>
    <row r="1135" ht="15.75" hidden="1" customHeight="1">
      <c r="A1135" s="3">
        <v>1134.0</v>
      </c>
      <c r="B1135" s="3" t="s">
        <v>23</v>
      </c>
      <c r="C1135" s="3" t="s">
        <v>121</v>
      </c>
      <c r="D1135" s="3" t="s">
        <v>1368</v>
      </c>
      <c r="E1135" s="3" t="s">
        <v>1771</v>
      </c>
      <c r="F1135" s="3">
        <v>1742651.0</v>
      </c>
      <c r="G1135" s="4">
        <v>46029.0</v>
      </c>
      <c r="H1135" s="4">
        <v>46149.0</v>
      </c>
      <c r="I1135" s="3" t="s">
        <v>3003</v>
      </c>
      <c r="J1135" s="3" t="s">
        <v>1227</v>
      </c>
      <c r="K1135" s="3" t="s">
        <v>968</v>
      </c>
      <c r="L1135" s="3">
        <v>2.0</v>
      </c>
      <c r="M1135" s="3">
        <v>50000.0</v>
      </c>
      <c r="N1135" s="3">
        <v>1.0</v>
      </c>
      <c r="O1135" s="3">
        <v>176010.0</v>
      </c>
      <c r="P1135" s="3" t="s">
        <v>3004</v>
      </c>
      <c r="Q1135" s="3">
        <v>1279071.0</v>
      </c>
      <c r="R1135" s="3"/>
      <c r="S1135" s="3">
        <v>30000.0</v>
      </c>
      <c r="T1135" s="3" t="s">
        <v>62</v>
      </c>
      <c r="U1135" s="3">
        <v>30000.0</v>
      </c>
      <c r="V1135" s="5">
        <f>(DATE(2026,2,3)-'RICE_Insured Farms_with PPI Pol'!$G1135)+IF('RICE_Insured Farms_with PPI Pol'!$H1135&lt;&gt;'RICE_Insured Farms_with PPI Pol'!$G1135,18,0)</f>
        <v>45</v>
      </c>
      <c r="W1135" s="3" t="str">
        <f t="array" ref="W1135">IFS(V1135&gt;120, "Harvested", V1135&gt;=113, "Yellow Ripening", V1135&gt;=101, "Dough Stage", V1135&gt;=93, "Milking Stage", V1135&gt;=86, "Flowering", V1135&gt;=56, "Panicle Initiation/Booting", V1135&lt;56, "Vegetative/Tillering")</f>
        <v>Vegetative/Tillering</v>
      </c>
    </row>
    <row r="1136" ht="15.75" hidden="1" customHeight="1">
      <c r="A1136" s="3">
        <v>1135.0</v>
      </c>
      <c r="B1136" s="3" t="s">
        <v>23</v>
      </c>
      <c r="C1136" s="3" t="s">
        <v>68</v>
      </c>
      <c r="D1136" s="3" t="s">
        <v>289</v>
      </c>
      <c r="E1136" s="3" t="s">
        <v>685</v>
      </c>
      <c r="F1136" s="3">
        <v>1760005.0</v>
      </c>
      <c r="G1136" s="4">
        <v>46029.0</v>
      </c>
      <c r="H1136" s="4">
        <v>46131.0</v>
      </c>
      <c r="I1136" s="3" t="s">
        <v>1218</v>
      </c>
      <c r="J1136" s="3" t="s">
        <v>3005</v>
      </c>
      <c r="K1136" s="3" t="s">
        <v>834</v>
      </c>
      <c r="L1136" s="3">
        <v>0.855</v>
      </c>
      <c r="M1136" s="3">
        <v>21375.0</v>
      </c>
      <c r="N1136" s="3">
        <v>2.0</v>
      </c>
      <c r="O1136" s="3">
        <v>119485.0</v>
      </c>
      <c r="P1136" s="3"/>
      <c r="Q1136" s="3">
        <v>1057743.0</v>
      </c>
      <c r="R1136" s="3"/>
      <c r="S1136" s="3">
        <v>14962.5</v>
      </c>
      <c r="T1136" s="3" t="s">
        <v>31</v>
      </c>
      <c r="U1136" s="3">
        <v>14962.5</v>
      </c>
      <c r="V1136" s="5">
        <f>(DATE(2026,2,3)-'RICE_Insured Farms_with PPI Pol'!$G1136)+IF('RICE_Insured Farms_with PPI Pol'!$H1136&lt;&gt;'RICE_Insured Farms_with PPI Pol'!$G1136,18,0)</f>
        <v>45</v>
      </c>
      <c r="W1136" s="3" t="str">
        <f t="array" ref="W1136">IFS(V1136&gt;120, "Harvested", V1136&gt;=113, "Yellow Ripening", V1136&gt;=101, "Dough Stage", V1136&gt;=93, "Milking Stage", V1136&gt;=86, "Flowering", V1136&gt;=56, "Panicle Initiation/Booting", V1136&lt;56, "Vegetative/Tillering")</f>
        <v>Vegetative/Tillering</v>
      </c>
    </row>
    <row r="1137" ht="15.75" hidden="1" customHeight="1">
      <c r="A1137" s="3">
        <v>1136.0</v>
      </c>
      <c r="B1137" s="3" t="s">
        <v>23</v>
      </c>
      <c r="C1137" s="3" t="s">
        <v>68</v>
      </c>
      <c r="D1137" s="3" t="s">
        <v>289</v>
      </c>
      <c r="E1137" s="3" t="s">
        <v>685</v>
      </c>
      <c r="F1137" s="3">
        <v>1760005.0</v>
      </c>
      <c r="G1137" s="4">
        <v>46025.0</v>
      </c>
      <c r="H1137" s="4">
        <v>46127.0</v>
      </c>
      <c r="I1137" s="3" t="s">
        <v>1218</v>
      </c>
      <c r="J1137" s="3" t="s">
        <v>3006</v>
      </c>
      <c r="K1137" s="3" t="s">
        <v>3007</v>
      </c>
      <c r="L1137" s="3">
        <v>1.33</v>
      </c>
      <c r="M1137" s="3">
        <v>33250.0</v>
      </c>
      <c r="N1137" s="3">
        <v>2.0</v>
      </c>
      <c r="O1137" s="3">
        <v>321418.0</v>
      </c>
      <c r="P1137" s="3" t="s">
        <v>3008</v>
      </c>
      <c r="Q1137" s="3">
        <v>1282979.0</v>
      </c>
      <c r="R1137" s="3"/>
      <c r="S1137" s="3">
        <v>23275.0</v>
      </c>
      <c r="T1137" s="3" t="s">
        <v>31</v>
      </c>
      <c r="U1137" s="3">
        <v>23275.0</v>
      </c>
      <c r="V1137" s="5">
        <f>(DATE(2026,2,3)-'RICE_Insured Farms_with PPI Pol'!$G1137)+IF('RICE_Insured Farms_with PPI Pol'!$H1137&lt;&gt;'RICE_Insured Farms_with PPI Pol'!$G1137,18,0)</f>
        <v>49</v>
      </c>
      <c r="W1137" s="3" t="str">
        <f t="array" ref="W1137">IFS(V1137&gt;120, "Harvested", V1137&gt;=113, "Yellow Ripening", V1137&gt;=101, "Dough Stage", V1137&gt;=93, "Milking Stage", V1137&gt;=86, "Flowering", V1137&gt;=56, "Panicle Initiation/Booting", V1137&lt;56, "Vegetative/Tillering")</f>
        <v>Vegetative/Tillering</v>
      </c>
    </row>
    <row r="1138" ht="15.75" hidden="1" customHeight="1">
      <c r="A1138" s="3">
        <v>1137.0</v>
      </c>
      <c r="B1138" s="3" t="s">
        <v>23</v>
      </c>
      <c r="C1138" s="3" t="s">
        <v>68</v>
      </c>
      <c r="D1138" s="3" t="s">
        <v>420</v>
      </c>
      <c r="E1138" s="3" t="s">
        <v>421</v>
      </c>
      <c r="F1138" s="3">
        <v>1196998.0</v>
      </c>
      <c r="G1138" s="4">
        <v>46058.0</v>
      </c>
      <c r="H1138" s="4">
        <v>46160.0</v>
      </c>
      <c r="I1138" s="3" t="s">
        <v>1220</v>
      </c>
      <c r="J1138" s="3" t="s">
        <v>527</v>
      </c>
      <c r="K1138" s="3" t="s">
        <v>1525</v>
      </c>
      <c r="L1138" s="3">
        <v>0.2337</v>
      </c>
      <c r="M1138" s="3">
        <v>5842.5</v>
      </c>
      <c r="N1138" s="3">
        <v>1.0</v>
      </c>
      <c r="O1138" s="3">
        <v>458124.0</v>
      </c>
      <c r="P1138" s="3" t="s">
        <v>3009</v>
      </c>
      <c r="Q1138" s="3">
        <v>1287699.0</v>
      </c>
      <c r="R1138" s="3"/>
      <c r="S1138" s="3">
        <v>3505.5</v>
      </c>
      <c r="T1138" s="3" t="s">
        <v>62</v>
      </c>
      <c r="U1138" s="3">
        <v>3505.5</v>
      </c>
      <c r="V1138" s="5">
        <f>(DATE(2026,2,3)-'RICE_Insured Farms_with PPI Pol'!$G1138)+IF('RICE_Insured Farms_with PPI Pol'!$H1138&lt;&gt;'RICE_Insured Farms_with PPI Pol'!$G1138,18,0)</f>
        <v>16</v>
      </c>
      <c r="W1138" s="3" t="str">
        <f t="array" ref="W1138">IFS(V1138&gt;120, "Harvested", V1138&gt;=113, "Yellow Ripening", V1138&gt;=101, "Dough Stage", V1138&gt;=93, "Milking Stage", V1138&gt;=86, "Flowering", V1138&gt;=56, "Panicle Initiation/Booting", V1138&lt;56, "Vegetative/Tillering")</f>
        <v>Vegetative/Tillering</v>
      </c>
    </row>
    <row r="1139" ht="15.75" hidden="1" customHeight="1">
      <c r="A1139" s="3">
        <v>1396.0</v>
      </c>
      <c r="B1139" s="3" t="s">
        <v>23</v>
      </c>
      <c r="C1139" s="3" t="s">
        <v>24</v>
      </c>
      <c r="D1139" s="3" t="s">
        <v>25</v>
      </c>
      <c r="E1139" s="3" t="s">
        <v>637</v>
      </c>
      <c r="F1139" s="3">
        <v>1760467.0</v>
      </c>
      <c r="G1139" s="4">
        <v>46004.0</v>
      </c>
      <c r="H1139" s="4">
        <v>46100.0</v>
      </c>
      <c r="I1139" s="3" t="s">
        <v>1216</v>
      </c>
      <c r="J1139" s="3" t="s">
        <v>3010</v>
      </c>
      <c r="K1139" s="3" t="s">
        <v>3011</v>
      </c>
      <c r="L1139" s="3">
        <v>1.4685</v>
      </c>
      <c r="M1139" s="3">
        <v>36712.5</v>
      </c>
      <c r="N1139" s="3">
        <v>5.0</v>
      </c>
      <c r="O1139" s="3">
        <v>389570.0</v>
      </c>
      <c r="P1139" s="3" t="s">
        <v>3012</v>
      </c>
      <c r="Q1139" s="3">
        <v>1132749.0</v>
      </c>
      <c r="R1139" s="3"/>
      <c r="S1139" s="3">
        <v>33041.25</v>
      </c>
      <c r="T1139" s="3" t="s">
        <v>1002</v>
      </c>
      <c r="U1139" s="3">
        <v>33041.25</v>
      </c>
      <c r="V1139" s="5">
        <f>(DATE(2026,2,3)-'RICE_Insured Farms_with PPI Pol'!$G1139)+IF('RICE_Insured Farms_with PPI Pol'!$H1139&lt;&gt;'RICE_Insured Farms_with PPI Pol'!$G1139,18,0)</f>
        <v>70</v>
      </c>
      <c r="W1139" s="3" t="str">
        <f t="array" ref="W1139">IFS(V1139&gt;120, "Harvested", V1139&gt;=113, "Yellow Ripening", V1139&gt;=101, "Dough Stage", V1139&gt;=93, "Milking Stage", V1139&gt;=86, "Flowering", V1139&gt;=56, "Panicle Initiation/Booting", V1139&lt;56, "Vegetative/Tillering")</f>
        <v>Panicle Initiation/Booting</v>
      </c>
    </row>
    <row r="1140" ht="15.75" hidden="1" customHeight="1">
      <c r="A1140" s="3">
        <v>1398.0</v>
      </c>
      <c r="B1140" s="3" t="s">
        <v>23</v>
      </c>
      <c r="C1140" s="3" t="s">
        <v>24</v>
      </c>
      <c r="D1140" s="3" t="s">
        <v>25</v>
      </c>
      <c r="E1140" s="3" t="s">
        <v>1374</v>
      </c>
      <c r="F1140" s="3">
        <v>1760468.0</v>
      </c>
      <c r="G1140" s="4">
        <v>46020.0</v>
      </c>
      <c r="H1140" s="4">
        <v>46111.0</v>
      </c>
      <c r="I1140" s="3" t="s">
        <v>3013</v>
      </c>
      <c r="J1140" s="3" t="s">
        <v>3014</v>
      </c>
      <c r="K1140" s="3" t="s">
        <v>3015</v>
      </c>
      <c r="L1140" s="3">
        <v>0.2634</v>
      </c>
      <c r="M1140" s="3">
        <v>6585.0</v>
      </c>
      <c r="N1140" s="3">
        <v>4.0</v>
      </c>
      <c r="O1140" s="3">
        <v>431205.0</v>
      </c>
      <c r="P1140" s="3" t="s">
        <v>3016</v>
      </c>
      <c r="Q1140" s="3">
        <v>1133114.0</v>
      </c>
      <c r="R1140" s="3"/>
      <c r="S1140" s="3">
        <v>5268.0</v>
      </c>
      <c r="T1140" s="3" t="s">
        <v>56</v>
      </c>
      <c r="U1140" s="3">
        <v>5268.0</v>
      </c>
      <c r="V1140" s="5">
        <f>(DATE(2026,2,3)-'RICE_Insured Farms_with PPI Pol'!$G1140)+IF('RICE_Insured Farms_with PPI Pol'!$H1140&lt;&gt;'RICE_Insured Farms_with PPI Pol'!$G1140,18,0)</f>
        <v>54</v>
      </c>
      <c r="W1140" s="3" t="str">
        <f t="array" ref="W1140">IFS(V1140&gt;120, "Harvested", V1140&gt;=113, "Yellow Ripening", V1140&gt;=101, "Dough Stage", V1140&gt;=93, "Milking Stage", V1140&gt;=86, "Flowering", V1140&gt;=56, "Panicle Initiation/Booting", V1140&lt;56, "Vegetative/Tillering")</f>
        <v>Vegetative/Tillering</v>
      </c>
    </row>
    <row r="1141" ht="15.75" hidden="1" customHeight="1">
      <c r="A1141" s="3">
        <v>1140.0</v>
      </c>
      <c r="B1141" s="3" t="s">
        <v>23</v>
      </c>
      <c r="C1141" s="3" t="s">
        <v>68</v>
      </c>
      <c r="D1141" s="3" t="s">
        <v>289</v>
      </c>
      <c r="E1141" s="3" t="s">
        <v>743</v>
      </c>
      <c r="F1141" s="3">
        <v>1760031.0</v>
      </c>
      <c r="G1141" s="4">
        <v>46025.0</v>
      </c>
      <c r="H1141" s="4">
        <v>46127.0</v>
      </c>
      <c r="I1141" s="3" t="s">
        <v>3017</v>
      </c>
      <c r="J1141" s="3" t="s">
        <v>3018</v>
      </c>
      <c r="K1141" s="3" t="s">
        <v>526</v>
      </c>
      <c r="L1141" s="3">
        <v>0.4968</v>
      </c>
      <c r="M1141" s="3">
        <v>12420.0</v>
      </c>
      <c r="N1141" s="3">
        <v>2.0</v>
      </c>
      <c r="O1141" s="3">
        <v>298581.0</v>
      </c>
      <c r="P1141" s="3"/>
      <c r="Q1141" s="3">
        <v>1136732.0</v>
      </c>
      <c r="R1141" s="3"/>
      <c r="S1141" s="3">
        <v>8694.0</v>
      </c>
      <c r="T1141" s="3" t="s">
        <v>31</v>
      </c>
      <c r="U1141" s="3">
        <v>8694.0</v>
      </c>
      <c r="V1141" s="5">
        <f>(DATE(2026,2,3)-'RICE_Insured Farms_with PPI Pol'!$G1141)+IF('RICE_Insured Farms_with PPI Pol'!$H1141&lt;&gt;'RICE_Insured Farms_with PPI Pol'!$G1141,18,0)</f>
        <v>49</v>
      </c>
      <c r="W1141" s="3" t="str">
        <f t="array" ref="W1141">IFS(V1141&gt;120, "Harvested", V1141&gt;=113, "Yellow Ripening", V1141&gt;=101, "Dough Stage", V1141&gt;=93, "Milking Stage", V1141&gt;=86, "Flowering", V1141&gt;=56, "Panicle Initiation/Booting", V1141&lt;56, "Vegetative/Tillering")</f>
        <v>Vegetative/Tillering</v>
      </c>
    </row>
    <row r="1142" ht="15.75" customHeight="1">
      <c r="A1142" s="3">
        <v>1141.0</v>
      </c>
      <c r="B1142" s="3" t="s">
        <v>23</v>
      </c>
      <c r="C1142" s="3" t="s">
        <v>121</v>
      </c>
      <c r="D1142" s="3" t="s">
        <v>122</v>
      </c>
      <c r="E1142" s="3" t="s">
        <v>123</v>
      </c>
      <c r="F1142" s="3">
        <v>1760507.0</v>
      </c>
      <c r="G1142" s="4">
        <v>46025.0</v>
      </c>
      <c r="H1142" s="4">
        <v>46120.0</v>
      </c>
      <c r="I1142" s="3" t="s">
        <v>3019</v>
      </c>
      <c r="J1142" s="3" t="s">
        <v>3020</v>
      </c>
      <c r="K1142" s="3" t="s">
        <v>2469</v>
      </c>
      <c r="L1142" s="3">
        <v>0.5451</v>
      </c>
      <c r="M1142" s="3">
        <v>13627.5</v>
      </c>
      <c r="N1142" s="3">
        <v>3.0</v>
      </c>
      <c r="O1142" s="3">
        <v>297275.0</v>
      </c>
      <c r="P1142" s="3"/>
      <c r="Q1142" s="3">
        <v>1042402.0</v>
      </c>
      <c r="R1142" s="3"/>
      <c r="S1142" s="3">
        <v>10902.0</v>
      </c>
      <c r="T1142" s="3" t="s">
        <v>37</v>
      </c>
      <c r="U1142" s="3">
        <v>10902.0</v>
      </c>
      <c r="V1142" s="5">
        <f>(DATE(2026,2,3)-'RICE_Insured Farms_with PPI Pol'!$G1142)+IF('RICE_Insured Farms_with PPI Pol'!$H1142&lt;&gt;'RICE_Insured Farms_with PPI Pol'!$G1142,18,0)</f>
        <v>49</v>
      </c>
      <c r="W1142" s="3" t="str">
        <f t="array" ref="W1142">IFS(V1142&gt;120, "Harvested", V1142&gt;=113, "Yellow Ripening", V1142&gt;=101, "Dough Stage", V1142&gt;=93, "Milking Stage", V1142&gt;=86, "Flowering", V1142&gt;=56, "Panicle Initiation/Booting", V1142&lt;56, "Vegetative/Tillering")</f>
        <v>Vegetative/Tillering</v>
      </c>
    </row>
    <row r="1143" ht="15.75" hidden="1" customHeight="1">
      <c r="A1143" s="3">
        <v>1142.0</v>
      </c>
      <c r="B1143" s="3" t="s">
        <v>23</v>
      </c>
      <c r="C1143" s="3" t="s">
        <v>121</v>
      </c>
      <c r="D1143" s="3" t="s">
        <v>399</v>
      </c>
      <c r="E1143" s="3" t="s">
        <v>400</v>
      </c>
      <c r="F1143" s="3">
        <v>1760153.0</v>
      </c>
      <c r="G1143" s="4">
        <v>46030.0</v>
      </c>
      <c r="H1143" s="4">
        <v>46150.0</v>
      </c>
      <c r="I1143" s="3" t="s">
        <v>2639</v>
      </c>
      <c r="J1143" s="3" t="s">
        <v>3021</v>
      </c>
      <c r="K1143" s="3" t="s">
        <v>1578</v>
      </c>
      <c r="L1143" s="3">
        <v>0.7378</v>
      </c>
      <c r="M1143" s="3">
        <v>18445.0</v>
      </c>
      <c r="N1143" s="3">
        <v>1.0</v>
      </c>
      <c r="O1143" s="3">
        <v>193128.0</v>
      </c>
      <c r="P1143" s="3" t="s">
        <v>3022</v>
      </c>
      <c r="Q1143" s="3">
        <v>1195242.0</v>
      </c>
      <c r="R1143" s="3"/>
      <c r="S1143" s="3">
        <v>11067.0</v>
      </c>
      <c r="T1143" s="3" t="s">
        <v>62</v>
      </c>
      <c r="U1143" s="3">
        <v>11067.0</v>
      </c>
      <c r="V1143" s="5">
        <f>(DATE(2026,2,3)-'RICE_Insured Farms_with PPI Pol'!$G1143)+IF('RICE_Insured Farms_with PPI Pol'!$H1143&lt;&gt;'RICE_Insured Farms_with PPI Pol'!$G1143,18,0)</f>
        <v>44</v>
      </c>
      <c r="W1143" s="3" t="str">
        <f t="array" ref="W1143">IFS(V1143&gt;120, "Harvested", V1143&gt;=113, "Yellow Ripening", V1143&gt;=101, "Dough Stage", V1143&gt;=93, "Milking Stage", V1143&gt;=86, "Flowering", V1143&gt;=56, "Panicle Initiation/Booting", V1143&lt;56, "Vegetative/Tillering")</f>
        <v>Vegetative/Tillering</v>
      </c>
    </row>
    <row r="1144" ht="15.75" hidden="1" customHeight="1">
      <c r="A1144" s="3">
        <v>1143.0</v>
      </c>
      <c r="B1144" s="3" t="s">
        <v>23</v>
      </c>
      <c r="C1144" s="3" t="s">
        <v>1453</v>
      </c>
      <c r="D1144" s="3" t="s">
        <v>1454</v>
      </c>
      <c r="E1144" s="3" t="s">
        <v>1246</v>
      </c>
      <c r="F1144" s="3">
        <v>1742047.0</v>
      </c>
      <c r="G1144" s="4">
        <v>46032.0</v>
      </c>
      <c r="H1144" s="4">
        <v>46127.0</v>
      </c>
      <c r="I1144" s="3" t="s">
        <v>3023</v>
      </c>
      <c r="J1144" s="3" t="s">
        <v>3024</v>
      </c>
      <c r="K1144" s="3" t="s">
        <v>2198</v>
      </c>
      <c r="L1144" s="3">
        <v>0.3348</v>
      </c>
      <c r="M1144" s="3">
        <v>8370.0</v>
      </c>
      <c r="N1144" s="3">
        <v>2.0</v>
      </c>
      <c r="O1144" s="3">
        <v>437386.0</v>
      </c>
      <c r="P1144" s="3" t="s">
        <v>3025</v>
      </c>
      <c r="Q1144" s="3">
        <v>1189234.0</v>
      </c>
      <c r="R1144" s="3"/>
      <c r="S1144" s="3">
        <v>5859.0</v>
      </c>
      <c r="T1144" s="3" t="s">
        <v>31</v>
      </c>
      <c r="U1144" s="3">
        <v>5859.0</v>
      </c>
      <c r="V1144" s="5">
        <f>(DATE(2026,2,3)-'RICE_Insured Farms_with PPI Pol'!$G1144)+IF('RICE_Insured Farms_with PPI Pol'!$H1144&lt;&gt;'RICE_Insured Farms_with PPI Pol'!$G1144,18,0)</f>
        <v>42</v>
      </c>
      <c r="W1144" s="3" t="str">
        <f t="array" ref="W1144">IFS(V1144&gt;120, "Harvested", V1144&gt;=113, "Yellow Ripening", V1144&gt;=101, "Dough Stage", V1144&gt;=93, "Milking Stage", V1144&gt;=86, "Flowering", V1144&gt;=56, "Panicle Initiation/Booting", V1144&lt;56, "Vegetative/Tillering")</f>
        <v>Vegetative/Tillering</v>
      </c>
    </row>
    <row r="1145" ht="15.75" hidden="1" customHeight="1">
      <c r="A1145" s="3">
        <v>1144.0</v>
      </c>
      <c r="B1145" s="3" t="s">
        <v>23</v>
      </c>
      <c r="C1145" s="3" t="s">
        <v>1453</v>
      </c>
      <c r="D1145" s="3" t="s">
        <v>1454</v>
      </c>
      <c r="E1145" s="3" t="s">
        <v>1246</v>
      </c>
      <c r="F1145" s="3">
        <v>1742043.0</v>
      </c>
      <c r="G1145" s="4">
        <v>46032.0</v>
      </c>
      <c r="H1145" s="4">
        <v>46134.0</v>
      </c>
      <c r="I1145" s="3" t="s">
        <v>3023</v>
      </c>
      <c r="J1145" s="3" t="s">
        <v>3026</v>
      </c>
      <c r="K1145" s="3" t="s">
        <v>2198</v>
      </c>
      <c r="L1145" s="3">
        <v>0.7009</v>
      </c>
      <c r="M1145" s="3">
        <v>17522.5</v>
      </c>
      <c r="N1145" s="3">
        <v>2.0</v>
      </c>
      <c r="O1145" s="3">
        <v>83439.0</v>
      </c>
      <c r="P1145" s="3" t="s">
        <v>3027</v>
      </c>
      <c r="Q1145" s="3">
        <v>606623.0</v>
      </c>
      <c r="R1145" s="3"/>
      <c r="S1145" s="3">
        <v>12265.75</v>
      </c>
      <c r="T1145" s="3" t="s">
        <v>31</v>
      </c>
      <c r="U1145" s="3">
        <v>12265.75</v>
      </c>
      <c r="V1145" s="5">
        <f>(DATE(2026,2,3)-'RICE_Insured Farms_with PPI Pol'!$G1145)+IF('RICE_Insured Farms_with PPI Pol'!$H1145&lt;&gt;'RICE_Insured Farms_with PPI Pol'!$G1145,18,0)</f>
        <v>42</v>
      </c>
      <c r="W1145" s="3" t="str">
        <f t="array" ref="W1145">IFS(V1145&gt;120, "Harvested", V1145&gt;=113, "Yellow Ripening", V1145&gt;=101, "Dough Stage", V1145&gt;=93, "Milking Stage", V1145&gt;=86, "Flowering", V1145&gt;=56, "Panicle Initiation/Booting", V1145&lt;56, "Vegetative/Tillering")</f>
        <v>Vegetative/Tillering</v>
      </c>
    </row>
    <row r="1146" ht="15.75" hidden="1" customHeight="1">
      <c r="A1146" s="3">
        <v>1430.0</v>
      </c>
      <c r="B1146" s="3" t="s">
        <v>23</v>
      </c>
      <c r="C1146" s="3" t="s">
        <v>24</v>
      </c>
      <c r="D1146" s="3" t="s">
        <v>25</v>
      </c>
      <c r="E1146" s="3" t="s">
        <v>637</v>
      </c>
      <c r="F1146" s="3">
        <v>1760465.0</v>
      </c>
      <c r="G1146" s="4">
        <v>46012.0</v>
      </c>
      <c r="H1146" s="4">
        <v>46107.0</v>
      </c>
      <c r="I1146" s="3" t="s">
        <v>3028</v>
      </c>
      <c r="J1146" s="3" t="s">
        <v>3029</v>
      </c>
      <c r="K1146" s="3" t="s">
        <v>1443</v>
      </c>
      <c r="L1146" s="3">
        <v>0.4598</v>
      </c>
      <c r="M1146" s="3">
        <v>11495.0</v>
      </c>
      <c r="N1146" s="3">
        <v>4.0</v>
      </c>
      <c r="O1146" s="3">
        <v>140471.0</v>
      </c>
      <c r="P1146" s="3"/>
      <c r="Q1146" s="3">
        <v>1318795.0</v>
      </c>
      <c r="R1146" s="3"/>
      <c r="S1146" s="3">
        <v>9196.0</v>
      </c>
      <c r="T1146" s="3" t="s">
        <v>56</v>
      </c>
      <c r="U1146" s="3">
        <v>9196.0</v>
      </c>
      <c r="V1146" s="5">
        <f>(DATE(2026,2,3)-'RICE_Insured Farms_with PPI Pol'!$G1146)+IF('RICE_Insured Farms_with PPI Pol'!$H1146&lt;&gt;'RICE_Insured Farms_with PPI Pol'!$G1146,18,0)</f>
        <v>62</v>
      </c>
      <c r="W1146" s="3" t="str">
        <f t="array" ref="W1146">IFS(V1146&gt;120, "Harvested", V1146&gt;=113, "Yellow Ripening", V1146&gt;=101, "Dough Stage", V1146&gt;=93, "Milking Stage", V1146&gt;=86, "Flowering", V1146&gt;=56, "Panicle Initiation/Booting", V1146&lt;56, "Vegetative/Tillering")</f>
        <v>Panicle Initiation/Booting</v>
      </c>
    </row>
    <row r="1147" ht="15.75" hidden="1" customHeight="1">
      <c r="A1147" s="3">
        <v>1146.0</v>
      </c>
      <c r="B1147" s="3" t="s">
        <v>23</v>
      </c>
      <c r="C1147" s="3" t="s">
        <v>68</v>
      </c>
      <c r="D1147" s="3" t="s">
        <v>289</v>
      </c>
      <c r="E1147" s="3" t="s">
        <v>290</v>
      </c>
      <c r="F1147" s="3">
        <v>1760042.0</v>
      </c>
      <c r="G1147" s="4">
        <v>46033.0</v>
      </c>
      <c r="H1147" s="4">
        <v>46135.0</v>
      </c>
      <c r="I1147" s="3" t="s">
        <v>3030</v>
      </c>
      <c r="J1147" s="3" t="s">
        <v>3031</v>
      </c>
      <c r="K1147" s="3" t="s">
        <v>3032</v>
      </c>
      <c r="L1147" s="3">
        <v>1.1791</v>
      </c>
      <c r="M1147" s="3">
        <v>29477.5</v>
      </c>
      <c r="N1147" s="3">
        <v>2.0</v>
      </c>
      <c r="O1147" s="3">
        <v>192749.0</v>
      </c>
      <c r="P1147" s="3" t="s">
        <v>3033</v>
      </c>
      <c r="Q1147" s="3">
        <v>1143619.0</v>
      </c>
      <c r="R1147" s="3"/>
      <c r="S1147" s="3">
        <v>20634.25</v>
      </c>
      <c r="T1147" s="3" t="s">
        <v>31</v>
      </c>
      <c r="U1147" s="3">
        <v>20634.25</v>
      </c>
      <c r="V1147" s="5">
        <f>(DATE(2026,2,3)-'RICE_Insured Farms_with PPI Pol'!$G1147)+IF('RICE_Insured Farms_with PPI Pol'!$H1147&lt;&gt;'RICE_Insured Farms_with PPI Pol'!$G1147,18,0)</f>
        <v>41</v>
      </c>
      <c r="W1147" s="3" t="str">
        <f t="array" ref="W1147">IFS(V1147&gt;120, "Harvested", V1147&gt;=113, "Yellow Ripening", V1147&gt;=101, "Dough Stage", V1147&gt;=93, "Milking Stage", V1147&gt;=86, "Flowering", V1147&gt;=56, "Panicle Initiation/Booting", V1147&lt;56, "Vegetative/Tillering")</f>
        <v>Vegetative/Tillering</v>
      </c>
    </row>
    <row r="1148" ht="15.75" customHeight="1">
      <c r="A1148" s="3">
        <v>1147.0</v>
      </c>
      <c r="B1148" s="3" t="s">
        <v>23</v>
      </c>
      <c r="C1148" s="3" t="s">
        <v>68</v>
      </c>
      <c r="D1148" s="3" t="s">
        <v>289</v>
      </c>
      <c r="E1148" s="3" t="s">
        <v>431</v>
      </c>
      <c r="F1148" s="3">
        <v>1760038.0</v>
      </c>
      <c r="G1148" s="4">
        <v>46024.0</v>
      </c>
      <c r="H1148" s="4">
        <v>46126.0</v>
      </c>
      <c r="I1148" s="3" t="s">
        <v>3034</v>
      </c>
      <c r="J1148" s="3" t="s">
        <v>3035</v>
      </c>
      <c r="K1148" s="3" t="s">
        <v>1599</v>
      </c>
      <c r="L1148" s="3">
        <v>0.3352</v>
      </c>
      <c r="M1148" s="3">
        <v>8380.0</v>
      </c>
      <c r="N1148" s="3">
        <v>3.0</v>
      </c>
      <c r="O1148" s="3">
        <v>199468.0</v>
      </c>
      <c r="P1148" s="3"/>
      <c r="Q1148" s="3">
        <v>1186841.0</v>
      </c>
      <c r="R1148" s="3"/>
      <c r="S1148" s="3">
        <v>6704.0</v>
      </c>
      <c r="T1148" s="3" t="s">
        <v>37</v>
      </c>
      <c r="U1148" s="3">
        <v>6704.0</v>
      </c>
      <c r="V1148" s="5">
        <f>(DATE(2026,2,3)-'RICE_Insured Farms_with PPI Pol'!$G1148)+IF('RICE_Insured Farms_with PPI Pol'!$H1148&lt;&gt;'RICE_Insured Farms_with PPI Pol'!$G1148,18,0)</f>
        <v>50</v>
      </c>
      <c r="W1148" s="3" t="str">
        <f t="array" ref="W1148">IFS(V1148&gt;120, "Harvested", V1148&gt;=113, "Yellow Ripening", V1148&gt;=101, "Dough Stage", V1148&gt;=93, "Milking Stage", V1148&gt;=86, "Flowering", V1148&gt;=56, "Panicle Initiation/Booting", V1148&lt;56, "Vegetative/Tillering")</f>
        <v>Vegetative/Tillering</v>
      </c>
    </row>
    <row r="1149" ht="15.75" hidden="1" customHeight="1">
      <c r="A1149" s="3">
        <v>1148.0</v>
      </c>
      <c r="B1149" s="3" t="s">
        <v>23</v>
      </c>
      <c r="C1149" s="3" t="s">
        <v>1453</v>
      </c>
      <c r="D1149" s="3" t="s">
        <v>1454</v>
      </c>
      <c r="E1149" s="3" t="s">
        <v>219</v>
      </c>
      <c r="F1149" s="3">
        <v>1742044.0</v>
      </c>
      <c r="G1149" s="4">
        <v>46030.0</v>
      </c>
      <c r="H1149" s="4">
        <v>46132.0</v>
      </c>
      <c r="I1149" s="3" t="s">
        <v>3036</v>
      </c>
      <c r="J1149" s="3" t="s">
        <v>3037</v>
      </c>
      <c r="K1149" s="3" t="s">
        <v>223</v>
      </c>
      <c r="L1149" s="3">
        <v>0.25</v>
      </c>
      <c r="M1149" s="3">
        <v>6250.0</v>
      </c>
      <c r="N1149" s="3">
        <v>2.0</v>
      </c>
      <c r="O1149" s="3">
        <v>236248.0</v>
      </c>
      <c r="P1149" s="3" t="s">
        <v>3038</v>
      </c>
      <c r="Q1149" s="3">
        <v>1317816.0</v>
      </c>
      <c r="R1149" s="3"/>
      <c r="S1149" s="3">
        <v>4375.0</v>
      </c>
      <c r="T1149" s="3" t="s">
        <v>31</v>
      </c>
      <c r="U1149" s="3">
        <v>4375.0</v>
      </c>
      <c r="V1149" s="5">
        <f>(DATE(2026,2,3)-'RICE_Insured Farms_with PPI Pol'!$G1149)+IF('RICE_Insured Farms_with PPI Pol'!$H1149&lt;&gt;'RICE_Insured Farms_with PPI Pol'!$G1149,18,0)</f>
        <v>44</v>
      </c>
      <c r="W1149" s="3" t="str">
        <f t="array" ref="W1149">IFS(V1149&gt;120, "Harvested", V1149&gt;=113, "Yellow Ripening", V1149&gt;=101, "Dough Stage", V1149&gt;=93, "Milking Stage", V1149&gt;=86, "Flowering", V1149&gt;=56, "Panicle Initiation/Booting", V1149&lt;56, "Vegetative/Tillering")</f>
        <v>Vegetative/Tillering</v>
      </c>
    </row>
    <row r="1150" ht="15.75" customHeight="1">
      <c r="A1150" s="3">
        <v>1149.0</v>
      </c>
      <c r="B1150" s="3" t="s">
        <v>23</v>
      </c>
      <c r="C1150" s="3" t="s">
        <v>68</v>
      </c>
      <c r="D1150" s="3" t="s">
        <v>289</v>
      </c>
      <c r="E1150" s="3" t="s">
        <v>431</v>
      </c>
      <c r="F1150" s="3">
        <v>1760019.0</v>
      </c>
      <c r="G1150" s="4">
        <v>46021.0</v>
      </c>
      <c r="H1150" s="4">
        <v>46123.0</v>
      </c>
      <c r="I1150" s="3" t="s">
        <v>3039</v>
      </c>
      <c r="J1150" s="3" t="s">
        <v>2233</v>
      </c>
      <c r="K1150" s="3" t="s">
        <v>1599</v>
      </c>
      <c r="L1150" s="3">
        <v>0.1154</v>
      </c>
      <c r="M1150" s="3">
        <v>2885.0</v>
      </c>
      <c r="N1150" s="3">
        <v>3.0</v>
      </c>
      <c r="O1150" s="3">
        <v>298902.0</v>
      </c>
      <c r="P1150" s="3" t="s">
        <v>3040</v>
      </c>
      <c r="Q1150" s="3">
        <v>1033330.0</v>
      </c>
      <c r="R1150" s="3"/>
      <c r="S1150" s="3">
        <v>2308.0</v>
      </c>
      <c r="T1150" s="3" t="s">
        <v>37</v>
      </c>
      <c r="U1150" s="3">
        <v>2308.0</v>
      </c>
      <c r="V1150" s="5">
        <f>(DATE(2026,2,3)-'RICE_Insured Farms_with PPI Pol'!$G1150)+IF('RICE_Insured Farms_with PPI Pol'!$H1150&lt;&gt;'RICE_Insured Farms_with PPI Pol'!$G1150,18,0)</f>
        <v>53</v>
      </c>
      <c r="W1150" s="3" t="str">
        <f t="array" ref="W1150">IFS(V1150&gt;120, "Harvested", V1150&gt;=113, "Yellow Ripening", V1150&gt;=101, "Dough Stage", V1150&gt;=93, "Milking Stage", V1150&gt;=86, "Flowering", V1150&gt;=56, "Panicle Initiation/Booting", V1150&lt;56, "Vegetative/Tillering")</f>
        <v>Vegetative/Tillering</v>
      </c>
    </row>
    <row r="1151" ht="15.75" hidden="1" customHeight="1">
      <c r="A1151" s="3">
        <v>1150.0</v>
      </c>
      <c r="B1151" s="3" t="s">
        <v>23</v>
      </c>
      <c r="C1151" s="3" t="s">
        <v>68</v>
      </c>
      <c r="D1151" s="3" t="s">
        <v>289</v>
      </c>
      <c r="E1151" s="3" t="s">
        <v>363</v>
      </c>
      <c r="F1151" s="3">
        <v>1760046.0</v>
      </c>
      <c r="G1151" s="4">
        <v>46037.0</v>
      </c>
      <c r="H1151" s="4">
        <v>46139.0</v>
      </c>
      <c r="I1151" s="3" t="s">
        <v>3041</v>
      </c>
      <c r="J1151" s="3" t="s">
        <v>1159</v>
      </c>
      <c r="K1151" s="3" t="s">
        <v>3042</v>
      </c>
      <c r="L1151" s="3">
        <v>1.7364</v>
      </c>
      <c r="M1151" s="3">
        <v>43410.0</v>
      </c>
      <c r="N1151" s="3">
        <v>2.0</v>
      </c>
      <c r="O1151" s="3">
        <v>199680.0</v>
      </c>
      <c r="P1151" s="3" t="s">
        <v>3043</v>
      </c>
      <c r="Q1151" s="3">
        <v>1039966.0</v>
      </c>
      <c r="R1151" s="3"/>
      <c r="S1151" s="3">
        <v>30387.0</v>
      </c>
      <c r="T1151" s="3" t="s">
        <v>31</v>
      </c>
      <c r="U1151" s="3">
        <v>30387.0</v>
      </c>
      <c r="V1151" s="5">
        <f>(DATE(2026,2,3)-'RICE_Insured Farms_with PPI Pol'!$G1151)+IF('RICE_Insured Farms_with PPI Pol'!$H1151&lt;&gt;'RICE_Insured Farms_with PPI Pol'!$G1151,18,0)</f>
        <v>37</v>
      </c>
      <c r="W1151" s="3" t="str">
        <f t="array" ref="W1151">IFS(V1151&gt;120, "Harvested", V1151&gt;=113, "Yellow Ripening", V1151&gt;=101, "Dough Stage", V1151&gt;=93, "Milking Stage", V1151&gt;=86, "Flowering", V1151&gt;=56, "Panicle Initiation/Booting", V1151&lt;56, "Vegetative/Tillering")</f>
        <v>Vegetative/Tillering</v>
      </c>
    </row>
    <row r="1152" ht="15.75" hidden="1" customHeight="1">
      <c r="A1152" s="3">
        <v>1151.0</v>
      </c>
      <c r="B1152" s="3" t="s">
        <v>23</v>
      </c>
      <c r="C1152" s="3" t="s">
        <v>68</v>
      </c>
      <c r="D1152" s="3" t="s">
        <v>289</v>
      </c>
      <c r="E1152" s="3" t="s">
        <v>290</v>
      </c>
      <c r="F1152" s="3">
        <v>1760037.0</v>
      </c>
      <c r="G1152" s="4">
        <v>46039.0</v>
      </c>
      <c r="H1152" s="4">
        <v>46141.0</v>
      </c>
      <c r="I1152" s="3" t="s">
        <v>1180</v>
      </c>
      <c r="J1152" s="3" t="s">
        <v>3044</v>
      </c>
      <c r="K1152" s="3" t="s">
        <v>1043</v>
      </c>
      <c r="L1152" s="3">
        <v>0.5926</v>
      </c>
      <c r="M1152" s="3">
        <v>14815.0</v>
      </c>
      <c r="N1152" s="3">
        <v>2.0</v>
      </c>
      <c r="O1152" s="3">
        <v>199059.0</v>
      </c>
      <c r="P1152" s="3"/>
      <c r="Q1152" s="3">
        <v>1323228.0</v>
      </c>
      <c r="R1152" s="3"/>
      <c r="S1152" s="3">
        <v>10370.5</v>
      </c>
      <c r="T1152" s="3" t="s">
        <v>31</v>
      </c>
      <c r="U1152" s="3">
        <v>10370.5</v>
      </c>
      <c r="V1152" s="5">
        <f>(DATE(2026,2,3)-'RICE_Insured Farms_with PPI Pol'!$G1152)+IF('RICE_Insured Farms_with PPI Pol'!$H1152&lt;&gt;'RICE_Insured Farms_with PPI Pol'!$G1152,18,0)</f>
        <v>35</v>
      </c>
      <c r="W1152" s="3" t="str">
        <f t="array" ref="W1152">IFS(V1152&gt;120, "Harvested", V1152&gt;=113, "Yellow Ripening", V1152&gt;=101, "Dough Stage", V1152&gt;=93, "Milking Stage", V1152&gt;=86, "Flowering", V1152&gt;=56, "Panicle Initiation/Booting", V1152&lt;56, "Vegetative/Tillering")</f>
        <v>Vegetative/Tillering</v>
      </c>
    </row>
    <row r="1153" ht="15.75" hidden="1" customHeight="1">
      <c r="A1153" s="3">
        <v>1152.0</v>
      </c>
      <c r="B1153" s="3" t="s">
        <v>23</v>
      </c>
      <c r="C1153" s="3" t="s">
        <v>68</v>
      </c>
      <c r="D1153" s="3" t="s">
        <v>289</v>
      </c>
      <c r="E1153" s="3" t="s">
        <v>774</v>
      </c>
      <c r="F1153" s="3">
        <v>1760025.0</v>
      </c>
      <c r="G1153" s="4">
        <v>46028.0</v>
      </c>
      <c r="H1153" s="4">
        <v>46130.0</v>
      </c>
      <c r="I1153" s="3" t="s">
        <v>1180</v>
      </c>
      <c r="J1153" s="3" t="s">
        <v>3045</v>
      </c>
      <c r="K1153" s="3" t="s">
        <v>271</v>
      </c>
      <c r="L1153" s="3">
        <v>0.5941</v>
      </c>
      <c r="M1153" s="3">
        <v>14852.5</v>
      </c>
      <c r="N1153" s="3">
        <v>2.0</v>
      </c>
      <c r="O1153" s="3">
        <v>431403.0</v>
      </c>
      <c r="P1153" s="3" t="s">
        <v>3046</v>
      </c>
      <c r="Q1153" s="3">
        <v>1276395.0</v>
      </c>
      <c r="R1153" s="3"/>
      <c r="S1153" s="3">
        <v>10396.75</v>
      </c>
      <c r="T1153" s="3" t="s">
        <v>31</v>
      </c>
      <c r="U1153" s="3">
        <v>10396.75</v>
      </c>
      <c r="V1153" s="5">
        <f>(DATE(2026,2,3)-'RICE_Insured Farms_with PPI Pol'!$G1153)+IF('RICE_Insured Farms_with PPI Pol'!$H1153&lt;&gt;'RICE_Insured Farms_with PPI Pol'!$G1153,18,0)</f>
        <v>46</v>
      </c>
      <c r="W1153" s="3" t="str">
        <f t="array" ref="W1153">IFS(V1153&gt;120, "Harvested", V1153&gt;=113, "Yellow Ripening", V1153&gt;=101, "Dough Stage", V1153&gt;=93, "Milking Stage", V1153&gt;=86, "Flowering", V1153&gt;=56, "Panicle Initiation/Booting", V1153&lt;56, "Vegetative/Tillering")</f>
        <v>Vegetative/Tillering</v>
      </c>
    </row>
    <row r="1154" ht="15.75" customHeight="1">
      <c r="A1154" s="3">
        <v>1153.0</v>
      </c>
      <c r="B1154" s="3" t="s">
        <v>23</v>
      </c>
      <c r="C1154" s="3" t="s">
        <v>68</v>
      </c>
      <c r="D1154" s="3" t="s">
        <v>679</v>
      </c>
      <c r="E1154" s="3" t="s">
        <v>680</v>
      </c>
      <c r="F1154" s="3">
        <v>1175379.0</v>
      </c>
      <c r="G1154" s="4">
        <v>46022.0</v>
      </c>
      <c r="H1154" s="4">
        <v>46117.0</v>
      </c>
      <c r="I1154" s="3" t="s">
        <v>1180</v>
      </c>
      <c r="J1154" s="3" t="s">
        <v>3047</v>
      </c>
      <c r="K1154" s="3" t="s">
        <v>1011</v>
      </c>
      <c r="L1154" s="3">
        <v>0.1</v>
      </c>
      <c r="M1154" s="3">
        <v>2500.0</v>
      </c>
      <c r="N1154" s="3">
        <v>3.0</v>
      </c>
      <c r="O1154" s="3">
        <v>208424.0</v>
      </c>
      <c r="P1154" s="3" t="s">
        <v>3048</v>
      </c>
      <c r="Q1154" s="3">
        <v>1147797.0</v>
      </c>
      <c r="R1154" s="3"/>
      <c r="S1154" s="3">
        <v>2000.0</v>
      </c>
      <c r="T1154" s="3" t="s">
        <v>37</v>
      </c>
      <c r="U1154" s="3">
        <v>2000.0</v>
      </c>
      <c r="V1154" s="5">
        <f>(DATE(2026,2,3)-'RICE_Insured Farms_with PPI Pol'!$G1154)+IF('RICE_Insured Farms_with PPI Pol'!$H1154&lt;&gt;'RICE_Insured Farms_with PPI Pol'!$G1154,18,0)</f>
        <v>52</v>
      </c>
      <c r="W1154" s="3" t="str">
        <f t="array" ref="W1154">IFS(V1154&gt;120, "Harvested", V1154&gt;=113, "Yellow Ripening", V1154&gt;=101, "Dough Stage", V1154&gt;=93, "Milking Stage", V1154&gt;=86, "Flowering", V1154&gt;=56, "Panicle Initiation/Booting", V1154&lt;56, "Vegetative/Tillering")</f>
        <v>Vegetative/Tillering</v>
      </c>
    </row>
    <row r="1155" ht="15.75" customHeight="1">
      <c r="A1155" s="3">
        <v>1154.0</v>
      </c>
      <c r="B1155" s="3" t="s">
        <v>23</v>
      </c>
      <c r="C1155" s="3" t="s">
        <v>68</v>
      </c>
      <c r="D1155" s="3" t="s">
        <v>679</v>
      </c>
      <c r="E1155" s="3" t="s">
        <v>680</v>
      </c>
      <c r="F1155" s="3">
        <v>1175379.0</v>
      </c>
      <c r="G1155" s="4">
        <v>46022.0</v>
      </c>
      <c r="H1155" s="4">
        <v>46117.0</v>
      </c>
      <c r="I1155" s="3" t="s">
        <v>1180</v>
      </c>
      <c r="J1155" s="3" t="s">
        <v>3047</v>
      </c>
      <c r="K1155" s="3" t="s">
        <v>1011</v>
      </c>
      <c r="L1155" s="3">
        <v>0.1</v>
      </c>
      <c r="M1155" s="3">
        <v>2500.0</v>
      </c>
      <c r="N1155" s="3">
        <v>3.0</v>
      </c>
      <c r="O1155" s="3">
        <v>208424.0</v>
      </c>
      <c r="P1155" s="3" t="s">
        <v>3048</v>
      </c>
      <c r="Q1155" s="3">
        <v>1147798.0</v>
      </c>
      <c r="R1155" s="3"/>
      <c r="S1155" s="3">
        <v>2000.0</v>
      </c>
      <c r="T1155" s="3" t="s">
        <v>37</v>
      </c>
      <c r="U1155" s="3">
        <v>2000.0</v>
      </c>
      <c r="V1155" s="5">
        <f>(DATE(2026,2,3)-'RICE_Insured Farms_with PPI Pol'!$G1155)+IF('RICE_Insured Farms_with PPI Pol'!$H1155&lt;&gt;'RICE_Insured Farms_with PPI Pol'!$G1155,18,0)</f>
        <v>52</v>
      </c>
      <c r="W1155" s="3" t="str">
        <f t="array" ref="W1155">IFS(V1155&gt;120, "Harvested", V1155&gt;=113, "Yellow Ripening", V1155&gt;=101, "Dough Stage", V1155&gt;=93, "Milking Stage", V1155&gt;=86, "Flowering", V1155&gt;=56, "Panicle Initiation/Booting", V1155&lt;56, "Vegetative/Tillering")</f>
        <v>Vegetative/Tillering</v>
      </c>
    </row>
    <row r="1156" ht="15.75" customHeight="1">
      <c r="A1156" s="3">
        <v>1155.0</v>
      </c>
      <c r="B1156" s="3" t="s">
        <v>23</v>
      </c>
      <c r="C1156" s="3" t="s">
        <v>68</v>
      </c>
      <c r="D1156" s="3" t="s">
        <v>679</v>
      </c>
      <c r="E1156" s="3" t="s">
        <v>680</v>
      </c>
      <c r="F1156" s="3">
        <v>1175379.0</v>
      </c>
      <c r="G1156" s="4">
        <v>46022.0</v>
      </c>
      <c r="H1156" s="4">
        <v>46117.0</v>
      </c>
      <c r="I1156" s="3" t="s">
        <v>1180</v>
      </c>
      <c r="J1156" s="3" t="s">
        <v>3047</v>
      </c>
      <c r="K1156" s="3" t="s">
        <v>1011</v>
      </c>
      <c r="L1156" s="3">
        <v>0.1105</v>
      </c>
      <c r="M1156" s="3">
        <v>2762.5</v>
      </c>
      <c r="N1156" s="3">
        <v>3.0</v>
      </c>
      <c r="O1156" s="3">
        <v>208424.0</v>
      </c>
      <c r="P1156" s="3" t="s">
        <v>3048</v>
      </c>
      <c r="Q1156" s="3">
        <v>1147799.0</v>
      </c>
      <c r="R1156" s="3"/>
      <c r="S1156" s="3">
        <v>2210.0</v>
      </c>
      <c r="T1156" s="3" t="s">
        <v>37</v>
      </c>
      <c r="U1156" s="3">
        <v>2210.0</v>
      </c>
      <c r="V1156" s="5">
        <f>(DATE(2026,2,3)-'RICE_Insured Farms_with PPI Pol'!$G1156)+IF('RICE_Insured Farms_with PPI Pol'!$H1156&lt;&gt;'RICE_Insured Farms_with PPI Pol'!$G1156,18,0)</f>
        <v>52</v>
      </c>
      <c r="W1156" s="3" t="str">
        <f t="array" ref="W1156">IFS(V1156&gt;120, "Harvested", V1156&gt;=113, "Yellow Ripening", V1156&gt;=101, "Dough Stage", V1156&gt;=93, "Milking Stage", V1156&gt;=86, "Flowering", V1156&gt;=56, "Panicle Initiation/Booting", V1156&lt;56, "Vegetative/Tillering")</f>
        <v>Vegetative/Tillering</v>
      </c>
    </row>
    <row r="1157" ht="15.75" customHeight="1">
      <c r="A1157" s="3">
        <v>1156.0</v>
      </c>
      <c r="B1157" s="3" t="s">
        <v>23</v>
      </c>
      <c r="C1157" s="3" t="s">
        <v>68</v>
      </c>
      <c r="D1157" s="3" t="s">
        <v>679</v>
      </c>
      <c r="E1157" s="3" t="s">
        <v>680</v>
      </c>
      <c r="F1157" s="3">
        <v>1175379.0</v>
      </c>
      <c r="G1157" s="4">
        <v>46022.0</v>
      </c>
      <c r="H1157" s="4">
        <v>46117.0</v>
      </c>
      <c r="I1157" s="3" t="s">
        <v>1180</v>
      </c>
      <c r="J1157" s="3" t="s">
        <v>3047</v>
      </c>
      <c r="K1157" s="3" t="s">
        <v>1011</v>
      </c>
      <c r="L1157" s="3">
        <v>0.391</v>
      </c>
      <c r="M1157" s="3">
        <v>9775.0</v>
      </c>
      <c r="N1157" s="3">
        <v>3.0</v>
      </c>
      <c r="O1157" s="3">
        <v>208424.0</v>
      </c>
      <c r="P1157" s="3" t="s">
        <v>3048</v>
      </c>
      <c r="Q1157" s="3">
        <v>1147800.0</v>
      </c>
      <c r="R1157" s="3"/>
      <c r="S1157" s="3">
        <v>7820.0</v>
      </c>
      <c r="T1157" s="3" t="s">
        <v>37</v>
      </c>
      <c r="U1157" s="3">
        <v>7820.0</v>
      </c>
      <c r="V1157" s="5">
        <f>(DATE(2026,2,3)-'RICE_Insured Farms_with PPI Pol'!$G1157)+IF('RICE_Insured Farms_with PPI Pol'!$H1157&lt;&gt;'RICE_Insured Farms_with PPI Pol'!$G1157,18,0)</f>
        <v>52</v>
      </c>
      <c r="W1157" s="3" t="str">
        <f t="array" ref="W1157">IFS(V1157&gt;120, "Harvested", V1157&gt;=113, "Yellow Ripening", V1157&gt;=101, "Dough Stage", V1157&gt;=93, "Milking Stage", V1157&gt;=86, "Flowering", V1157&gt;=56, "Panicle Initiation/Booting", V1157&lt;56, "Vegetative/Tillering")</f>
        <v>Vegetative/Tillering</v>
      </c>
    </row>
    <row r="1158" ht="15.75" hidden="1" customHeight="1">
      <c r="A1158" s="3">
        <v>1441.0</v>
      </c>
      <c r="B1158" s="3" t="s">
        <v>23</v>
      </c>
      <c r="C1158" s="3" t="s">
        <v>24</v>
      </c>
      <c r="D1158" s="3" t="s">
        <v>25</v>
      </c>
      <c r="E1158" s="3" t="s">
        <v>674</v>
      </c>
      <c r="F1158" s="3">
        <v>1760488.0</v>
      </c>
      <c r="G1158" s="4">
        <v>46011.0</v>
      </c>
      <c r="H1158" s="4">
        <v>46110.0</v>
      </c>
      <c r="I1158" s="3" t="s">
        <v>248</v>
      </c>
      <c r="J1158" s="3" t="s">
        <v>3049</v>
      </c>
      <c r="K1158" s="3" t="s">
        <v>211</v>
      </c>
      <c r="L1158" s="3">
        <v>1.0</v>
      </c>
      <c r="M1158" s="3">
        <v>25000.0</v>
      </c>
      <c r="N1158" s="3">
        <v>4.0</v>
      </c>
      <c r="O1158" s="3">
        <v>10583.0</v>
      </c>
      <c r="P1158" s="3"/>
      <c r="Q1158" s="3">
        <v>1265242.0</v>
      </c>
      <c r="R1158" s="3"/>
      <c r="S1158" s="3">
        <v>20000.0</v>
      </c>
      <c r="T1158" s="3" t="s">
        <v>56</v>
      </c>
      <c r="U1158" s="3">
        <v>20000.0</v>
      </c>
      <c r="V1158" s="5">
        <f>(DATE(2026,2,3)-'RICE_Insured Farms_with PPI Pol'!$G1158)+IF('RICE_Insured Farms_with PPI Pol'!$H1158&lt;&gt;'RICE_Insured Farms_with PPI Pol'!$G1158,18,0)</f>
        <v>63</v>
      </c>
      <c r="W1158" s="3" t="str">
        <f t="array" ref="W1158">IFS(V1158&gt;120, "Harvested", V1158&gt;=113, "Yellow Ripening", V1158&gt;=101, "Dough Stage", V1158&gt;=93, "Milking Stage", V1158&gt;=86, "Flowering", V1158&gt;=56, "Panicle Initiation/Booting", V1158&lt;56, "Vegetative/Tillering")</f>
        <v>Panicle Initiation/Booting</v>
      </c>
    </row>
    <row r="1159" ht="15.75" customHeight="1">
      <c r="A1159" s="3">
        <v>1158.0</v>
      </c>
      <c r="B1159" s="3" t="s">
        <v>23</v>
      </c>
      <c r="C1159" s="3" t="s">
        <v>68</v>
      </c>
      <c r="D1159" s="3" t="s">
        <v>289</v>
      </c>
      <c r="E1159" s="3" t="s">
        <v>685</v>
      </c>
      <c r="F1159" s="3">
        <v>1760005.0</v>
      </c>
      <c r="G1159" s="4">
        <v>46022.0</v>
      </c>
      <c r="H1159" s="4">
        <v>46124.0</v>
      </c>
      <c r="I1159" s="3" t="s">
        <v>3050</v>
      </c>
      <c r="J1159" s="3" t="s">
        <v>749</v>
      </c>
      <c r="K1159" s="3" t="s">
        <v>3051</v>
      </c>
      <c r="L1159" s="3">
        <v>0.4243</v>
      </c>
      <c r="M1159" s="3">
        <v>10607.5</v>
      </c>
      <c r="N1159" s="3">
        <v>3.0</v>
      </c>
      <c r="O1159" s="3">
        <v>31014.0</v>
      </c>
      <c r="P1159" s="3" t="s">
        <v>3052</v>
      </c>
      <c r="Q1159" s="3">
        <v>619177.0</v>
      </c>
      <c r="R1159" s="3"/>
      <c r="S1159" s="3">
        <v>8486.0</v>
      </c>
      <c r="T1159" s="3" t="s">
        <v>37</v>
      </c>
      <c r="U1159" s="3">
        <v>8486.0</v>
      </c>
      <c r="V1159" s="5">
        <f>(DATE(2026,2,3)-'RICE_Insured Farms_with PPI Pol'!$G1159)+IF('RICE_Insured Farms_with PPI Pol'!$H1159&lt;&gt;'RICE_Insured Farms_with PPI Pol'!$G1159,18,0)</f>
        <v>52</v>
      </c>
      <c r="W1159" s="3" t="str">
        <f t="array" ref="W1159">IFS(V1159&gt;120, "Harvested", V1159&gt;=113, "Yellow Ripening", V1159&gt;=101, "Dough Stage", V1159&gt;=93, "Milking Stage", V1159&gt;=86, "Flowering", V1159&gt;=56, "Panicle Initiation/Booting", V1159&lt;56, "Vegetative/Tillering")</f>
        <v>Vegetative/Tillering</v>
      </c>
    </row>
    <row r="1160" ht="15.75" customHeight="1">
      <c r="A1160" s="3">
        <v>1159.0</v>
      </c>
      <c r="B1160" s="3" t="s">
        <v>23</v>
      </c>
      <c r="C1160" s="3" t="s">
        <v>1453</v>
      </c>
      <c r="D1160" s="3" t="s">
        <v>1454</v>
      </c>
      <c r="E1160" s="3" t="s">
        <v>1455</v>
      </c>
      <c r="F1160" s="3">
        <v>1742045.0</v>
      </c>
      <c r="G1160" s="4">
        <v>46018.0</v>
      </c>
      <c r="H1160" s="4">
        <v>46120.0</v>
      </c>
      <c r="I1160" s="3" t="s">
        <v>3053</v>
      </c>
      <c r="J1160" s="3" t="s">
        <v>1159</v>
      </c>
      <c r="K1160" s="3" t="s">
        <v>3054</v>
      </c>
      <c r="L1160" s="3">
        <v>0.4015</v>
      </c>
      <c r="M1160" s="3">
        <v>10037.5</v>
      </c>
      <c r="N1160" s="3">
        <v>3.0</v>
      </c>
      <c r="O1160" s="3">
        <v>357501.0</v>
      </c>
      <c r="P1160" s="3" t="s">
        <v>3055</v>
      </c>
      <c r="Q1160" s="3">
        <v>1030555.0</v>
      </c>
      <c r="R1160" s="3"/>
      <c r="S1160" s="3">
        <v>8030.0</v>
      </c>
      <c r="T1160" s="3" t="s">
        <v>37</v>
      </c>
      <c r="U1160" s="3">
        <v>8030.0</v>
      </c>
      <c r="V1160" s="5">
        <f>(DATE(2026,2,3)-'RICE_Insured Farms_with PPI Pol'!$G1160)+IF('RICE_Insured Farms_with PPI Pol'!$H1160&lt;&gt;'RICE_Insured Farms_with PPI Pol'!$G1160,18,0)</f>
        <v>56</v>
      </c>
      <c r="W1160" s="3" t="str">
        <f t="array" ref="W1160">IFS(V1160&gt;120, "Harvested", V1160&gt;=113, "Yellow Ripening", V1160&gt;=101, "Dough Stage", V1160&gt;=93, "Milking Stage", V1160&gt;=86, "Flowering", V1160&gt;=56, "Panicle Initiation/Booting", V1160&lt;56, "Vegetative/Tillering")</f>
        <v>Panicle Initiation/Booting</v>
      </c>
    </row>
    <row r="1161" ht="15.75" customHeight="1">
      <c r="A1161" s="3">
        <v>1160.0</v>
      </c>
      <c r="B1161" s="3" t="s">
        <v>23</v>
      </c>
      <c r="C1161" s="3" t="s">
        <v>68</v>
      </c>
      <c r="D1161" s="3" t="s">
        <v>289</v>
      </c>
      <c r="E1161" s="3" t="s">
        <v>685</v>
      </c>
      <c r="F1161" s="3">
        <v>1760004.0</v>
      </c>
      <c r="G1161" s="4">
        <v>46019.0</v>
      </c>
      <c r="H1161" s="4">
        <v>46121.0</v>
      </c>
      <c r="I1161" s="3" t="s">
        <v>3056</v>
      </c>
      <c r="J1161" s="3" t="s">
        <v>1742</v>
      </c>
      <c r="K1161" s="3" t="s">
        <v>2126</v>
      </c>
      <c r="L1161" s="3">
        <v>1.3047</v>
      </c>
      <c r="M1161" s="3">
        <v>32617.5</v>
      </c>
      <c r="N1161" s="3">
        <v>3.0</v>
      </c>
      <c r="O1161" s="3">
        <v>31021.0</v>
      </c>
      <c r="P1161" s="3" t="s">
        <v>3057</v>
      </c>
      <c r="Q1161" s="3">
        <v>618359.0</v>
      </c>
      <c r="R1161" s="3"/>
      <c r="S1161" s="3">
        <v>26094.0</v>
      </c>
      <c r="T1161" s="3" t="s">
        <v>37</v>
      </c>
      <c r="U1161" s="3">
        <v>26094.0</v>
      </c>
      <c r="V1161" s="5">
        <f>(DATE(2026,2,3)-'RICE_Insured Farms_with PPI Pol'!$G1161)+IF('RICE_Insured Farms_with PPI Pol'!$H1161&lt;&gt;'RICE_Insured Farms_with PPI Pol'!$G1161,18,0)</f>
        <v>55</v>
      </c>
      <c r="W1161" s="3" t="str">
        <f t="array" ref="W1161">IFS(V1161&gt;120, "Harvested", V1161&gt;=113, "Yellow Ripening", V1161&gt;=101, "Dough Stage", V1161&gt;=93, "Milking Stage", V1161&gt;=86, "Flowering", V1161&gt;=56, "Panicle Initiation/Booting", V1161&lt;56, "Vegetative/Tillering")</f>
        <v>Vegetative/Tillering</v>
      </c>
    </row>
    <row r="1162" ht="15.75" hidden="1" customHeight="1">
      <c r="A1162" s="3">
        <v>1161.0</v>
      </c>
      <c r="B1162" s="3" t="s">
        <v>23</v>
      </c>
      <c r="C1162" s="3" t="s">
        <v>311</v>
      </c>
      <c r="D1162" s="3" t="s">
        <v>3058</v>
      </c>
      <c r="E1162" s="3" t="s">
        <v>3059</v>
      </c>
      <c r="F1162" s="3">
        <v>1741544.0</v>
      </c>
      <c r="G1162" s="4">
        <v>46028.0</v>
      </c>
      <c r="H1162" s="4">
        <v>46127.0</v>
      </c>
      <c r="I1162" s="3" t="s">
        <v>2955</v>
      </c>
      <c r="J1162" s="3" t="s">
        <v>3060</v>
      </c>
      <c r="K1162" s="3" t="s">
        <v>3061</v>
      </c>
      <c r="L1162" s="3">
        <v>0.5086</v>
      </c>
      <c r="M1162" s="3">
        <v>12715.0</v>
      </c>
      <c r="N1162" s="3">
        <v>2.0</v>
      </c>
      <c r="O1162" s="3">
        <v>198432.0</v>
      </c>
      <c r="P1162" s="3" t="s">
        <v>3062</v>
      </c>
      <c r="Q1162" s="3">
        <v>1315606.0</v>
      </c>
      <c r="R1162" s="3"/>
      <c r="S1162" s="3">
        <v>8900.5</v>
      </c>
      <c r="T1162" s="3" t="s">
        <v>31</v>
      </c>
      <c r="U1162" s="3">
        <v>8900.5</v>
      </c>
      <c r="V1162" s="5">
        <f>(DATE(2026,2,3)-'RICE_Insured Farms_with PPI Pol'!$G1162)+IF('RICE_Insured Farms_with PPI Pol'!$H1162&lt;&gt;'RICE_Insured Farms_with PPI Pol'!$G1162,18,0)</f>
        <v>46</v>
      </c>
      <c r="W1162" s="3" t="str">
        <f t="array" ref="W1162">IFS(V1162&gt;120, "Harvested", V1162&gt;=113, "Yellow Ripening", V1162&gt;=101, "Dough Stage", V1162&gt;=93, "Milking Stage", V1162&gt;=86, "Flowering", V1162&gt;=56, "Panicle Initiation/Booting", V1162&lt;56, "Vegetative/Tillering")</f>
        <v>Vegetative/Tillering</v>
      </c>
    </row>
    <row r="1163" ht="15.75" hidden="1" customHeight="1">
      <c r="A1163" s="3">
        <v>1162.0</v>
      </c>
      <c r="B1163" s="3" t="s">
        <v>23</v>
      </c>
      <c r="C1163" s="3" t="s">
        <v>68</v>
      </c>
      <c r="D1163" s="3" t="s">
        <v>289</v>
      </c>
      <c r="E1163" s="3" t="s">
        <v>290</v>
      </c>
      <c r="F1163" s="3">
        <v>1760048.0</v>
      </c>
      <c r="G1163" s="4">
        <v>46028.0</v>
      </c>
      <c r="H1163" s="4">
        <v>46130.0</v>
      </c>
      <c r="I1163" s="3" t="s">
        <v>3063</v>
      </c>
      <c r="J1163" s="3" t="s">
        <v>3064</v>
      </c>
      <c r="K1163" s="3" t="s">
        <v>2664</v>
      </c>
      <c r="L1163" s="3">
        <v>0.5605</v>
      </c>
      <c r="M1163" s="3">
        <v>14012.5</v>
      </c>
      <c r="N1163" s="3">
        <v>2.0</v>
      </c>
      <c r="O1163" s="3">
        <v>389810.0</v>
      </c>
      <c r="P1163" s="3"/>
      <c r="Q1163" s="3">
        <v>970920.0</v>
      </c>
      <c r="R1163" s="3"/>
      <c r="S1163" s="3">
        <v>9808.75</v>
      </c>
      <c r="T1163" s="3" t="s">
        <v>31</v>
      </c>
      <c r="U1163" s="3">
        <v>9808.75</v>
      </c>
      <c r="V1163" s="5">
        <f>(DATE(2026,2,3)-'RICE_Insured Farms_with PPI Pol'!$G1163)+IF('RICE_Insured Farms_with PPI Pol'!$H1163&lt;&gt;'RICE_Insured Farms_with PPI Pol'!$G1163,18,0)</f>
        <v>46</v>
      </c>
      <c r="W1163" s="3" t="str">
        <f t="array" ref="W1163">IFS(V1163&gt;120, "Harvested", V1163&gt;=113, "Yellow Ripening", V1163&gt;=101, "Dough Stage", V1163&gt;=93, "Milking Stage", V1163&gt;=86, "Flowering", V1163&gt;=56, "Panicle Initiation/Booting", V1163&lt;56, "Vegetative/Tillering")</f>
        <v>Vegetative/Tillering</v>
      </c>
    </row>
    <row r="1164" ht="15.75" customHeight="1">
      <c r="A1164" s="3">
        <v>1163.0</v>
      </c>
      <c r="B1164" s="3" t="s">
        <v>1776</v>
      </c>
      <c r="C1164" s="3" t="s">
        <v>24</v>
      </c>
      <c r="D1164" s="3" t="s">
        <v>25</v>
      </c>
      <c r="E1164" s="3" t="s">
        <v>1374</v>
      </c>
      <c r="F1164" s="3">
        <v>1760470.0</v>
      </c>
      <c r="G1164" s="4">
        <v>46020.0</v>
      </c>
      <c r="H1164" s="4">
        <v>46115.0</v>
      </c>
      <c r="I1164" s="3" t="s">
        <v>2173</v>
      </c>
      <c r="J1164" s="3" t="s">
        <v>1801</v>
      </c>
      <c r="K1164" s="3" t="s">
        <v>3065</v>
      </c>
      <c r="L1164" s="3">
        <v>0.2029</v>
      </c>
      <c r="M1164" s="3">
        <v>4058.0</v>
      </c>
      <c r="N1164" s="3">
        <v>3.0</v>
      </c>
      <c r="O1164" s="3">
        <v>334480.0</v>
      </c>
      <c r="P1164" s="3"/>
      <c r="Q1164" s="3">
        <v>1228959.0</v>
      </c>
      <c r="R1164" s="3"/>
      <c r="S1164" s="3">
        <v>3246.4</v>
      </c>
      <c r="T1164" s="3" t="s">
        <v>37</v>
      </c>
      <c r="U1164" s="3">
        <v>3246.4</v>
      </c>
      <c r="V1164" s="5">
        <f>(DATE(2026,2,3)-'RICE_Insured Farms_with PPI Pol'!$G1164)+IF('RICE_Insured Farms_with PPI Pol'!$H1164&lt;&gt;'RICE_Insured Farms_with PPI Pol'!$G1164,18,0)</f>
        <v>54</v>
      </c>
      <c r="W1164" s="3" t="str">
        <f t="array" ref="W1164">IFS(V1164&gt;120, "Harvested", V1164&gt;=113, "Yellow Ripening", V1164&gt;=101, "Dough Stage", V1164&gt;=93, "Milking Stage", V1164&gt;=86, "Flowering", V1164&gt;=56, "Panicle Initiation/Booting", V1164&lt;56, "Vegetative/Tillering")</f>
        <v>Vegetative/Tillering</v>
      </c>
    </row>
    <row r="1165" ht="15.75" customHeight="1">
      <c r="A1165" s="3">
        <v>1164.0</v>
      </c>
      <c r="B1165" s="3" t="s">
        <v>1776</v>
      </c>
      <c r="C1165" s="3" t="s">
        <v>24</v>
      </c>
      <c r="D1165" s="3" t="s">
        <v>25</v>
      </c>
      <c r="E1165" s="3" t="s">
        <v>1374</v>
      </c>
      <c r="F1165" s="3">
        <v>1760470.0</v>
      </c>
      <c r="G1165" s="4">
        <v>46020.0</v>
      </c>
      <c r="H1165" s="4">
        <v>46115.0</v>
      </c>
      <c r="I1165" s="3" t="s">
        <v>2173</v>
      </c>
      <c r="J1165" s="3" t="s">
        <v>1801</v>
      </c>
      <c r="K1165" s="3" t="s">
        <v>3065</v>
      </c>
      <c r="L1165" s="3">
        <v>0.1867</v>
      </c>
      <c r="M1165" s="3">
        <v>3734.0</v>
      </c>
      <c r="N1165" s="3">
        <v>3.0</v>
      </c>
      <c r="O1165" s="3">
        <v>334480.0</v>
      </c>
      <c r="P1165" s="3"/>
      <c r="Q1165" s="3">
        <v>1324304.0</v>
      </c>
      <c r="R1165" s="3"/>
      <c r="S1165" s="3">
        <v>2987.2</v>
      </c>
      <c r="T1165" s="3" t="s">
        <v>37</v>
      </c>
      <c r="U1165" s="3">
        <v>2987.2</v>
      </c>
      <c r="V1165" s="5">
        <f>(DATE(2026,2,3)-'RICE_Insured Farms_with PPI Pol'!$G1165)+IF('RICE_Insured Farms_with PPI Pol'!$H1165&lt;&gt;'RICE_Insured Farms_with PPI Pol'!$G1165,18,0)</f>
        <v>54</v>
      </c>
      <c r="W1165" s="3" t="str">
        <f t="array" ref="W1165">IFS(V1165&gt;120, "Harvested", V1165&gt;=113, "Yellow Ripening", V1165&gt;=101, "Dough Stage", V1165&gt;=93, "Milking Stage", V1165&gt;=86, "Flowering", V1165&gt;=56, "Panicle Initiation/Booting", V1165&lt;56, "Vegetative/Tillering")</f>
        <v>Vegetative/Tillering</v>
      </c>
    </row>
    <row r="1166" ht="15.75" hidden="1" customHeight="1">
      <c r="A1166" s="3">
        <v>1442.0</v>
      </c>
      <c r="B1166" s="3" t="s">
        <v>23</v>
      </c>
      <c r="C1166" s="3" t="s">
        <v>24</v>
      </c>
      <c r="D1166" s="3" t="s">
        <v>25</v>
      </c>
      <c r="E1166" s="3" t="s">
        <v>674</v>
      </c>
      <c r="F1166" s="3">
        <v>1760488.0</v>
      </c>
      <c r="G1166" s="4">
        <v>46002.0</v>
      </c>
      <c r="H1166" s="4">
        <v>46101.0</v>
      </c>
      <c r="I1166" s="3" t="s">
        <v>248</v>
      </c>
      <c r="J1166" s="3" t="s">
        <v>1655</v>
      </c>
      <c r="K1166" s="3" t="s">
        <v>3066</v>
      </c>
      <c r="L1166" s="3">
        <v>1.0</v>
      </c>
      <c r="M1166" s="3">
        <v>25000.0</v>
      </c>
      <c r="N1166" s="3">
        <v>5.0</v>
      </c>
      <c r="O1166" s="3">
        <v>291992.0</v>
      </c>
      <c r="P1166" s="3" t="s">
        <v>3067</v>
      </c>
      <c r="Q1166" s="3">
        <v>1265245.0</v>
      </c>
      <c r="R1166" s="3"/>
      <c r="S1166" s="3">
        <v>22500.0</v>
      </c>
      <c r="T1166" s="3" t="s">
        <v>1002</v>
      </c>
      <c r="U1166" s="3">
        <v>22500.0</v>
      </c>
      <c r="V1166" s="5">
        <f>(DATE(2026,2,3)-'RICE_Insured Farms_with PPI Pol'!$G1166)+IF('RICE_Insured Farms_with PPI Pol'!$H1166&lt;&gt;'RICE_Insured Farms_with PPI Pol'!$G1166,18,0)</f>
        <v>72</v>
      </c>
      <c r="W1166" s="3" t="str">
        <f t="array" ref="W1166">IFS(V1166&gt;120, "Harvested", V1166&gt;=113, "Yellow Ripening", V1166&gt;=101, "Dough Stage", V1166&gt;=93, "Milking Stage", V1166&gt;=86, "Flowering", V1166&gt;=56, "Panicle Initiation/Booting", V1166&lt;56, "Vegetative/Tillering")</f>
        <v>Panicle Initiation/Booting</v>
      </c>
    </row>
    <row r="1167" ht="15.75" hidden="1" customHeight="1">
      <c r="A1167" s="3">
        <v>1478.0</v>
      </c>
      <c r="B1167" s="3" t="s">
        <v>23</v>
      </c>
      <c r="C1167" s="3" t="s">
        <v>24</v>
      </c>
      <c r="D1167" s="3" t="s">
        <v>25</v>
      </c>
      <c r="E1167" s="3" t="s">
        <v>1783</v>
      </c>
      <c r="F1167" s="3">
        <v>1760481.0</v>
      </c>
      <c r="G1167" s="4">
        <v>46002.0</v>
      </c>
      <c r="H1167" s="4">
        <v>46097.0</v>
      </c>
      <c r="I1167" s="3" t="s">
        <v>3068</v>
      </c>
      <c r="J1167" s="3" t="s">
        <v>1721</v>
      </c>
      <c r="K1167" s="3" t="s">
        <v>3069</v>
      </c>
      <c r="L1167" s="3">
        <v>1.0</v>
      </c>
      <c r="M1167" s="3">
        <v>25000.0</v>
      </c>
      <c r="N1167" s="3">
        <v>5.0</v>
      </c>
      <c r="O1167" s="3">
        <v>278710.0</v>
      </c>
      <c r="P1167" s="3" t="s">
        <v>3070</v>
      </c>
      <c r="Q1167" s="3">
        <v>1228633.0</v>
      </c>
      <c r="R1167" s="3"/>
      <c r="S1167" s="3">
        <v>22500.0</v>
      </c>
      <c r="T1167" s="3" t="s">
        <v>1002</v>
      </c>
      <c r="U1167" s="3">
        <v>22500.0</v>
      </c>
      <c r="V1167" s="5">
        <f>(DATE(2026,2,3)-'RICE_Insured Farms_with PPI Pol'!$G1167)+IF('RICE_Insured Farms_with PPI Pol'!$H1167&lt;&gt;'RICE_Insured Farms_with PPI Pol'!$G1167,18,0)</f>
        <v>72</v>
      </c>
      <c r="W1167" s="3" t="str">
        <f t="array" ref="W1167">IFS(V1167&gt;120, "Harvested", V1167&gt;=113, "Yellow Ripening", V1167&gt;=101, "Dough Stage", V1167&gt;=93, "Milking Stage", V1167&gt;=86, "Flowering", V1167&gt;=56, "Panicle Initiation/Booting", V1167&lt;56, "Vegetative/Tillering")</f>
        <v>Panicle Initiation/Booting</v>
      </c>
    </row>
    <row r="1168" ht="15.75" customHeight="1">
      <c r="A1168" s="3">
        <v>1167.0</v>
      </c>
      <c r="B1168" s="3" t="s">
        <v>1776</v>
      </c>
      <c r="C1168" s="3" t="s">
        <v>24</v>
      </c>
      <c r="D1168" s="3" t="s">
        <v>25</v>
      </c>
      <c r="E1168" s="3" t="s">
        <v>1374</v>
      </c>
      <c r="F1168" s="3">
        <v>1760471.0</v>
      </c>
      <c r="G1168" s="4">
        <v>46003.0</v>
      </c>
      <c r="H1168" s="4">
        <v>46123.0</v>
      </c>
      <c r="I1168" s="3" t="s">
        <v>2173</v>
      </c>
      <c r="J1168" s="3" t="s">
        <v>3071</v>
      </c>
      <c r="K1168" s="3" t="s">
        <v>3072</v>
      </c>
      <c r="L1168" s="3">
        <v>0.0958</v>
      </c>
      <c r="M1168" s="3">
        <v>1916.0</v>
      </c>
      <c r="N1168" s="3">
        <v>3.0</v>
      </c>
      <c r="O1168" s="3">
        <v>304495.0</v>
      </c>
      <c r="P1168" s="3" t="s">
        <v>3073</v>
      </c>
      <c r="Q1168" s="3">
        <v>1132795.0</v>
      </c>
      <c r="R1168" s="3"/>
      <c r="S1168" s="3">
        <v>1532.8</v>
      </c>
      <c r="T1168" s="3" t="s">
        <v>37</v>
      </c>
      <c r="U1168" s="3">
        <v>1532.8</v>
      </c>
      <c r="V1168" s="5">
        <f>(DATE(2026,2,3)-'RICE_Insured Farms_with PPI Pol'!$G1168)+IF('RICE_Insured Farms_with PPI Pol'!$H1168&lt;&gt;'RICE_Insured Farms_with PPI Pol'!$G1168,18,0)</f>
        <v>71</v>
      </c>
      <c r="W1168" s="3" t="str">
        <f t="array" ref="W1168">IFS(V1168&gt;120, "Harvested", V1168&gt;=113, "Yellow Ripening", V1168&gt;=101, "Dough Stage", V1168&gt;=93, "Milking Stage", V1168&gt;=86, "Flowering", V1168&gt;=56, "Panicle Initiation/Booting", V1168&lt;56, "Vegetative/Tillering")</f>
        <v>Panicle Initiation/Booting</v>
      </c>
    </row>
    <row r="1169" ht="15.75" customHeight="1">
      <c r="A1169" s="3">
        <v>1168.0</v>
      </c>
      <c r="B1169" s="3" t="s">
        <v>1776</v>
      </c>
      <c r="C1169" s="3" t="s">
        <v>24</v>
      </c>
      <c r="D1169" s="3" t="s">
        <v>25</v>
      </c>
      <c r="E1169" s="3" t="s">
        <v>1374</v>
      </c>
      <c r="F1169" s="3">
        <v>1760471.0</v>
      </c>
      <c r="G1169" s="4">
        <v>46003.0</v>
      </c>
      <c r="H1169" s="4">
        <v>46123.0</v>
      </c>
      <c r="I1169" s="3" t="s">
        <v>2173</v>
      </c>
      <c r="J1169" s="3" t="s">
        <v>3071</v>
      </c>
      <c r="K1169" s="3" t="s">
        <v>3072</v>
      </c>
      <c r="L1169" s="3">
        <v>0.0718</v>
      </c>
      <c r="M1169" s="3">
        <v>1436.0</v>
      </c>
      <c r="N1169" s="3">
        <v>3.0</v>
      </c>
      <c r="O1169" s="3">
        <v>304495.0</v>
      </c>
      <c r="P1169" s="3" t="s">
        <v>3073</v>
      </c>
      <c r="Q1169" s="3">
        <v>1208831.0</v>
      </c>
      <c r="R1169" s="3"/>
      <c r="S1169" s="3">
        <v>1148.8</v>
      </c>
      <c r="T1169" s="3" t="s">
        <v>37</v>
      </c>
      <c r="U1169" s="3">
        <v>1148.8</v>
      </c>
      <c r="V1169" s="5">
        <f>(DATE(2026,2,3)-'RICE_Insured Farms_with PPI Pol'!$G1169)+IF('RICE_Insured Farms_with PPI Pol'!$H1169&lt;&gt;'RICE_Insured Farms_with PPI Pol'!$G1169,18,0)</f>
        <v>71</v>
      </c>
      <c r="W1169" s="3" t="str">
        <f t="array" ref="W1169">IFS(V1169&gt;120, "Harvested", V1169&gt;=113, "Yellow Ripening", V1169&gt;=101, "Dough Stage", V1169&gt;=93, "Milking Stage", V1169&gt;=86, "Flowering", V1169&gt;=56, "Panicle Initiation/Booting", V1169&lt;56, "Vegetative/Tillering")</f>
        <v>Panicle Initiation/Booting</v>
      </c>
    </row>
    <row r="1170" ht="15.75" customHeight="1">
      <c r="A1170" s="3">
        <v>1169.0</v>
      </c>
      <c r="B1170" s="3" t="s">
        <v>23</v>
      </c>
      <c r="C1170" s="3" t="s">
        <v>68</v>
      </c>
      <c r="D1170" s="3" t="s">
        <v>289</v>
      </c>
      <c r="E1170" s="3" t="s">
        <v>431</v>
      </c>
      <c r="F1170" s="3">
        <v>1760019.0</v>
      </c>
      <c r="G1170" s="4">
        <v>46018.0</v>
      </c>
      <c r="H1170" s="4">
        <v>46120.0</v>
      </c>
      <c r="I1170" s="3" t="s">
        <v>1394</v>
      </c>
      <c r="J1170" s="3" t="s">
        <v>2598</v>
      </c>
      <c r="K1170" s="3" t="s">
        <v>3074</v>
      </c>
      <c r="L1170" s="3">
        <v>1.3465</v>
      </c>
      <c r="M1170" s="3">
        <v>33662.5</v>
      </c>
      <c r="N1170" s="3">
        <v>3.0</v>
      </c>
      <c r="O1170" s="3">
        <v>330309.0</v>
      </c>
      <c r="P1170" s="3"/>
      <c r="Q1170" s="3">
        <v>1117986.0</v>
      </c>
      <c r="R1170" s="3"/>
      <c r="S1170" s="3">
        <v>26930.0</v>
      </c>
      <c r="T1170" s="3" t="s">
        <v>37</v>
      </c>
      <c r="U1170" s="3">
        <v>26930.0</v>
      </c>
      <c r="V1170" s="5">
        <f>(DATE(2026,2,3)-'RICE_Insured Farms_with PPI Pol'!$G1170)+IF('RICE_Insured Farms_with PPI Pol'!$H1170&lt;&gt;'RICE_Insured Farms_with PPI Pol'!$G1170,18,0)</f>
        <v>56</v>
      </c>
      <c r="W1170" s="3" t="str">
        <f t="array" ref="W1170">IFS(V1170&gt;120, "Harvested", V1170&gt;=113, "Yellow Ripening", V1170&gt;=101, "Dough Stage", V1170&gt;=93, "Milking Stage", V1170&gt;=86, "Flowering", V1170&gt;=56, "Panicle Initiation/Booting", V1170&lt;56, "Vegetative/Tillering")</f>
        <v>Panicle Initiation/Booting</v>
      </c>
    </row>
    <row r="1171" ht="15.75" hidden="1" customHeight="1">
      <c r="A1171" s="3">
        <v>1479.0</v>
      </c>
      <c r="B1171" s="3" t="s">
        <v>23</v>
      </c>
      <c r="C1171" s="3" t="s">
        <v>24</v>
      </c>
      <c r="D1171" s="3" t="s">
        <v>25</v>
      </c>
      <c r="E1171" s="3" t="s">
        <v>1783</v>
      </c>
      <c r="F1171" s="3">
        <v>1760481.0</v>
      </c>
      <c r="G1171" s="4">
        <v>46010.0</v>
      </c>
      <c r="H1171" s="4">
        <v>46105.0</v>
      </c>
      <c r="I1171" s="3" t="s">
        <v>3068</v>
      </c>
      <c r="J1171" s="3" t="s">
        <v>1721</v>
      </c>
      <c r="K1171" s="3" t="s">
        <v>3069</v>
      </c>
      <c r="L1171" s="3">
        <v>1.0</v>
      </c>
      <c r="M1171" s="3">
        <v>25000.0</v>
      </c>
      <c r="N1171" s="3">
        <v>4.0</v>
      </c>
      <c r="O1171" s="3">
        <v>278710.0</v>
      </c>
      <c r="P1171" s="3" t="s">
        <v>3070</v>
      </c>
      <c r="Q1171" s="3">
        <v>1326028.0</v>
      </c>
      <c r="R1171" s="3"/>
      <c r="S1171" s="3">
        <v>20000.0</v>
      </c>
      <c r="T1171" s="3" t="s">
        <v>56</v>
      </c>
      <c r="U1171" s="3">
        <v>20000.0</v>
      </c>
      <c r="V1171" s="5">
        <f>(DATE(2026,2,3)-'RICE_Insured Farms_with PPI Pol'!$G1171)+IF('RICE_Insured Farms_with PPI Pol'!$H1171&lt;&gt;'RICE_Insured Farms_with PPI Pol'!$G1171,18,0)</f>
        <v>64</v>
      </c>
      <c r="W1171" s="3" t="str">
        <f t="array" ref="W1171">IFS(V1171&gt;120, "Harvested", V1171&gt;=113, "Yellow Ripening", V1171&gt;=101, "Dough Stage", V1171&gt;=93, "Milking Stage", V1171&gt;=86, "Flowering", V1171&gt;=56, "Panicle Initiation/Booting", V1171&lt;56, "Vegetative/Tillering")</f>
        <v>Panicle Initiation/Booting</v>
      </c>
    </row>
    <row r="1172" ht="15.75" hidden="1" customHeight="1">
      <c r="A1172" s="3">
        <v>1101.0</v>
      </c>
      <c r="B1172" s="3" t="s">
        <v>23</v>
      </c>
      <c r="C1172" s="3" t="s">
        <v>24</v>
      </c>
      <c r="D1172" s="3" t="s">
        <v>390</v>
      </c>
      <c r="E1172" s="3" t="s">
        <v>3075</v>
      </c>
      <c r="F1172" s="3">
        <v>1761011.0</v>
      </c>
      <c r="G1172" s="4">
        <v>46006.0</v>
      </c>
      <c r="H1172" s="4">
        <v>46101.0</v>
      </c>
      <c r="I1172" s="3" t="s">
        <v>3076</v>
      </c>
      <c r="J1172" s="3" t="s">
        <v>2910</v>
      </c>
      <c r="K1172" s="3" t="s">
        <v>3077</v>
      </c>
      <c r="L1172" s="3">
        <v>0.5058</v>
      </c>
      <c r="M1172" s="3">
        <v>12645.0</v>
      </c>
      <c r="N1172" s="3">
        <v>5.0</v>
      </c>
      <c r="O1172" s="3">
        <v>22201.0</v>
      </c>
      <c r="P1172" s="3" t="s">
        <v>3078</v>
      </c>
      <c r="Q1172" s="3">
        <v>949199.0</v>
      </c>
      <c r="R1172" s="3"/>
      <c r="S1172" s="3">
        <v>11380.5</v>
      </c>
      <c r="T1172" s="3" t="s">
        <v>1002</v>
      </c>
      <c r="U1172" s="3">
        <v>11380.5</v>
      </c>
      <c r="V1172" s="5">
        <f>(DATE(2026,2,3)-'RICE_Insured Farms_with PPI Pol'!$G1172)+IF('RICE_Insured Farms_with PPI Pol'!$H1172&lt;&gt;'RICE_Insured Farms_with PPI Pol'!$G1172,18,0)</f>
        <v>68</v>
      </c>
      <c r="W1172" s="3" t="str">
        <f t="array" ref="W1172">IFS(V1172&gt;120, "Harvested", V1172&gt;=113, "Yellow Ripening", V1172&gt;=101, "Dough Stage", V1172&gt;=93, "Milking Stage", V1172&gt;=86, "Flowering", V1172&gt;=56, "Panicle Initiation/Booting", V1172&lt;56, "Vegetative/Tillering")</f>
        <v>Panicle Initiation/Booting</v>
      </c>
    </row>
    <row r="1173" ht="15.75" hidden="1" customHeight="1">
      <c r="A1173" s="3">
        <v>1172.0</v>
      </c>
      <c r="B1173" s="3" t="s">
        <v>23</v>
      </c>
      <c r="C1173" s="3" t="s">
        <v>24</v>
      </c>
      <c r="D1173" s="3" t="s">
        <v>25</v>
      </c>
      <c r="E1173" s="3" t="s">
        <v>1164</v>
      </c>
      <c r="F1173" s="3">
        <v>1761010.0</v>
      </c>
      <c r="G1173" s="4">
        <v>46020.0</v>
      </c>
      <c r="H1173" s="4">
        <v>46130.0</v>
      </c>
      <c r="I1173" s="3" t="s">
        <v>2239</v>
      </c>
      <c r="J1173" s="3" t="s">
        <v>1332</v>
      </c>
      <c r="K1173" s="3" t="s">
        <v>2388</v>
      </c>
      <c r="L1173" s="3">
        <v>0.6357</v>
      </c>
      <c r="M1173" s="3">
        <v>15892.5</v>
      </c>
      <c r="N1173" s="3">
        <v>2.0</v>
      </c>
      <c r="O1173" s="3">
        <v>371326.0</v>
      </c>
      <c r="P1173" s="3" t="s">
        <v>3079</v>
      </c>
      <c r="Q1173" s="3">
        <v>1225584.0</v>
      </c>
      <c r="R1173" s="3"/>
      <c r="S1173" s="3">
        <v>11124.75</v>
      </c>
      <c r="T1173" s="3" t="s">
        <v>31</v>
      </c>
      <c r="U1173" s="3">
        <v>11124.75</v>
      </c>
      <c r="V1173" s="5">
        <f>(DATE(2026,2,3)-'RICE_Insured Farms_with PPI Pol'!$G1173)+IF('RICE_Insured Farms_with PPI Pol'!$H1173&lt;&gt;'RICE_Insured Farms_with PPI Pol'!$G1173,18,0)</f>
        <v>54</v>
      </c>
      <c r="W1173" s="3" t="str">
        <f t="array" ref="W1173">IFS(V1173&gt;120, "Harvested", V1173&gt;=113, "Yellow Ripening", V1173&gt;=101, "Dough Stage", V1173&gt;=93, "Milking Stage", V1173&gt;=86, "Flowering", V1173&gt;=56, "Panicle Initiation/Booting", V1173&lt;56, "Vegetative/Tillering")</f>
        <v>Vegetative/Tillering</v>
      </c>
    </row>
    <row r="1174" ht="15.75" hidden="1" customHeight="1">
      <c r="A1174" s="3">
        <v>457.0</v>
      </c>
      <c r="B1174" s="3" t="s">
        <v>23</v>
      </c>
      <c r="C1174" s="3" t="s">
        <v>50</v>
      </c>
      <c r="D1174" s="3" t="s">
        <v>1484</v>
      </c>
      <c r="E1174" s="3" t="s">
        <v>1485</v>
      </c>
      <c r="F1174" s="3">
        <v>1741845.0</v>
      </c>
      <c r="G1174" s="4">
        <v>46016.0</v>
      </c>
      <c r="H1174" s="4">
        <v>46111.0</v>
      </c>
      <c r="I1174" s="3" t="s">
        <v>1486</v>
      </c>
      <c r="J1174" s="3" t="s">
        <v>226</v>
      </c>
      <c r="K1174" s="3" t="s">
        <v>3080</v>
      </c>
      <c r="L1174" s="3">
        <v>0.7112</v>
      </c>
      <c r="M1174" s="3">
        <v>17780.0</v>
      </c>
      <c r="N1174" s="3">
        <v>4.0</v>
      </c>
      <c r="O1174" s="3">
        <v>34197.0</v>
      </c>
      <c r="P1174" s="3" t="s">
        <v>3081</v>
      </c>
      <c r="Q1174" s="3">
        <v>1279734.0</v>
      </c>
      <c r="R1174" s="3"/>
      <c r="S1174" s="3">
        <v>14224.0</v>
      </c>
      <c r="T1174" s="3" t="s">
        <v>56</v>
      </c>
      <c r="U1174" s="3">
        <v>14224.0</v>
      </c>
      <c r="V1174" s="5">
        <f>(DATE(2026,2,3)-'RICE_Insured Farms_with PPI Pol'!$G1174)+IF('RICE_Insured Farms_with PPI Pol'!$H1174&lt;&gt;'RICE_Insured Farms_with PPI Pol'!$G1174,18,0)</f>
        <v>58</v>
      </c>
      <c r="W1174" s="3" t="str">
        <f t="array" ref="W1174">IFS(V1174&gt;120, "Harvested", V1174&gt;=113, "Yellow Ripening", V1174&gt;=101, "Dough Stage", V1174&gt;=93, "Milking Stage", V1174&gt;=86, "Flowering", V1174&gt;=56, "Panicle Initiation/Booting", V1174&lt;56, "Vegetative/Tillering")</f>
        <v>Panicle Initiation/Booting</v>
      </c>
    </row>
    <row r="1175" ht="15.75" customHeight="1">
      <c r="A1175" s="3">
        <v>1174.0</v>
      </c>
      <c r="B1175" s="3" t="s">
        <v>23</v>
      </c>
      <c r="C1175" s="3" t="s">
        <v>50</v>
      </c>
      <c r="D1175" s="3" t="s">
        <v>51</v>
      </c>
      <c r="E1175" s="3" t="s">
        <v>321</v>
      </c>
      <c r="F1175" s="3">
        <v>1741851.0</v>
      </c>
      <c r="G1175" s="4">
        <v>46027.0</v>
      </c>
      <c r="H1175" s="4">
        <v>46122.0</v>
      </c>
      <c r="I1175" s="3" t="s">
        <v>3082</v>
      </c>
      <c r="J1175" s="3" t="s">
        <v>2119</v>
      </c>
      <c r="K1175" s="3" t="s">
        <v>3083</v>
      </c>
      <c r="L1175" s="3">
        <v>0.7131</v>
      </c>
      <c r="M1175" s="3">
        <v>17827.5</v>
      </c>
      <c r="N1175" s="3">
        <v>3.0</v>
      </c>
      <c r="O1175" s="3">
        <v>87063.0</v>
      </c>
      <c r="P1175" s="3" t="s">
        <v>3084</v>
      </c>
      <c r="Q1175" s="3">
        <v>1294770.0</v>
      </c>
      <c r="R1175" s="3"/>
      <c r="S1175" s="3">
        <v>14262.0</v>
      </c>
      <c r="T1175" s="3" t="s">
        <v>37</v>
      </c>
      <c r="U1175" s="3">
        <v>14262.0</v>
      </c>
      <c r="V1175" s="5">
        <f>(DATE(2026,2,3)-'RICE_Insured Farms_with PPI Pol'!$G1175)+IF('RICE_Insured Farms_with PPI Pol'!$H1175&lt;&gt;'RICE_Insured Farms_with PPI Pol'!$G1175,18,0)</f>
        <v>47</v>
      </c>
      <c r="W1175" s="3" t="str">
        <f t="array" ref="W1175">IFS(V1175&gt;120, "Harvested", V1175&gt;=113, "Yellow Ripening", V1175&gt;=101, "Dough Stage", V1175&gt;=93, "Milking Stage", V1175&gt;=86, "Flowering", V1175&gt;=56, "Panicle Initiation/Booting", V1175&lt;56, "Vegetative/Tillering")</f>
        <v>Vegetative/Tillering</v>
      </c>
    </row>
    <row r="1176" ht="15.75" hidden="1" customHeight="1">
      <c r="A1176" s="3">
        <v>1175.0</v>
      </c>
      <c r="B1176" s="3" t="s">
        <v>23</v>
      </c>
      <c r="C1176" s="3" t="s">
        <v>24</v>
      </c>
      <c r="D1176" s="3" t="s">
        <v>25</v>
      </c>
      <c r="E1176" s="3" t="s">
        <v>1164</v>
      </c>
      <c r="F1176" s="3">
        <v>1761033.0</v>
      </c>
      <c r="G1176" s="4">
        <v>46035.0</v>
      </c>
      <c r="H1176" s="4">
        <v>46129.0</v>
      </c>
      <c r="I1176" s="3" t="s">
        <v>3085</v>
      </c>
      <c r="J1176" s="3" t="s">
        <v>3086</v>
      </c>
      <c r="K1176" s="3" t="s">
        <v>3087</v>
      </c>
      <c r="L1176" s="3">
        <v>1.8181</v>
      </c>
      <c r="M1176" s="3">
        <v>45452.5</v>
      </c>
      <c r="N1176" s="3">
        <v>2.0</v>
      </c>
      <c r="O1176" s="3">
        <v>392583.0</v>
      </c>
      <c r="P1176" s="3" t="s">
        <v>3088</v>
      </c>
      <c r="Q1176" s="3">
        <v>1153573.0</v>
      </c>
      <c r="R1176" s="3"/>
      <c r="S1176" s="3">
        <v>31816.75</v>
      </c>
      <c r="T1176" s="3" t="s">
        <v>31</v>
      </c>
      <c r="U1176" s="3">
        <v>31816.75</v>
      </c>
      <c r="V1176" s="5">
        <f>(DATE(2026,2,3)-'RICE_Insured Farms_with PPI Pol'!$G1176)+IF('RICE_Insured Farms_with PPI Pol'!$H1176&lt;&gt;'RICE_Insured Farms_with PPI Pol'!$G1176,18,0)</f>
        <v>39</v>
      </c>
      <c r="W1176" s="3" t="str">
        <f t="array" ref="W1176">IFS(V1176&gt;120, "Harvested", V1176&gt;=113, "Yellow Ripening", V1176&gt;=101, "Dough Stage", V1176&gt;=93, "Milking Stage", V1176&gt;=86, "Flowering", V1176&gt;=56, "Panicle Initiation/Booting", V1176&lt;56, "Vegetative/Tillering")</f>
        <v>Vegetative/Tillering</v>
      </c>
    </row>
    <row r="1177" ht="15.75" hidden="1" customHeight="1">
      <c r="A1177" s="3">
        <v>1176.0</v>
      </c>
      <c r="B1177" s="3" t="s">
        <v>23</v>
      </c>
      <c r="C1177" s="3" t="s">
        <v>68</v>
      </c>
      <c r="D1177" s="3" t="s">
        <v>289</v>
      </c>
      <c r="E1177" s="3" t="s">
        <v>290</v>
      </c>
      <c r="F1177" s="3">
        <v>1760037.0</v>
      </c>
      <c r="G1177" s="4">
        <v>46035.0</v>
      </c>
      <c r="H1177" s="4">
        <v>46137.0</v>
      </c>
      <c r="I1177" s="3" t="s">
        <v>342</v>
      </c>
      <c r="J1177" s="3" t="s">
        <v>3089</v>
      </c>
      <c r="K1177" s="3" t="s">
        <v>3090</v>
      </c>
      <c r="L1177" s="3">
        <v>1.1213</v>
      </c>
      <c r="M1177" s="3">
        <v>28032.5</v>
      </c>
      <c r="N1177" s="3">
        <v>2.0</v>
      </c>
      <c r="O1177" s="3">
        <v>195362.0</v>
      </c>
      <c r="P1177" s="3" t="s">
        <v>3091</v>
      </c>
      <c r="Q1177" s="3">
        <v>1280412.0</v>
      </c>
      <c r="R1177" s="3"/>
      <c r="S1177" s="3">
        <v>19622.75</v>
      </c>
      <c r="T1177" s="3" t="s">
        <v>31</v>
      </c>
      <c r="U1177" s="3">
        <v>19622.75</v>
      </c>
      <c r="V1177" s="5">
        <f>(DATE(2026,2,3)-'RICE_Insured Farms_with PPI Pol'!$G1177)+IF('RICE_Insured Farms_with PPI Pol'!$H1177&lt;&gt;'RICE_Insured Farms_with PPI Pol'!$G1177,18,0)</f>
        <v>39</v>
      </c>
      <c r="W1177" s="3" t="str">
        <f t="array" ref="W1177">IFS(V1177&gt;120, "Harvested", V1177&gt;=113, "Yellow Ripening", V1177&gt;=101, "Dough Stage", V1177&gt;=93, "Milking Stage", V1177&gt;=86, "Flowering", V1177&gt;=56, "Panicle Initiation/Booting", V1177&lt;56, "Vegetative/Tillering")</f>
        <v>Vegetative/Tillering</v>
      </c>
    </row>
    <row r="1178" ht="15.75" customHeight="1">
      <c r="A1178" s="3">
        <v>1177.0</v>
      </c>
      <c r="B1178" s="3" t="s">
        <v>23</v>
      </c>
      <c r="C1178" s="3" t="s">
        <v>68</v>
      </c>
      <c r="D1178" s="3" t="s">
        <v>289</v>
      </c>
      <c r="E1178" s="3" t="s">
        <v>743</v>
      </c>
      <c r="F1178" s="3">
        <v>1760014.0</v>
      </c>
      <c r="G1178" s="4">
        <v>46017.0</v>
      </c>
      <c r="H1178" s="4">
        <v>46119.0</v>
      </c>
      <c r="I1178" s="3" t="s">
        <v>3092</v>
      </c>
      <c r="J1178" s="3" t="s">
        <v>1128</v>
      </c>
      <c r="K1178" s="3" t="s">
        <v>3093</v>
      </c>
      <c r="L1178" s="3">
        <v>1.1695</v>
      </c>
      <c r="M1178" s="3">
        <v>29237.5</v>
      </c>
      <c r="N1178" s="3">
        <v>3.0</v>
      </c>
      <c r="O1178" s="3">
        <v>49640.0</v>
      </c>
      <c r="P1178" s="3" t="s">
        <v>3094</v>
      </c>
      <c r="Q1178" s="3">
        <v>1190136.0</v>
      </c>
      <c r="R1178" s="3"/>
      <c r="S1178" s="3">
        <v>23390.0</v>
      </c>
      <c r="T1178" s="3" t="s">
        <v>37</v>
      </c>
      <c r="U1178" s="3">
        <v>23390.0</v>
      </c>
      <c r="V1178" s="5">
        <f>(DATE(2026,2,3)-'RICE_Insured Farms_with PPI Pol'!$G1178)+IF('RICE_Insured Farms_with PPI Pol'!$H1178&lt;&gt;'RICE_Insured Farms_with PPI Pol'!$G1178,18,0)</f>
        <v>57</v>
      </c>
      <c r="W1178" s="3" t="str">
        <f t="array" ref="W1178">IFS(V1178&gt;120, "Harvested", V1178&gt;=113, "Yellow Ripening", V1178&gt;=101, "Dough Stage", V1178&gt;=93, "Milking Stage", V1178&gt;=86, "Flowering", V1178&gt;=56, "Panicle Initiation/Booting", V1178&lt;56, "Vegetative/Tillering")</f>
        <v>Panicle Initiation/Booting</v>
      </c>
    </row>
    <row r="1179" ht="15.75" hidden="1" customHeight="1">
      <c r="A1179" s="3">
        <v>1178.0</v>
      </c>
      <c r="B1179" s="3" t="s">
        <v>23</v>
      </c>
      <c r="C1179" s="3" t="s">
        <v>68</v>
      </c>
      <c r="D1179" s="3" t="s">
        <v>289</v>
      </c>
      <c r="E1179" s="3" t="s">
        <v>743</v>
      </c>
      <c r="F1179" s="3">
        <v>1760014.0</v>
      </c>
      <c r="G1179" s="4">
        <v>46032.0</v>
      </c>
      <c r="H1179" s="4">
        <v>46134.0</v>
      </c>
      <c r="I1179" s="3" t="s">
        <v>3092</v>
      </c>
      <c r="J1179" s="3" t="s">
        <v>226</v>
      </c>
      <c r="K1179" s="3" t="s">
        <v>3095</v>
      </c>
      <c r="L1179" s="3">
        <v>0.6042</v>
      </c>
      <c r="M1179" s="3">
        <v>15105.0</v>
      </c>
      <c r="N1179" s="3">
        <v>2.0</v>
      </c>
      <c r="O1179" s="3">
        <v>49982.0</v>
      </c>
      <c r="P1179" s="3" t="s">
        <v>3096</v>
      </c>
      <c r="Q1179" s="3">
        <v>1320187.0</v>
      </c>
      <c r="R1179" s="3"/>
      <c r="S1179" s="3">
        <v>10573.5</v>
      </c>
      <c r="T1179" s="3" t="s">
        <v>31</v>
      </c>
      <c r="U1179" s="3">
        <v>10573.5</v>
      </c>
      <c r="V1179" s="5">
        <f>(DATE(2026,2,3)-'RICE_Insured Farms_with PPI Pol'!$G1179)+IF('RICE_Insured Farms_with PPI Pol'!$H1179&lt;&gt;'RICE_Insured Farms_with PPI Pol'!$G1179,18,0)</f>
        <v>42</v>
      </c>
      <c r="W1179" s="3" t="str">
        <f t="array" ref="W1179">IFS(V1179&gt;120, "Harvested", V1179&gt;=113, "Yellow Ripening", V1179&gt;=101, "Dough Stage", V1179&gt;=93, "Milking Stage", V1179&gt;=86, "Flowering", V1179&gt;=56, "Panicle Initiation/Booting", V1179&lt;56, "Vegetative/Tillering")</f>
        <v>Vegetative/Tillering</v>
      </c>
    </row>
    <row r="1180" ht="15.75" hidden="1" customHeight="1">
      <c r="A1180" s="3">
        <v>1179.0</v>
      </c>
      <c r="B1180" s="3" t="s">
        <v>23</v>
      </c>
      <c r="C1180" s="3" t="s">
        <v>68</v>
      </c>
      <c r="D1180" s="3" t="s">
        <v>69</v>
      </c>
      <c r="E1180" s="3" t="s">
        <v>184</v>
      </c>
      <c r="F1180" s="3">
        <v>1739654.0</v>
      </c>
      <c r="G1180" s="4">
        <v>46026.0</v>
      </c>
      <c r="H1180" s="4">
        <v>46128.0</v>
      </c>
      <c r="I1180" s="3" t="s">
        <v>3097</v>
      </c>
      <c r="J1180" s="3" t="s">
        <v>3098</v>
      </c>
      <c r="K1180" s="3" t="s">
        <v>1154</v>
      </c>
      <c r="L1180" s="3">
        <v>1.0586</v>
      </c>
      <c r="M1180" s="3">
        <v>26465.0</v>
      </c>
      <c r="N1180" s="3">
        <v>2.0</v>
      </c>
      <c r="O1180" s="3">
        <v>358603.0</v>
      </c>
      <c r="P1180" s="3" t="s">
        <v>3099</v>
      </c>
      <c r="Q1180" s="3">
        <v>1137923.0</v>
      </c>
      <c r="R1180" s="3"/>
      <c r="S1180" s="3">
        <v>18525.5</v>
      </c>
      <c r="T1180" s="3" t="s">
        <v>31</v>
      </c>
      <c r="U1180" s="3">
        <v>18525.5</v>
      </c>
      <c r="V1180" s="5">
        <f>(DATE(2026,2,3)-'RICE_Insured Farms_with PPI Pol'!$G1180)+IF('RICE_Insured Farms_with PPI Pol'!$H1180&lt;&gt;'RICE_Insured Farms_with PPI Pol'!$G1180,18,0)</f>
        <v>48</v>
      </c>
      <c r="W1180" s="3" t="str">
        <f t="array" ref="W1180">IFS(V1180&gt;120, "Harvested", V1180&gt;=113, "Yellow Ripening", V1180&gt;=101, "Dough Stage", V1180&gt;=93, "Milking Stage", V1180&gt;=86, "Flowering", V1180&gt;=56, "Panicle Initiation/Booting", V1180&lt;56, "Vegetative/Tillering")</f>
        <v>Vegetative/Tillering</v>
      </c>
    </row>
    <row r="1181" ht="15.75" hidden="1" customHeight="1">
      <c r="A1181" s="3">
        <v>1180.0</v>
      </c>
      <c r="B1181" s="3" t="s">
        <v>23</v>
      </c>
      <c r="C1181" s="3" t="s">
        <v>68</v>
      </c>
      <c r="D1181" s="3" t="s">
        <v>1208</v>
      </c>
      <c r="E1181" s="3" t="s">
        <v>2767</v>
      </c>
      <c r="F1181" s="3">
        <v>1742123.0</v>
      </c>
      <c r="G1181" s="4">
        <v>46040.0</v>
      </c>
      <c r="H1181" s="4">
        <v>46142.0</v>
      </c>
      <c r="I1181" s="3" t="s">
        <v>3100</v>
      </c>
      <c r="J1181" s="3" t="s">
        <v>3101</v>
      </c>
      <c r="K1181" s="3" t="s">
        <v>3102</v>
      </c>
      <c r="L1181" s="3">
        <v>1.0864</v>
      </c>
      <c r="M1181" s="3">
        <v>27160.0</v>
      </c>
      <c r="N1181" s="3">
        <v>2.0</v>
      </c>
      <c r="O1181" s="3">
        <v>29204.0</v>
      </c>
      <c r="P1181" s="3" t="s">
        <v>3103</v>
      </c>
      <c r="Q1181" s="3">
        <v>1150594.0</v>
      </c>
      <c r="R1181" s="3"/>
      <c r="S1181" s="3">
        <v>19012.0</v>
      </c>
      <c r="T1181" s="3" t="s">
        <v>31</v>
      </c>
      <c r="U1181" s="3">
        <v>19012.0</v>
      </c>
      <c r="V1181" s="5">
        <f>(DATE(2026,2,3)-'RICE_Insured Farms_with PPI Pol'!$G1181)+IF('RICE_Insured Farms_with PPI Pol'!$H1181&lt;&gt;'RICE_Insured Farms_with PPI Pol'!$G1181,18,0)</f>
        <v>34</v>
      </c>
      <c r="W1181" s="3" t="str">
        <f t="array" ref="W1181">IFS(V1181&gt;120, "Harvested", V1181&gt;=113, "Yellow Ripening", V1181&gt;=101, "Dough Stage", V1181&gt;=93, "Milking Stage", V1181&gt;=86, "Flowering", V1181&gt;=56, "Panicle Initiation/Booting", V1181&lt;56, "Vegetative/Tillering")</f>
        <v>Vegetative/Tillering</v>
      </c>
    </row>
    <row r="1182" ht="15.75" hidden="1" customHeight="1">
      <c r="A1182" s="3">
        <v>831.0</v>
      </c>
      <c r="B1182" s="3" t="s">
        <v>23</v>
      </c>
      <c r="C1182" s="3" t="s">
        <v>50</v>
      </c>
      <c r="D1182" s="3" t="s">
        <v>1484</v>
      </c>
      <c r="E1182" s="3" t="s">
        <v>1485</v>
      </c>
      <c r="F1182" s="3">
        <v>1741845.0</v>
      </c>
      <c r="G1182" s="4">
        <v>46013.0</v>
      </c>
      <c r="H1182" s="4">
        <v>46108.0</v>
      </c>
      <c r="I1182" s="3" t="s">
        <v>2357</v>
      </c>
      <c r="J1182" s="3" t="s">
        <v>423</v>
      </c>
      <c r="K1182" s="3" t="s">
        <v>2359</v>
      </c>
      <c r="L1182" s="3">
        <v>0.8357</v>
      </c>
      <c r="M1182" s="3">
        <v>20892.5</v>
      </c>
      <c r="N1182" s="3">
        <v>4.0</v>
      </c>
      <c r="O1182" s="3">
        <v>416582.0</v>
      </c>
      <c r="P1182" s="3" t="s">
        <v>3104</v>
      </c>
      <c r="Q1182" s="3">
        <v>1280763.0</v>
      </c>
      <c r="R1182" s="3"/>
      <c r="S1182" s="3">
        <v>16714.0</v>
      </c>
      <c r="T1182" s="3" t="s">
        <v>56</v>
      </c>
      <c r="U1182" s="3">
        <v>16714.0</v>
      </c>
      <c r="V1182" s="5">
        <f>(DATE(2026,2,3)-'RICE_Insured Farms_with PPI Pol'!$G1182)+IF('RICE_Insured Farms_with PPI Pol'!$H1182&lt;&gt;'RICE_Insured Farms_with PPI Pol'!$G1182,18,0)</f>
        <v>61</v>
      </c>
      <c r="W1182" s="3" t="str">
        <f t="array" ref="W1182">IFS(V1182&gt;120, "Harvested", V1182&gt;=113, "Yellow Ripening", V1182&gt;=101, "Dough Stage", V1182&gt;=93, "Milking Stage", V1182&gt;=86, "Flowering", V1182&gt;=56, "Panicle Initiation/Booting", V1182&lt;56, "Vegetative/Tillering")</f>
        <v>Panicle Initiation/Booting</v>
      </c>
    </row>
    <row r="1183" ht="15.75" hidden="1" customHeight="1">
      <c r="A1183" s="3">
        <v>1182.0</v>
      </c>
      <c r="B1183" s="3" t="s">
        <v>23</v>
      </c>
      <c r="C1183" s="3" t="s">
        <v>50</v>
      </c>
      <c r="D1183" s="3" t="s">
        <v>51</v>
      </c>
      <c r="E1183" s="3" t="s">
        <v>52</v>
      </c>
      <c r="F1183" s="3">
        <v>1741852.0</v>
      </c>
      <c r="G1183" s="4">
        <v>46043.0</v>
      </c>
      <c r="H1183" s="4">
        <v>46148.0</v>
      </c>
      <c r="I1183" s="3" t="s">
        <v>3105</v>
      </c>
      <c r="J1183" s="3" t="s">
        <v>3106</v>
      </c>
      <c r="K1183" s="3" t="s">
        <v>3107</v>
      </c>
      <c r="L1183" s="3">
        <v>0.4332</v>
      </c>
      <c r="M1183" s="3">
        <v>10830.0</v>
      </c>
      <c r="N1183" s="3">
        <v>1.0</v>
      </c>
      <c r="O1183" s="3">
        <v>57857.0</v>
      </c>
      <c r="P1183" s="3"/>
      <c r="Q1183" s="3">
        <v>1279403.0</v>
      </c>
      <c r="R1183" s="3"/>
      <c r="S1183" s="3">
        <v>6498.0</v>
      </c>
      <c r="T1183" s="3" t="s">
        <v>62</v>
      </c>
      <c r="U1183" s="3">
        <v>6498.0</v>
      </c>
      <c r="V1183" s="5">
        <f>(DATE(2026,2,3)-'RICE_Insured Farms_with PPI Pol'!$G1183)+IF('RICE_Insured Farms_with PPI Pol'!$H1183&lt;&gt;'RICE_Insured Farms_with PPI Pol'!$G1183,18,0)</f>
        <v>31</v>
      </c>
      <c r="W1183" s="3" t="str">
        <f t="array" ref="W1183">IFS(V1183&gt;120, "Harvested", V1183&gt;=113, "Yellow Ripening", V1183&gt;=101, "Dough Stage", V1183&gt;=93, "Milking Stage", V1183&gt;=86, "Flowering", V1183&gt;=56, "Panicle Initiation/Booting", V1183&lt;56, "Vegetative/Tillering")</f>
        <v>Vegetative/Tillering</v>
      </c>
    </row>
    <row r="1184" ht="15.75" hidden="1" customHeight="1">
      <c r="A1184" s="3">
        <v>1055.0</v>
      </c>
      <c r="B1184" s="3" t="s">
        <v>23</v>
      </c>
      <c r="C1184" s="3" t="s">
        <v>50</v>
      </c>
      <c r="D1184" s="3" t="s">
        <v>1484</v>
      </c>
      <c r="E1184" s="3" t="s">
        <v>1485</v>
      </c>
      <c r="F1184" s="3">
        <v>1741846.0</v>
      </c>
      <c r="G1184" s="4">
        <v>46014.0</v>
      </c>
      <c r="H1184" s="4">
        <v>46109.0</v>
      </c>
      <c r="I1184" s="3" t="s">
        <v>3108</v>
      </c>
      <c r="J1184" s="3" t="s">
        <v>3109</v>
      </c>
      <c r="K1184" s="3" t="s">
        <v>873</v>
      </c>
      <c r="L1184" s="3">
        <v>1.2477</v>
      </c>
      <c r="M1184" s="3">
        <v>31192.5</v>
      </c>
      <c r="N1184" s="3">
        <v>4.0</v>
      </c>
      <c r="O1184" s="3">
        <v>372110.0</v>
      </c>
      <c r="P1184" s="3"/>
      <c r="Q1184" s="3">
        <v>1137541.0</v>
      </c>
      <c r="R1184" s="3"/>
      <c r="S1184" s="3">
        <v>24954.0</v>
      </c>
      <c r="T1184" s="3" t="s">
        <v>56</v>
      </c>
      <c r="U1184" s="3">
        <v>24954.0</v>
      </c>
      <c r="V1184" s="5">
        <f>(DATE(2026,2,3)-'RICE_Insured Farms_with PPI Pol'!$G1184)+IF('RICE_Insured Farms_with PPI Pol'!$H1184&lt;&gt;'RICE_Insured Farms_with PPI Pol'!$G1184,18,0)</f>
        <v>60</v>
      </c>
      <c r="W1184" s="3" t="str">
        <f t="array" ref="W1184">IFS(V1184&gt;120, "Harvested", V1184&gt;=113, "Yellow Ripening", V1184&gt;=101, "Dough Stage", V1184&gt;=93, "Milking Stage", V1184&gt;=86, "Flowering", V1184&gt;=56, "Panicle Initiation/Booting", V1184&lt;56, "Vegetative/Tillering")</f>
        <v>Panicle Initiation/Booting</v>
      </c>
    </row>
    <row r="1185" ht="15.75" hidden="1" customHeight="1">
      <c r="A1185" s="3">
        <v>1184.0</v>
      </c>
      <c r="B1185" s="3" t="s">
        <v>23</v>
      </c>
      <c r="C1185" s="3" t="s">
        <v>24</v>
      </c>
      <c r="D1185" s="3" t="s">
        <v>25</v>
      </c>
      <c r="E1185" s="3" t="s">
        <v>1164</v>
      </c>
      <c r="F1185" s="3">
        <v>1761008.0</v>
      </c>
      <c r="G1185" s="4">
        <v>46018.0</v>
      </c>
      <c r="H1185" s="4">
        <v>46138.0</v>
      </c>
      <c r="I1185" s="3" t="s">
        <v>3110</v>
      </c>
      <c r="J1185" s="3" t="s">
        <v>3111</v>
      </c>
      <c r="K1185" s="3" t="s">
        <v>2213</v>
      </c>
      <c r="L1185" s="3">
        <v>1.8089</v>
      </c>
      <c r="M1185" s="3">
        <v>45222.5</v>
      </c>
      <c r="N1185" s="3">
        <v>2.0</v>
      </c>
      <c r="O1185" s="3">
        <v>135479.0</v>
      </c>
      <c r="P1185" s="3" t="s">
        <v>3112</v>
      </c>
      <c r="Q1185" s="3">
        <v>1276155.0</v>
      </c>
      <c r="R1185" s="3"/>
      <c r="S1185" s="3">
        <v>31655.75</v>
      </c>
      <c r="T1185" s="3" t="s">
        <v>31</v>
      </c>
      <c r="U1185" s="3">
        <v>31655.75</v>
      </c>
      <c r="V1185" s="5">
        <f>(DATE(2026,2,3)-'RICE_Insured Farms_with PPI Pol'!$G1185)+IF('RICE_Insured Farms_with PPI Pol'!$H1185&lt;&gt;'RICE_Insured Farms_with PPI Pol'!$G1185,18,0)</f>
        <v>56</v>
      </c>
      <c r="W1185" s="3" t="str">
        <f t="array" ref="W1185">IFS(V1185&gt;120, "Harvested", V1185&gt;=113, "Yellow Ripening", V1185&gt;=101, "Dough Stage", V1185&gt;=93, "Milking Stage", V1185&gt;=86, "Flowering", V1185&gt;=56, "Panicle Initiation/Booting", V1185&lt;56, "Vegetative/Tillering")</f>
        <v>Panicle Initiation/Booting</v>
      </c>
    </row>
    <row r="1186" ht="15.75" customHeight="1">
      <c r="A1186" s="3">
        <v>1185.0</v>
      </c>
      <c r="B1186" s="3" t="s">
        <v>23</v>
      </c>
      <c r="C1186" s="3" t="s">
        <v>24</v>
      </c>
      <c r="D1186" s="3" t="s">
        <v>25</v>
      </c>
      <c r="E1186" s="3" t="s">
        <v>1164</v>
      </c>
      <c r="F1186" s="3">
        <v>1761008.0</v>
      </c>
      <c r="G1186" s="4">
        <v>46018.0</v>
      </c>
      <c r="H1186" s="4">
        <v>46118.0</v>
      </c>
      <c r="I1186" s="3" t="s">
        <v>3110</v>
      </c>
      <c r="J1186" s="3" t="s">
        <v>3113</v>
      </c>
      <c r="K1186" s="3" t="s">
        <v>3114</v>
      </c>
      <c r="L1186" s="3">
        <v>1.2029</v>
      </c>
      <c r="M1186" s="3">
        <v>30072.5</v>
      </c>
      <c r="N1186" s="3">
        <v>3.0</v>
      </c>
      <c r="O1186" s="3">
        <v>329380.0</v>
      </c>
      <c r="P1186" s="3" t="s">
        <v>3115</v>
      </c>
      <c r="Q1186" s="3">
        <v>1329154.0</v>
      </c>
      <c r="R1186" s="3"/>
      <c r="S1186" s="3">
        <v>24058.0</v>
      </c>
      <c r="T1186" s="3" t="s">
        <v>37</v>
      </c>
      <c r="U1186" s="3">
        <v>24058.0</v>
      </c>
      <c r="V1186" s="5">
        <f>(DATE(2026,2,3)-'RICE_Insured Farms_with PPI Pol'!$G1186)+IF('RICE_Insured Farms_with PPI Pol'!$H1186&lt;&gt;'RICE_Insured Farms_with PPI Pol'!$G1186,18,0)</f>
        <v>56</v>
      </c>
      <c r="W1186" s="3" t="str">
        <f t="array" ref="W1186">IFS(V1186&gt;120, "Harvested", V1186&gt;=113, "Yellow Ripening", V1186&gt;=101, "Dough Stage", V1186&gt;=93, "Milking Stage", V1186&gt;=86, "Flowering", V1186&gt;=56, "Panicle Initiation/Booting", V1186&lt;56, "Vegetative/Tillering")</f>
        <v>Panicle Initiation/Booting</v>
      </c>
    </row>
    <row r="1187" ht="15.75" hidden="1" customHeight="1">
      <c r="A1187" s="3">
        <v>1186.0</v>
      </c>
      <c r="B1187" s="3" t="s">
        <v>23</v>
      </c>
      <c r="C1187" s="3" t="s">
        <v>24</v>
      </c>
      <c r="D1187" s="3" t="s">
        <v>25</v>
      </c>
      <c r="E1187" s="3" t="s">
        <v>1164</v>
      </c>
      <c r="F1187" s="3">
        <v>1761008.0</v>
      </c>
      <c r="G1187" s="4">
        <v>46019.0</v>
      </c>
      <c r="H1187" s="4">
        <v>46139.0</v>
      </c>
      <c r="I1187" s="3" t="s">
        <v>3110</v>
      </c>
      <c r="J1187" s="3" t="s">
        <v>249</v>
      </c>
      <c r="K1187" s="3" t="s">
        <v>3114</v>
      </c>
      <c r="L1187" s="3">
        <v>1.87</v>
      </c>
      <c r="M1187" s="3">
        <v>46750.0</v>
      </c>
      <c r="N1187" s="3">
        <v>2.0</v>
      </c>
      <c r="O1187" s="3">
        <v>142995.0</v>
      </c>
      <c r="P1187" s="3" t="s">
        <v>3116</v>
      </c>
      <c r="Q1187" s="3">
        <v>1146325.0</v>
      </c>
      <c r="R1187" s="3"/>
      <c r="S1187" s="3">
        <v>32725.0</v>
      </c>
      <c r="T1187" s="3" t="s">
        <v>31</v>
      </c>
      <c r="U1187" s="3">
        <v>32725.0</v>
      </c>
      <c r="V1187" s="5">
        <f>(DATE(2026,2,3)-'RICE_Insured Farms_with PPI Pol'!$G1187)+IF('RICE_Insured Farms_with PPI Pol'!$H1187&lt;&gt;'RICE_Insured Farms_with PPI Pol'!$G1187,18,0)</f>
        <v>55</v>
      </c>
      <c r="W1187" s="3" t="str">
        <f t="array" ref="W1187">IFS(V1187&gt;120, "Harvested", V1187&gt;=113, "Yellow Ripening", V1187&gt;=101, "Dough Stage", V1187&gt;=93, "Milking Stage", V1187&gt;=86, "Flowering", V1187&gt;=56, "Panicle Initiation/Booting", V1187&lt;56, "Vegetative/Tillering")</f>
        <v>Vegetative/Tillering</v>
      </c>
    </row>
    <row r="1188" ht="15.75" hidden="1" customHeight="1">
      <c r="A1188" s="3">
        <v>123.0</v>
      </c>
      <c r="B1188" s="3" t="s">
        <v>23</v>
      </c>
      <c r="C1188" s="3" t="s">
        <v>68</v>
      </c>
      <c r="D1188" s="3" t="s">
        <v>262</v>
      </c>
      <c r="E1188" s="3" t="s">
        <v>273</v>
      </c>
      <c r="F1188" s="3">
        <v>1739582.0</v>
      </c>
      <c r="G1188" s="4">
        <v>46009.0</v>
      </c>
      <c r="H1188" s="4">
        <v>46111.0</v>
      </c>
      <c r="I1188" s="3" t="s">
        <v>1051</v>
      </c>
      <c r="J1188" s="3" t="s">
        <v>3117</v>
      </c>
      <c r="K1188" s="3" t="s">
        <v>274</v>
      </c>
      <c r="L1188" s="3">
        <v>1.5</v>
      </c>
      <c r="M1188" s="3">
        <v>37500.0</v>
      </c>
      <c r="N1188" s="3">
        <v>4.0</v>
      </c>
      <c r="O1188" s="3">
        <v>148931.0</v>
      </c>
      <c r="P1188" s="3" t="s">
        <v>3118</v>
      </c>
      <c r="Q1188" s="3">
        <v>1029429.0</v>
      </c>
      <c r="R1188" s="3"/>
      <c r="S1188" s="3">
        <v>30000.0</v>
      </c>
      <c r="T1188" s="3" t="s">
        <v>56</v>
      </c>
      <c r="U1188" s="3">
        <v>30000.0</v>
      </c>
      <c r="V1188" s="5">
        <f>(DATE(2026,2,3)-'RICE_Insured Farms_with PPI Pol'!$G1188)+IF('RICE_Insured Farms_with PPI Pol'!$H1188&lt;&gt;'RICE_Insured Farms_with PPI Pol'!$G1188,18,0)</f>
        <v>65</v>
      </c>
      <c r="W1188" s="3" t="str">
        <f t="array" ref="W1188">IFS(V1188&gt;120, "Harvested", V1188&gt;=113, "Yellow Ripening", V1188&gt;=101, "Dough Stage", V1188&gt;=93, "Milking Stage", V1188&gt;=86, "Flowering", V1188&gt;=56, "Panicle Initiation/Booting", V1188&lt;56, "Vegetative/Tillering")</f>
        <v>Panicle Initiation/Booting</v>
      </c>
    </row>
    <row r="1189" ht="15.75" customHeight="1">
      <c r="A1189" s="3">
        <v>1188.0</v>
      </c>
      <c r="B1189" s="3" t="s">
        <v>23</v>
      </c>
      <c r="C1189" s="3" t="s">
        <v>68</v>
      </c>
      <c r="D1189" s="3" t="s">
        <v>289</v>
      </c>
      <c r="E1189" s="3" t="s">
        <v>774</v>
      </c>
      <c r="F1189" s="3">
        <v>1760011.0</v>
      </c>
      <c r="G1189" s="4">
        <v>46018.0</v>
      </c>
      <c r="H1189" s="4">
        <v>46120.0</v>
      </c>
      <c r="I1189" s="3" t="s">
        <v>3119</v>
      </c>
      <c r="J1189" s="3" t="s">
        <v>3120</v>
      </c>
      <c r="K1189" s="3" t="s">
        <v>1186</v>
      </c>
      <c r="L1189" s="3">
        <v>0.39</v>
      </c>
      <c r="M1189" s="3">
        <v>9750.0</v>
      </c>
      <c r="N1189" s="3">
        <v>3.0</v>
      </c>
      <c r="O1189" s="3">
        <v>432163.0</v>
      </c>
      <c r="P1189" s="3" t="s">
        <v>3121</v>
      </c>
      <c r="Q1189" s="3">
        <v>1280438.0</v>
      </c>
      <c r="R1189" s="3"/>
      <c r="S1189" s="3">
        <v>7800.0</v>
      </c>
      <c r="T1189" s="3" t="s">
        <v>37</v>
      </c>
      <c r="U1189" s="3">
        <v>7800.0</v>
      </c>
      <c r="V1189" s="5">
        <f>(DATE(2026,2,3)-'RICE_Insured Farms_with PPI Pol'!$G1189)+IF('RICE_Insured Farms_with PPI Pol'!$H1189&lt;&gt;'RICE_Insured Farms_with PPI Pol'!$G1189,18,0)</f>
        <v>56</v>
      </c>
      <c r="W1189" s="3" t="str">
        <f t="array" ref="W1189">IFS(V1189&gt;120, "Harvested", V1189&gt;=113, "Yellow Ripening", V1189&gt;=101, "Dough Stage", V1189&gt;=93, "Milking Stage", V1189&gt;=86, "Flowering", V1189&gt;=56, "Panicle Initiation/Booting", V1189&lt;56, "Vegetative/Tillering")</f>
        <v>Panicle Initiation/Booting</v>
      </c>
    </row>
    <row r="1190" ht="15.75" hidden="1" customHeight="1">
      <c r="A1190" s="3">
        <v>1189.0</v>
      </c>
      <c r="B1190" s="3" t="s">
        <v>23</v>
      </c>
      <c r="C1190" s="3" t="s">
        <v>68</v>
      </c>
      <c r="D1190" s="3" t="s">
        <v>679</v>
      </c>
      <c r="E1190" s="3" t="s">
        <v>680</v>
      </c>
      <c r="F1190" s="3">
        <v>1175383.0</v>
      </c>
      <c r="G1190" s="4">
        <v>46034.0</v>
      </c>
      <c r="H1190" s="4">
        <v>46136.0</v>
      </c>
      <c r="I1190" s="3" t="s">
        <v>3122</v>
      </c>
      <c r="J1190" s="3" t="s">
        <v>731</v>
      </c>
      <c r="K1190" s="3" t="s">
        <v>494</v>
      </c>
      <c r="L1190" s="3">
        <v>0.8462</v>
      </c>
      <c r="M1190" s="3">
        <v>21155.0</v>
      </c>
      <c r="N1190" s="3">
        <v>2.0</v>
      </c>
      <c r="O1190" s="3">
        <v>387329.0</v>
      </c>
      <c r="P1190" s="3" t="s">
        <v>3123</v>
      </c>
      <c r="Q1190" s="3">
        <v>1143128.0</v>
      </c>
      <c r="R1190" s="3"/>
      <c r="S1190" s="3">
        <v>14808.5</v>
      </c>
      <c r="T1190" s="3" t="s">
        <v>31</v>
      </c>
      <c r="U1190" s="3">
        <v>14808.5</v>
      </c>
      <c r="V1190" s="5">
        <f>(DATE(2026,2,3)-'RICE_Insured Farms_with PPI Pol'!$G1190)+IF('RICE_Insured Farms_with PPI Pol'!$H1190&lt;&gt;'RICE_Insured Farms_with PPI Pol'!$G1190,18,0)</f>
        <v>40</v>
      </c>
      <c r="W1190" s="3" t="str">
        <f t="array" ref="W1190">IFS(V1190&gt;120, "Harvested", V1190&gt;=113, "Yellow Ripening", V1190&gt;=101, "Dough Stage", V1190&gt;=93, "Milking Stage", V1190&gt;=86, "Flowering", V1190&gt;=56, "Panicle Initiation/Booting", V1190&lt;56, "Vegetative/Tillering")</f>
        <v>Vegetative/Tillering</v>
      </c>
    </row>
    <row r="1191" ht="15.75" customHeight="1">
      <c r="A1191" s="3">
        <v>1190.0</v>
      </c>
      <c r="B1191" s="3" t="s">
        <v>23</v>
      </c>
      <c r="C1191" s="3" t="s">
        <v>1453</v>
      </c>
      <c r="D1191" s="3" t="s">
        <v>1454</v>
      </c>
      <c r="E1191" s="3" t="s">
        <v>1455</v>
      </c>
      <c r="F1191" s="3">
        <v>1742045.0</v>
      </c>
      <c r="G1191" s="4">
        <v>46019.0</v>
      </c>
      <c r="H1191" s="4">
        <v>46121.0</v>
      </c>
      <c r="I1191" s="3" t="s">
        <v>3124</v>
      </c>
      <c r="J1191" s="3" t="s">
        <v>386</v>
      </c>
      <c r="K1191" s="3" t="s">
        <v>3125</v>
      </c>
      <c r="L1191" s="3">
        <v>0.329</v>
      </c>
      <c r="M1191" s="3">
        <v>8225.0</v>
      </c>
      <c r="N1191" s="3">
        <v>3.0</v>
      </c>
      <c r="O1191" s="3">
        <v>77652.0</v>
      </c>
      <c r="P1191" s="3" t="s">
        <v>3126</v>
      </c>
      <c r="Q1191" s="3">
        <v>1274384.0</v>
      </c>
      <c r="R1191" s="3"/>
      <c r="S1191" s="3">
        <v>6580.0</v>
      </c>
      <c r="T1191" s="3" t="s">
        <v>37</v>
      </c>
      <c r="U1191" s="3">
        <v>6580.0</v>
      </c>
      <c r="V1191" s="5">
        <f>(DATE(2026,2,3)-'RICE_Insured Farms_with PPI Pol'!$G1191)+IF('RICE_Insured Farms_with PPI Pol'!$H1191&lt;&gt;'RICE_Insured Farms_with PPI Pol'!$G1191,18,0)</f>
        <v>55</v>
      </c>
      <c r="W1191" s="3" t="str">
        <f t="array" ref="W1191">IFS(V1191&gt;120, "Harvested", V1191&gt;=113, "Yellow Ripening", V1191&gt;=101, "Dough Stage", V1191&gt;=93, "Milking Stage", V1191&gt;=86, "Flowering", V1191&gt;=56, "Panicle Initiation/Booting", V1191&lt;56, "Vegetative/Tillering")</f>
        <v>Vegetative/Tillering</v>
      </c>
    </row>
    <row r="1192" ht="15.75" customHeight="1">
      <c r="A1192" s="3">
        <v>1191.0</v>
      </c>
      <c r="B1192" s="3" t="s">
        <v>23</v>
      </c>
      <c r="C1192" s="3" t="s">
        <v>1453</v>
      </c>
      <c r="D1192" s="3" t="s">
        <v>1454</v>
      </c>
      <c r="E1192" s="3" t="s">
        <v>1455</v>
      </c>
      <c r="F1192" s="3">
        <v>1742045.0</v>
      </c>
      <c r="G1192" s="4">
        <v>46019.0</v>
      </c>
      <c r="H1192" s="4">
        <v>46121.0</v>
      </c>
      <c r="I1192" s="3" t="s">
        <v>3124</v>
      </c>
      <c r="J1192" s="3" t="s">
        <v>386</v>
      </c>
      <c r="K1192" s="3" t="s">
        <v>3125</v>
      </c>
      <c r="L1192" s="3">
        <v>0.1405</v>
      </c>
      <c r="M1192" s="3">
        <v>3512.5</v>
      </c>
      <c r="N1192" s="3">
        <v>3.0</v>
      </c>
      <c r="O1192" s="3">
        <v>77652.0</v>
      </c>
      <c r="P1192" s="3" t="s">
        <v>3126</v>
      </c>
      <c r="Q1192" s="3">
        <v>1318669.0</v>
      </c>
      <c r="R1192" s="3"/>
      <c r="S1192" s="3">
        <v>2810.0</v>
      </c>
      <c r="T1192" s="3" t="s">
        <v>37</v>
      </c>
      <c r="U1192" s="3">
        <v>2810.0</v>
      </c>
      <c r="V1192" s="5">
        <f>(DATE(2026,2,3)-'RICE_Insured Farms_with PPI Pol'!$G1192)+IF('RICE_Insured Farms_with PPI Pol'!$H1192&lt;&gt;'RICE_Insured Farms_with PPI Pol'!$G1192,18,0)</f>
        <v>55</v>
      </c>
      <c r="W1192" s="3" t="str">
        <f t="array" ref="W1192">IFS(V1192&gt;120, "Harvested", V1192&gt;=113, "Yellow Ripening", V1192&gt;=101, "Dough Stage", V1192&gt;=93, "Milking Stage", V1192&gt;=86, "Flowering", V1192&gt;=56, "Panicle Initiation/Booting", V1192&lt;56, "Vegetative/Tillering")</f>
        <v>Vegetative/Tillering</v>
      </c>
    </row>
    <row r="1193" ht="15.75" customHeight="1">
      <c r="A1193" s="3">
        <v>1192.0</v>
      </c>
      <c r="B1193" s="3" t="s">
        <v>23</v>
      </c>
      <c r="C1193" s="3" t="s">
        <v>24</v>
      </c>
      <c r="D1193" s="3" t="s">
        <v>25</v>
      </c>
      <c r="E1193" s="3" t="s">
        <v>1164</v>
      </c>
      <c r="F1193" s="3">
        <v>1761033.0</v>
      </c>
      <c r="G1193" s="4">
        <v>46027.0</v>
      </c>
      <c r="H1193" s="4">
        <v>46119.0</v>
      </c>
      <c r="I1193" s="3" t="s">
        <v>2082</v>
      </c>
      <c r="J1193" s="3" t="s">
        <v>3127</v>
      </c>
      <c r="K1193" s="3" t="s">
        <v>163</v>
      </c>
      <c r="L1193" s="3">
        <v>0.4549</v>
      </c>
      <c r="M1193" s="3">
        <v>11372.5</v>
      </c>
      <c r="N1193" s="3">
        <v>3.0</v>
      </c>
      <c r="O1193" s="3">
        <v>332037.0</v>
      </c>
      <c r="P1193" s="3" t="s">
        <v>3128</v>
      </c>
      <c r="Q1193" s="3">
        <v>1329834.0</v>
      </c>
      <c r="R1193" s="3"/>
      <c r="S1193" s="3">
        <v>9098.0</v>
      </c>
      <c r="T1193" s="3" t="s">
        <v>37</v>
      </c>
      <c r="U1193" s="3">
        <v>9098.0</v>
      </c>
      <c r="V1193" s="5">
        <f>(DATE(2026,2,3)-'RICE_Insured Farms_with PPI Pol'!$G1193)+IF('RICE_Insured Farms_with PPI Pol'!$H1193&lt;&gt;'RICE_Insured Farms_with PPI Pol'!$G1193,18,0)</f>
        <v>47</v>
      </c>
      <c r="W1193" s="3" t="str">
        <f t="array" ref="W1193">IFS(V1193&gt;120, "Harvested", V1193&gt;=113, "Yellow Ripening", V1193&gt;=101, "Dough Stage", V1193&gt;=93, "Milking Stage", V1193&gt;=86, "Flowering", V1193&gt;=56, "Panicle Initiation/Booting", V1193&lt;56, "Vegetative/Tillering")</f>
        <v>Vegetative/Tillering</v>
      </c>
    </row>
    <row r="1194" ht="15.75" hidden="1" customHeight="1">
      <c r="A1194" s="3">
        <v>124.0</v>
      </c>
      <c r="B1194" s="3" t="s">
        <v>23</v>
      </c>
      <c r="C1194" s="3" t="s">
        <v>68</v>
      </c>
      <c r="D1194" s="3" t="s">
        <v>262</v>
      </c>
      <c r="E1194" s="3" t="s">
        <v>273</v>
      </c>
      <c r="F1194" s="3">
        <v>1739582.0</v>
      </c>
      <c r="G1194" s="4">
        <v>46009.0</v>
      </c>
      <c r="H1194" s="4">
        <v>46111.0</v>
      </c>
      <c r="I1194" s="3" t="s">
        <v>1051</v>
      </c>
      <c r="J1194" s="3" t="s">
        <v>426</v>
      </c>
      <c r="K1194" s="3" t="s">
        <v>737</v>
      </c>
      <c r="L1194" s="3">
        <v>0.8</v>
      </c>
      <c r="M1194" s="3">
        <v>20000.0</v>
      </c>
      <c r="N1194" s="3">
        <v>4.0</v>
      </c>
      <c r="O1194" s="3">
        <v>108771.0</v>
      </c>
      <c r="P1194" s="3"/>
      <c r="Q1194" s="3">
        <v>701057.0</v>
      </c>
      <c r="R1194" s="3"/>
      <c r="S1194" s="3">
        <v>16000.0</v>
      </c>
      <c r="T1194" s="3" t="s">
        <v>56</v>
      </c>
      <c r="U1194" s="3">
        <v>16000.0</v>
      </c>
      <c r="V1194" s="5">
        <f>(DATE(2026,2,3)-'RICE_Insured Farms_with PPI Pol'!$G1194)+IF('RICE_Insured Farms_with PPI Pol'!$H1194&lt;&gt;'RICE_Insured Farms_with PPI Pol'!$G1194,18,0)</f>
        <v>65</v>
      </c>
      <c r="W1194" s="3" t="str">
        <f t="array" ref="W1194">IFS(V1194&gt;120, "Harvested", V1194&gt;=113, "Yellow Ripening", V1194&gt;=101, "Dough Stage", V1194&gt;=93, "Milking Stage", V1194&gt;=86, "Flowering", V1194&gt;=56, "Panicle Initiation/Booting", V1194&lt;56, "Vegetative/Tillering")</f>
        <v>Panicle Initiation/Booting</v>
      </c>
    </row>
    <row r="1195" ht="15.75" hidden="1" customHeight="1">
      <c r="A1195" s="3">
        <v>208.0</v>
      </c>
      <c r="B1195" s="3" t="s">
        <v>23</v>
      </c>
      <c r="C1195" s="3" t="s">
        <v>68</v>
      </c>
      <c r="D1195" s="3" t="s">
        <v>262</v>
      </c>
      <c r="E1195" s="3" t="s">
        <v>273</v>
      </c>
      <c r="F1195" s="3">
        <v>1739591.0</v>
      </c>
      <c r="G1195" s="4">
        <v>46018.0</v>
      </c>
      <c r="H1195" s="4">
        <v>46110.0</v>
      </c>
      <c r="I1195" s="3" t="s">
        <v>3129</v>
      </c>
      <c r="J1195" s="3" t="s">
        <v>3130</v>
      </c>
      <c r="K1195" s="3" t="s">
        <v>2713</v>
      </c>
      <c r="L1195" s="3">
        <v>0.5497</v>
      </c>
      <c r="M1195" s="3">
        <v>13742.5</v>
      </c>
      <c r="N1195" s="3">
        <v>4.0</v>
      </c>
      <c r="O1195" s="3">
        <v>251158.0</v>
      </c>
      <c r="P1195" s="3" t="s">
        <v>3131</v>
      </c>
      <c r="Q1195" s="3">
        <v>1338340.0</v>
      </c>
      <c r="R1195" s="3"/>
      <c r="S1195" s="3">
        <v>10994.0</v>
      </c>
      <c r="T1195" s="3" t="s">
        <v>56</v>
      </c>
      <c r="U1195" s="3">
        <v>10994.0</v>
      </c>
      <c r="V1195" s="5">
        <f>(DATE(2026,2,3)-'RICE_Insured Farms_with PPI Pol'!$G1195)+IF('RICE_Insured Farms_with PPI Pol'!$H1195&lt;&gt;'RICE_Insured Farms_with PPI Pol'!$G1195,18,0)</f>
        <v>56</v>
      </c>
      <c r="W1195" s="3" t="str">
        <f t="array" ref="W1195">IFS(V1195&gt;120, "Harvested", V1195&gt;=113, "Yellow Ripening", V1195&gt;=101, "Dough Stage", V1195&gt;=93, "Milking Stage", V1195&gt;=86, "Flowering", V1195&gt;=56, "Panicle Initiation/Booting", V1195&lt;56, "Vegetative/Tillering")</f>
        <v>Panicle Initiation/Booting</v>
      </c>
    </row>
    <row r="1196" ht="15.75" hidden="1" customHeight="1">
      <c r="A1196" s="3">
        <v>218.0</v>
      </c>
      <c r="B1196" s="3" t="s">
        <v>23</v>
      </c>
      <c r="C1196" s="3" t="s">
        <v>68</v>
      </c>
      <c r="D1196" s="3" t="s">
        <v>262</v>
      </c>
      <c r="E1196" s="3" t="s">
        <v>405</v>
      </c>
      <c r="F1196" s="3">
        <v>1739584.0</v>
      </c>
      <c r="G1196" s="4">
        <v>46005.0</v>
      </c>
      <c r="H1196" s="4">
        <v>46107.0</v>
      </c>
      <c r="I1196" s="3" t="s">
        <v>3132</v>
      </c>
      <c r="J1196" s="3" t="s">
        <v>3133</v>
      </c>
      <c r="K1196" s="3" t="s">
        <v>3134</v>
      </c>
      <c r="L1196" s="3">
        <v>0.8158</v>
      </c>
      <c r="M1196" s="3">
        <v>20395.0</v>
      </c>
      <c r="N1196" s="3">
        <v>4.0</v>
      </c>
      <c r="O1196" s="3">
        <v>127344.0</v>
      </c>
      <c r="P1196" s="3" t="s">
        <v>3135</v>
      </c>
      <c r="Q1196" s="3">
        <v>1321583.0</v>
      </c>
      <c r="R1196" s="3"/>
      <c r="S1196" s="3">
        <v>16316.0</v>
      </c>
      <c r="T1196" s="3" t="s">
        <v>56</v>
      </c>
      <c r="U1196" s="3">
        <v>16316.0</v>
      </c>
      <c r="V1196" s="5">
        <f>(DATE(2026,2,3)-'RICE_Insured Farms_with PPI Pol'!$G1196)+IF('RICE_Insured Farms_with PPI Pol'!$H1196&lt;&gt;'RICE_Insured Farms_with PPI Pol'!$G1196,18,0)</f>
        <v>69</v>
      </c>
      <c r="W1196" s="3" t="str">
        <f t="array" ref="W1196">IFS(V1196&gt;120, "Harvested", V1196&gt;=113, "Yellow Ripening", V1196&gt;=101, "Dough Stage", V1196&gt;=93, "Milking Stage", V1196&gt;=86, "Flowering", V1196&gt;=56, "Panicle Initiation/Booting", V1196&lt;56, "Vegetative/Tillering")</f>
        <v>Panicle Initiation/Booting</v>
      </c>
    </row>
    <row r="1197" ht="15.75" hidden="1" customHeight="1">
      <c r="A1197" s="3">
        <v>1196.0</v>
      </c>
      <c r="B1197" s="3" t="s">
        <v>23</v>
      </c>
      <c r="C1197" s="3" t="s">
        <v>24</v>
      </c>
      <c r="D1197" s="3" t="s">
        <v>25</v>
      </c>
      <c r="E1197" s="3" t="s">
        <v>1164</v>
      </c>
      <c r="F1197" s="3">
        <v>1760491.0</v>
      </c>
      <c r="G1197" s="4">
        <v>46013.0</v>
      </c>
      <c r="H1197" s="4">
        <v>46133.0</v>
      </c>
      <c r="I1197" s="3" t="s">
        <v>2082</v>
      </c>
      <c r="J1197" s="3" t="s">
        <v>2416</v>
      </c>
      <c r="K1197" s="3" t="s">
        <v>254</v>
      </c>
      <c r="L1197" s="3">
        <v>0.6581</v>
      </c>
      <c r="M1197" s="3">
        <v>16452.5</v>
      </c>
      <c r="N1197" s="3">
        <v>2.0</v>
      </c>
      <c r="O1197" s="3">
        <v>297447.0</v>
      </c>
      <c r="P1197" s="3" t="s">
        <v>2417</v>
      </c>
      <c r="Q1197" s="3">
        <v>1276880.0</v>
      </c>
      <c r="R1197" s="3"/>
      <c r="S1197" s="3">
        <v>11516.75</v>
      </c>
      <c r="T1197" s="3" t="s">
        <v>31</v>
      </c>
      <c r="U1197" s="3">
        <v>11516.75</v>
      </c>
      <c r="V1197" s="5">
        <f>(DATE(2026,2,3)-'RICE_Insured Farms_with PPI Pol'!$G1197)+IF('RICE_Insured Farms_with PPI Pol'!$H1197&lt;&gt;'RICE_Insured Farms_with PPI Pol'!$G1197,18,0)</f>
        <v>61</v>
      </c>
      <c r="W1197" s="3" t="str">
        <f t="array" ref="W1197">IFS(V1197&gt;120, "Harvested", V1197&gt;=113, "Yellow Ripening", V1197&gt;=101, "Dough Stage", V1197&gt;=93, "Milking Stage", V1197&gt;=86, "Flowering", V1197&gt;=56, "Panicle Initiation/Booting", V1197&lt;56, "Vegetative/Tillering")</f>
        <v>Panicle Initiation/Booting</v>
      </c>
    </row>
    <row r="1198" ht="15.75" hidden="1" customHeight="1">
      <c r="A1198" s="3">
        <v>281.0</v>
      </c>
      <c r="B1198" s="3" t="s">
        <v>23</v>
      </c>
      <c r="C1198" s="3" t="s">
        <v>68</v>
      </c>
      <c r="D1198" s="3" t="s">
        <v>262</v>
      </c>
      <c r="E1198" s="3" t="s">
        <v>405</v>
      </c>
      <c r="F1198" s="3">
        <v>1739582.0</v>
      </c>
      <c r="G1198" s="4">
        <v>46003.0</v>
      </c>
      <c r="H1198" s="4">
        <v>46105.0</v>
      </c>
      <c r="I1198" s="3" t="s">
        <v>2494</v>
      </c>
      <c r="J1198" s="3" t="s">
        <v>665</v>
      </c>
      <c r="K1198" s="3" t="s">
        <v>3136</v>
      </c>
      <c r="L1198" s="3">
        <v>0.5479</v>
      </c>
      <c r="M1198" s="3">
        <v>13697.5</v>
      </c>
      <c r="N1198" s="3">
        <v>4.0</v>
      </c>
      <c r="O1198" s="3">
        <v>187333.0</v>
      </c>
      <c r="P1198" s="3" t="s">
        <v>3137</v>
      </c>
      <c r="Q1198" s="3">
        <v>1315130.0</v>
      </c>
      <c r="R1198" s="3"/>
      <c r="S1198" s="3">
        <v>10958.0</v>
      </c>
      <c r="T1198" s="3" t="s">
        <v>56</v>
      </c>
      <c r="U1198" s="3">
        <v>10958.0</v>
      </c>
      <c r="V1198" s="5">
        <f>(DATE(2026,2,3)-'RICE_Insured Farms_with PPI Pol'!$G1198)+IF('RICE_Insured Farms_with PPI Pol'!$H1198&lt;&gt;'RICE_Insured Farms_with PPI Pol'!$G1198,18,0)</f>
        <v>71</v>
      </c>
      <c r="W1198" s="3" t="str">
        <f t="array" ref="W1198">IFS(V1198&gt;120, "Harvested", V1198&gt;=113, "Yellow Ripening", V1198&gt;=101, "Dough Stage", V1198&gt;=93, "Milking Stage", V1198&gt;=86, "Flowering", V1198&gt;=56, "Panicle Initiation/Booting", V1198&lt;56, "Vegetative/Tillering")</f>
        <v>Panicle Initiation/Booting</v>
      </c>
    </row>
    <row r="1199" ht="15.75" hidden="1" customHeight="1">
      <c r="A1199" s="3">
        <v>1198.0</v>
      </c>
      <c r="B1199" s="3" t="s">
        <v>23</v>
      </c>
      <c r="C1199" s="3" t="s">
        <v>68</v>
      </c>
      <c r="D1199" s="3" t="s">
        <v>289</v>
      </c>
      <c r="E1199" s="3" t="s">
        <v>685</v>
      </c>
      <c r="F1199" s="3">
        <v>1760005.0</v>
      </c>
      <c r="G1199" s="4">
        <v>46026.0</v>
      </c>
      <c r="H1199" s="4">
        <v>46128.0</v>
      </c>
      <c r="I1199" s="3" t="s">
        <v>3138</v>
      </c>
      <c r="J1199" s="3" t="s">
        <v>783</v>
      </c>
      <c r="K1199" s="3" t="s">
        <v>685</v>
      </c>
      <c r="L1199" s="3">
        <v>0.5207</v>
      </c>
      <c r="M1199" s="3">
        <v>13017.5</v>
      </c>
      <c r="N1199" s="3">
        <v>2.0</v>
      </c>
      <c r="O1199" s="3">
        <v>356729.0</v>
      </c>
      <c r="P1199" s="3" t="s">
        <v>3139</v>
      </c>
      <c r="Q1199" s="3">
        <v>694884.0</v>
      </c>
      <c r="R1199" s="3"/>
      <c r="S1199" s="3">
        <v>9112.25</v>
      </c>
      <c r="T1199" s="3" t="s">
        <v>31</v>
      </c>
      <c r="U1199" s="3">
        <v>9112.25</v>
      </c>
      <c r="V1199" s="5">
        <f>(DATE(2026,2,3)-'RICE_Insured Farms_with PPI Pol'!$G1199)+IF('RICE_Insured Farms_with PPI Pol'!$H1199&lt;&gt;'RICE_Insured Farms_with PPI Pol'!$G1199,18,0)</f>
        <v>48</v>
      </c>
      <c r="W1199" s="3" t="str">
        <f t="array" ref="W1199">IFS(V1199&gt;120, "Harvested", V1199&gt;=113, "Yellow Ripening", V1199&gt;=101, "Dough Stage", V1199&gt;=93, "Milking Stage", V1199&gt;=86, "Flowering", V1199&gt;=56, "Panicle Initiation/Booting", V1199&lt;56, "Vegetative/Tillering")</f>
        <v>Vegetative/Tillering</v>
      </c>
    </row>
    <row r="1200" ht="15.75" hidden="1" customHeight="1">
      <c r="A1200" s="3">
        <v>1199.0</v>
      </c>
      <c r="B1200" s="3" t="s">
        <v>23</v>
      </c>
      <c r="C1200" s="3" t="s">
        <v>121</v>
      </c>
      <c r="D1200" s="3" t="s">
        <v>399</v>
      </c>
      <c r="E1200" s="3" t="s">
        <v>400</v>
      </c>
      <c r="F1200" s="3">
        <v>1760153.0</v>
      </c>
      <c r="G1200" s="4">
        <v>46043.0</v>
      </c>
      <c r="H1200" s="4">
        <v>46163.0</v>
      </c>
      <c r="I1200" s="3" t="s">
        <v>3140</v>
      </c>
      <c r="J1200" s="3" t="s">
        <v>3141</v>
      </c>
      <c r="K1200" s="3" t="s">
        <v>3142</v>
      </c>
      <c r="L1200" s="3">
        <v>0.5</v>
      </c>
      <c r="M1200" s="3">
        <v>12500.0</v>
      </c>
      <c r="N1200" s="3">
        <v>1.0</v>
      </c>
      <c r="O1200" s="3">
        <v>478092.0</v>
      </c>
      <c r="P1200" s="3"/>
      <c r="Q1200" s="3">
        <v>1215937.0</v>
      </c>
      <c r="R1200" s="3"/>
      <c r="S1200" s="3">
        <v>7500.0</v>
      </c>
      <c r="T1200" s="3" t="s">
        <v>62</v>
      </c>
      <c r="U1200" s="3">
        <v>7500.0</v>
      </c>
      <c r="V1200" s="5">
        <f>(DATE(2026,2,3)-'RICE_Insured Farms_with PPI Pol'!$G1200)+IF('RICE_Insured Farms_with PPI Pol'!$H1200&lt;&gt;'RICE_Insured Farms_with PPI Pol'!$G1200,18,0)</f>
        <v>31</v>
      </c>
      <c r="W1200" s="3" t="str">
        <f t="array" ref="W1200">IFS(V1200&gt;120, "Harvested", V1200&gt;=113, "Yellow Ripening", V1200&gt;=101, "Dough Stage", V1200&gt;=93, "Milking Stage", V1200&gt;=86, "Flowering", V1200&gt;=56, "Panicle Initiation/Booting", V1200&lt;56, "Vegetative/Tillering")</f>
        <v>Vegetative/Tillering</v>
      </c>
    </row>
    <row r="1201" ht="15.75" hidden="1" customHeight="1">
      <c r="A1201" s="3">
        <v>1200.0</v>
      </c>
      <c r="B1201" s="3" t="s">
        <v>23</v>
      </c>
      <c r="C1201" s="3" t="s">
        <v>68</v>
      </c>
      <c r="D1201" s="3" t="s">
        <v>679</v>
      </c>
      <c r="E1201" s="3" t="s">
        <v>680</v>
      </c>
      <c r="F1201" s="3">
        <v>1175382.0</v>
      </c>
      <c r="G1201" s="4">
        <v>46027.0</v>
      </c>
      <c r="H1201" s="4">
        <v>46129.0</v>
      </c>
      <c r="I1201" s="3" t="s">
        <v>3143</v>
      </c>
      <c r="J1201" s="3" t="s">
        <v>3144</v>
      </c>
      <c r="K1201" s="3" t="s">
        <v>830</v>
      </c>
      <c r="L1201" s="3">
        <v>1.1027</v>
      </c>
      <c r="M1201" s="3">
        <v>27567.5</v>
      </c>
      <c r="N1201" s="3">
        <v>2.0</v>
      </c>
      <c r="O1201" s="3">
        <v>98931.0</v>
      </c>
      <c r="P1201" s="3" t="s">
        <v>3145</v>
      </c>
      <c r="Q1201" s="3">
        <v>1142345.0</v>
      </c>
      <c r="R1201" s="3"/>
      <c r="S1201" s="3">
        <v>19297.25</v>
      </c>
      <c r="T1201" s="3" t="s">
        <v>31</v>
      </c>
      <c r="U1201" s="3">
        <v>19297.25</v>
      </c>
      <c r="V1201" s="5">
        <f>(DATE(2026,2,3)-'RICE_Insured Farms_with PPI Pol'!$G1201)+IF('RICE_Insured Farms_with PPI Pol'!$H1201&lt;&gt;'RICE_Insured Farms_with PPI Pol'!$G1201,18,0)</f>
        <v>47</v>
      </c>
      <c r="W1201" s="3" t="str">
        <f t="array" ref="W1201">IFS(V1201&gt;120, "Harvested", V1201&gt;=113, "Yellow Ripening", V1201&gt;=101, "Dough Stage", V1201&gt;=93, "Milking Stage", V1201&gt;=86, "Flowering", V1201&gt;=56, "Panicle Initiation/Booting", V1201&lt;56, "Vegetative/Tillering")</f>
        <v>Vegetative/Tillering</v>
      </c>
    </row>
    <row r="1202" ht="15.75" hidden="1" customHeight="1">
      <c r="A1202" s="3">
        <v>1201.0</v>
      </c>
      <c r="B1202" s="3" t="s">
        <v>23</v>
      </c>
      <c r="C1202" s="3" t="s">
        <v>121</v>
      </c>
      <c r="D1202" s="3" t="s">
        <v>399</v>
      </c>
      <c r="E1202" s="3" t="s">
        <v>321</v>
      </c>
      <c r="F1202" s="3">
        <v>1739692.0</v>
      </c>
      <c r="G1202" s="4">
        <v>46032.0</v>
      </c>
      <c r="H1202" s="4">
        <v>46152.0</v>
      </c>
      <c r="I1202" s="3" t="s">
        <v>3146</v>
      </c>
      <c r="J1202" s="3" t="s">
        <v>1350</v>
      </c>
      <c r="K1202" s="3" t="s">
        <v>3147</v>
      </c>
      <c r="L1202" s="3">
        <v>1.16</v>
      </c>
      <c r="M1202" s="3">
        <v>29000.0</v>
      </c>
      <c r="N1202" s="3">
        <v>1.0</v>
      </c>
      <c r="O1202" s="3">
        <v>193050.0</v>
      </c>
      <c r="P1202" s="3" t="s">
        <v>3148</v>
      </c>
      <c r="Q1202" s="3">
        <v>1191566.0</v>
      </c>
      <c r="R1202" s="3"/>
      <c r="S1202" s="3">
        <v>17400.0</v>
      </c>
      <c r="T1202" s="3" t="s">
        <v>62</v>
      </c>
      <c r="U1202" s="3">
        <v>17400.0</v>
      </c>
      <c r="V1202" s="5">
        <f>(DATE(2026,2,3)-'RICE_Insured Farms_with PPI Pol'!$G1202)+IF('RICE_Insured Farms_with PPI Pol'!$H1202&lt;&gt;'RICE_Insured Farms_with PPI Pol'!$G1202,18,0)</f>
        <v>42</v>
      </c>
      <c r="W1202" s="3" t="str">
        <f t="array" ref="W1202">IFS(V1202&gt;120, "Harvested", V1202&gt;=113, "Yellow Ripening", V1202&gt;=101, "Dough Stage", V1202&gt;=93, "Milking Stage", V1202&gt;=86, "Flowering", V1202&gt;=56, "Panicle Initiation/Booting", V1202&lt;56, "Vegetative/Tillering")</f>
        <v>Vegetative/Tillering</v>
      </c>
    </row>
    <row r="1203" ht="15.75" customHeight="1">
      <c r="A1203" s="3">
        <v>1202.0</v>
      </c>
      <c r="B1203" s="3" t="s">
        <v>23</v>
      </c>
      <c r="C1203" s="3" t="s">
        <v>68</v>
      </c>
      <c r="D1203" s="3" t="s">
        <v>289</v>
      </c>
      <c r="E1203" s="3" t="s">
        <v>895</v>
      </c>
      <c r="F1203" s="3">
        <v>1760046.0</v>
      </c>
      <c r="G1203" s="4">
        <v>46018.0</v>
      </c>
      <c r="H1203" s="4">
        <v>46120.0</v>
      </c>
      <c r="I1203" s="3" t="s">
        <v>2249</v>
      </c>
      <c r="J1203" s="3" t="s">
        <v>1313</v>
      </c>
      <c r="K1203" s="3" t="s">
        <v>3149</v>
      </c>
      <c r="L1203" s="3">
        <v>0.2558</v>
      </c>
      <c r="M1203" s="3">
        <v>6395.0</v>
      </c>
      <c r="N1203" s="3">
        <v>3.0</v>
      </c>
      <c r="O1203" s="3">
        <v>152736.0</v>
      </c>
      <c r="P1203" s="3" t="s">
        <v>3150</v>
      </c>
      <c r="Q1203" s="3">
        <v>543445.0</v>
      </c>
      <c r="R1203" s="3"/>
      <c r="S1203" s="3">
        <v>5116.0</v>
      </c>
      <c r="T1203" s="3" t="s">
        <v>37</v>
      </c>
      <c r="U1203" s="3">
        <v>5116.0</v>
      </c>
      <c r="V1203" s="5">
        <f>(DATE(2026,2,3)-'RICE_Insured Farms_with PPI Pol'!$G1203)+IF('RICE_Insured Farms_with PPI Pol'!$H1203&lt;&gt;'RICE_Insured Farms_with PPI Pol'!$G1203,18,0)</f>
        <v>56</v>
      </c>
      <c r="W1203" s="3" t="str">
        <f t="array" ref="W1203">IFS(V1203&gt;120, "Harvested", V1203&gt;=113, "Yellow Ripening", V1203&gt;=101, "Dough Stage", V1203&gt;=93, "Milking Stage", V1203&gt;=86, "Flowering", V1203&gt;=56, "Panicle Initiation/Booting", V1203&lt;56, "Vegetative/Tillering")</f>
        <v>Panicle Initiation/Booting</v>
      </c>
    </row>
    <row r="1204" ht="15.75" customHeight="1">
      <c r="A1204" s="3">
        <v>1203.0</v>
      </c>
      <c r="B1204" s="3" t="s">
        <v>23</v>
      </c>
      <c r="C1204" s="3" t="s">
        <v>68</v>
      </c>
      <c r="D1204" s="3" t="s">
        <v>289</v>
      </c>
      <c r="E1204" s="3" t="s">
        <v>1535</v>
      </c>
      <c r="F1204" s="3">
        <v>1760015.0</v>
      </c>
      <c r="G1204" s="4">
        <v>46018.0</v>
      </c>
      <c r="H1204" s="4">
        <v>46120.0</v>
      </c>
      <c r="I1204" s="3" t="s">
        <v>2410</v>
      </c>
      <c r="J1204" s="3" t="s">
        <v>259</v>
      </c>
      <c r="K1204" s="3" t="s">
        <v>3151</v>
      </c>
      <c r="L1204" s="3">
        <v>1.1597</v>
      </c>
      <c r="M1204" s="3">
        <v>28992.5</v>
      </c>
      <c r="N1204" s="3">
        <v>3.0</v>
      </c>
      <c r="O1204" s="3">
        <v>58275.0</v>
      </c>
      <c r="P1204" s="3" t="s">
        <v>3152</v>
      </c>
      <c r="Q1204" s="3">
        <v>1310784.0</v>
      </c>
      <c r="R1204" s="3"/>
      <c r="S1204" s="3">
        <v>23194.0</v>
      </c>
      <c r="T1204" s="3" t="s">
        <v>37</v>
      </c>
      <c r="U1204" s="3">
        <v>23194.0</v>
      </c>
      <c r="V1204" s="5">
        <f>(DATE(2026,2,3)-'RICE_Insured Farms_with PPI Pol'!$G1204)+IF('RICE_Insured Farms_with PPI Pol'!$H1204&lt;&gt;'RICE_Insured Farms_with PPI Pol'!$G1204,18,0)</f>
        <v>56</v>
      </c>
      <c r="W1204" s="3" t="str">
        <f t="array" ref="W1204">IFS(V1204&gt;120, "Harvested", V1204&gt;=113, "Yellow Ripening", V1204&gt;=101, "Dough Stage", V1204&gt;=93, "Milking Stage", V1204&gt;=86, "Flowering", V1204&gt;=56, "Panicle Initiation/Booting", V1204&lt;56, "Vegetative/Tillering")</f>
        <v>Panicle Initiation/Booting</v>
      </c>
    </row>
    <row r="1205" ht="15.75" customHeight="1">
      <c r="A1205" s="3">
        <v>1204.0</v>
      </c>
      <c r="B1205" s="3" t="s">
        <v>23</v>
      </c>
      <c r="C1205" s="3" t="s">
        <v>68</v>
      </c>
      <c r="D1205" s="3" t="s">
        <v>289</v>
      </c>
      <c r="E1205" s="3" t="s">
        <v>1535</v>
      </c>
      <c r="F1205" s="3">
        <v>1760015.0</v>
      </c>
      <c r="G1205" s="4">
        <v>46019.0</v>
      </c>
      <c r="H1205" s="4">
        <v>46121.0</v>
      </c>
      <c r="I1205" s="3" t="s">
        <v>2410</v>
      </c>
      <c r="J1205" s="3" t="s">
        <v>3153</v>
      </c>
      <c r="K1205" s="3" t="s">
        <v>3154</v>
      </c>
      <c r="L1205" s="3">
        <v>0.749</v>
      </c>
      <c r="M1205" s="3">
        <v>18725.0</v>
      </c>
      <c r="N1205" s="3">
        <v>3.0</v>
      </c>
      <c r="O1205" s="3">
        <v>118456.0</v>
      </c>
      <c r="P1205" s="3" t="s">
        <v>3155</v>
      </c>
      <c r="Q1205" s="3">
        <v>1310782.0</v>
      </c>
      <c r="R1205" s="3"/>
      <c r="S1205" s="3">
        <v>14980.0</v>
      </c>
      <c r="T1205" s="3" t="s">
        <v>37</v>
      </c>
      <c r="U1205" s="3">
        <v>14980.0</v>
      </c>
      <c r="V1205" s="5">
        <f>(DATE(2026,2,3)-'RICE_Insured Farms_with PPI Pol'!$G1205)+IF('RICE_Insured Farms_with PPI Pol'!$H1205&lt;&gt;'RICE_Insured Farms_with PPI Pol'!$G1205,18,0)</f>
        <v>55</v>
      </c>
      <c r="W1205" s="3" t="str">
        <f t="array" ref="W1205">IFS(V1205&gt;120, "Harvested", V1205&gt;=113, "Yellow Ripening", V1205&gt;=101, "Dough Stage", V1205&gt;=93, "Milking Stage", V1205&gt;=86, "Flowering", V1205&gt;=56, "Panicle Initiation/Booting", V1205&lt;56, "Vegetative/Tillering")</f>
        <v>Vegetative/Tillering</v>
      </c>
    </row>
    <row r="1206" ht="15.75" hidden="1" customHeight="1">
      <c r="A1206" s="3">
        <v>1205.0</v>
      </c>
      <c r="B1206" s="3" t="s">
        <v>23</v>
      </c>
      <c r="C1206" s="3" t="s">
        <v>68</v>
      </c>
      <c r="D1206" s="3" t="s">
        <v>289</v>
      </c>
      <c r="E1206" s="3" t="s">
        <v>352</v>
      </c>
      <c r="F1206" s="3">
        <v>1760053.0</v>
      </c>
      <c r="G1206" s="4">
        <v>46026.0</v>
      </c>
      <c r="H1206" s="4">
        <v>46128.0</v>
      </c>
      <c r="I1206" s="3" t="s">
        <v>1244</v>
      </c>
      <c r="J1206" s="3" t="s">
        <v>3156</v>
      </c>
      <c r="K1206" s="3" t="s">
        <v>3157</v>
      </c>
      <c r="L1206" s="3">
        <v>0.5065</v>
      </c>
      <c r="M1206" s="3">
        <v>12662.5</v>
      </c>
      <c r="N1206" s="3">
        <v>2.0</v>
      </c>
      <c r="O1206" s="3">
        <v>195238.0</v>
      </c>
      <c r="P1206" s="3" t="s">
        <v>3158</v>
      </c>
      <c r="Q1206" s="3">
        <v>1283299.0</v>
      </c>
      <c r="R1206" s="3"/>
      <c r="S1206" s="3">
        <v>8863.75</v>
      </c>
      <c r="T1206" s="3" t="s">
        <v>31</v>
      </c>
      <c r="U1206" s="3">
        <v>8863.75</v>
      </c>
      <c r="V1206" s="5">
        <f>(DATE(2026,2,3)-'RICE_Insured Farms_with PPI Pol'!$G1206)+IF('RICE_Insured Farms_with PPI Pol'!$H1206&lt;&gt;'RICE_Insured Farms_with PPI Pol'!$G1206,18,0)</f>
        <v>48</v>
      </c>
      <c r="W1206" s="3" t="str">
        <f t="array" ref="W1206">IFS(V1206&gt;120, "Harvested", V1206&gt;=113, "Yellow Ripening", V1206&gt;=101, "Dough Stage", V1206&gt;=93, "Milking Stage", V1206&gt;=86, "Flowering", V1206&gt;=56, "Panicle Initiation/Booting", V1206&lt;56, "Vegetative/Tillering")</f>
        <v>Vegetative/Tillering</v>
      </c>
    </row>
    <row r="1207" ht="15.75" hidden="1" customHeight="1">
      <c r="A1207" s="3">
        <v>282.0</v>
      </c>
      <c r="B1207" s="3" t="s">
        <v>23</v>
      </c>
      <c r="C1207" s="3" t="s">
        <v>68</v>
      </c>
      <c r="D1207" s="3" t="s">
        <v>262</v>
      </c>
      <c r="E1207" s="3" t="s">
        <v>405</v>
      </c>
      <c r="F1207" s="3">
        <v>1739582.0</v>
      </c>
      <c r="G1207" s="4">
        <v>46003.0</v>
      </c>
      <c r="H1207" s="4">
        <v>46105.0</v>
      </c>
      <c r="I1207" s="3" t="s">
        <v>2494</v>
      </c>
      <c r="J1207" s="3" t="s">
        <v>665</v>
      </c>
      <c r="K1207" s="3" t="s">
        <v>3136</v>
      </c>
      <c r="L1207" s="3">
        <v>0.7</v>
      </c>
      <c r="M1207" s="3">
        <v>17500.0</v>
      </c>
      <c r="N1207" s="3">
        <v>4.0</v>
      </c>
      <c r="O1207" s="3">
        <v>187333.0</v>
      </c>
      <c r="P1207" s="3" t="s">
        <v>3137</v>
      </c>
      <c r="Q1207" s="3">
        <v>1315132.0</v>
      </c>
      <c r="R1207" s="3"/>
      <c r="S1207" s="3">
        <v>14000.0</v>
      </c>
      <c r="T1207" s="3" t="s">
        <v>56</v>
      </c>
      <c r="U1207" s="3">
        <v>14000.0</v>
      </c>
      <c r="V1207" s="5">
        <f>(DATE(2026,2,3)-'RICE_Insured Farms_with PPI Pol'!$G1207)+IF('RICE_Insured Farms_with PPI Pol'!$H1207&lt;&gt;'RICE_Insured Farms_with PPI Pol'!$G1207,18,0)</f>
        <v>71</v>
      </c>
      <c r="W1207" s="3" t="str">
        <f t="array" ref="W1207">IFS(V1207&gt;120, "Harvested", V1207&gt;=113, "Yellow Ripening", V1207&gt;=101, "Dough Stage", V1207&gt;=93, "Milking Stage", V1207&gt;=86, "Flowering", V1207&gt;=56, "Panicle Initiation/Booting", V1207&lt;56, "Vegetative/Tillering")</f>
        <v>Panicle Initiation/Booting</v>
      </c>
    </row>
    <row r="1208" ht="15.75" customHeight="1">
      <c r="A1208" s="3">
        <v>1207.0</v>
      </c>
      <c r="B1208" s="3" t="s">
        <v>23</v>
      </c>
      <c r="C1208" s="3" t="s">
        <v>24</v>
      </c>
      <c r="D1208" s="3" t="s">
        <v>25</v>
      </c>
      <c r="E1208" s="3" t="s">
        <v>594</v>
      </c>
      <c r="F1208" s="3">
        <v>1760481.0</v>
      </c>
      <c r="G1208" s="4">
        <v>46019.0</v>
      </c>
      <c r="H1208" s="4">
        <v>46121.0</v>
      </c>
      <c r="I1208" s="3" t="s">
        <v>2457</v>
      </c>
      <c r="J1208" s="3" t="s">
        <v>3159</v>
      </c>
      <c r="K1208" s="3" t="s">
        <v>2166</v>
      </c>
      <c r="L1208" s="3">
        <v>1.0</v>
      </c>
      <c r="M1208" s="3">
        <v>25000.0</v>
      </c>
      <c r="N1208" s="3">
        <v>3.0</v>
      </c>
      <c r="O1208" s="3">
        <v>290048.0</v>
      </c>
      <c r="P1208" s="3" t="s">
        <v>3160</v>
      </c>
      <c r="Q1208" s="3">
        <v>1326037.0</v>
      </c>
      <c r="R1208" s="3"/>
      <c r="S1208" s="3">
        <v>20000.0</v>
      </c>
      <c r="T1208" s="3" t="s">
        <v>37</v>
      </c>
      <c r="U1208" s="3">
        <v>20000.0</v>
      </c>
      <c r="V1208" s="5">
        <f>(DATE(2026,2,3)-'RICE_Insured Farms_with PPI Pol'!$G1208)+IF('RICE_Insured Farms_with PPI Pol'!$H1208&lt;&gt;'RICE_Insured Farms_with PPI Pol'!$G1208,18,0)</f>
        <v>55</v>
      </c>
      <c r="W1208" s="3" t="str">
        <f t="array" ref="W1208">IFS(V1208&gt;120, "Harvested", V1208&gt;=113, "Yellow Ripening", V1208&gt;=101, "Dough Stage", V1208&gt;=93, "Milking Stage", V1208&gt;=86, "Flowering", V1208&gt;=56, "Panicle Initiation/Booting", V1208&lt;56, "Vegetative/Tillering")</f>
        <v>Vegetative/Tillering</v>
      </c>
    </row>
    <row r="1209" ht="15.75" hidden="1" customHeight="1">
      <c r="A1209" s="3">
        <v>1208.0</v>
      </c>
      <c r="B1209" s="3" t="s">
        <v>23</v>
      </c>
      <c r="C1209" s="3" t="s">
        <v>68</v>
      </c>
      <c r="D1209" s="3" t="s">
        <v>289</v>
      </c>
      <c r="E1209" s="3" t="s">
        <v>1620</v>
      </c>
      <c r="F1209" s="3">
        <v>1760034.0</v>
      </c>
      <c r="G1209" s="4">
        <v>46032.0</v>
      </c>
      <c r="H1209" s="4">
        <v>46134.0</v>
      </c>
      <c r="I1209" s="3" t="s">
        <v>3161</v>
      </c>
      <c r="J1209" s="3" t="s">
        <v>3162</v>
      </c>
      <c r="K1209" s="3" t="s">
        <v>3163</v>
      </c>
      <c r="L1209" s="3">
        <v>0.824</v>
      </c>
      <c r="M1209" s="3">
        <v>20600.0</v>
      </c>
      <c r="N1209" s="3">
        <v>2.0</v>
      </c>
      <c r="O1209" s="3">
        <v>428982.0</v>
      </c>
      <c r="P1209" s="3" t="s">
        <v>3164</v>
      </c>
      <c r="Q1209" s="3">
        <v>1134551.0</v>
      </c>
      <c r="R1209" s="3"/>
      <c r="S1209" s="3">
        <v>14420.0</v>
      </c>
      <c r="T1209" s="3" t="s">
        <v>31</v>
      </c>
      <c r="U1209" s="3">
        <v>14420.0</v>
      </c>
      <c r="V1209" s="5">
        <f>(DATE(2026,2,3)-'RICE_Insured Farms_with PPI Pol'!$G1209)+IF('RICE_Insured Farms_with PPI Pol'!$H1209&lt;&gt;'RICE_Insured Farms_with PPI Pol'!$G1209,18,0)</f>
        <v>42</v>
      </c>
      <c r="W1209" s="3" t="str">
        <f t="array" ref="W1209">IFS(V1209&gt;120, "Harvested", V1209&gt;=113, "Yellow Ripening", V1209&gt;=101, "Dough Stage", V1209&gt;=93, "Milking Stage", V1209&gt;=86, "Flowering", V1209&gt;=56, "Panicle Initiation/Booting", V1209&lt;56, "Vegetative/Tillering")</f>
        <v>Vegetative/Tillering</v>
      </c>
    </row>
    <row r="1210" ht="15.75" hidden="1" customHeight="1">
      <c r="A1210" s="3">
        <v>1209.0</v>
      </c>
      <c r="B1210" s="3" t="s">
        <v>23</v>
      </c>
      <c r="C1210" s="3" t="s">
        <v>68</v>
      </c>
      <c r="D1210" s="3" t="s">
        <v>289</v>
      </c>
      <c r="E1210" s="3" t="s">
        <v>1620</v>
      </c>
      <c r="F1210" s="3">
        <v>1760030.0</v>
      </c>
      <c r="G1210" s="4">
        <v>46032.0</v>
      </c>
      <c r="H1210" s="4">
        <v>46134.0</v>
      </c>
      <c r="I1210" s="3" t="s">
        <v>3161</v>
      </c>
      <c r="J1210" s="3" t="s">
        <v>1517</v>
      </c>
      <c r="K1210" s="3" t="s">
        <v>3163</v>
      </c>
      <c r="L1210" s="3">
        <v>0.6179</v>
      </c>
      <c r="M1210" s="3">
        <v>15447.5</v>
      </c>
      <c r="N1210" s="3">
        <v>2.0</v>
      </c>
      <c r="O1210" s="3">
        <v>99310.0</v>
      </c>
      <c r="P1210" s="3" t="s">
        <v>3165</v>
      </c>
      <c r="Q1210" s="3">
        <v>1134549.0</v>
      </c>
      <c r="R1210" s="3"/>
      <c r="S1210" s="3">
        <v>10813.25</v>
      </c>
      <c r="T1210" s="3" t="s">
        <v>31</v>
      </c>
      <c r="U1210" s="3">
        <v>10813.25</v>
      </c>
      <c r="V1210" s="5">
        <f>(DATE(2026,2,3)-'RICE_Insured Farms_with PPI Pol'!$G1210)+IF('RICE_Insured Farms_with PPI Pol'!$H1210&lt;&gt;'RICE_Insured Farms_with PPI Pol'!$G1210,18,0)</f>
        <v>42</v>
      </c>
      <c r="W1210" s="3" t="str">
        <f t="array" ref="W1210">IFS(V1210&gt;120, "Harvested", V1210&gt;=113, "Yellow Ripening", V1210&gt;=101, "Dough Stage", V1210&gt;=93, "Milking Stage", V1210&gt;=86, "Flowering", V1210&gt;=56, "Panicle Initiation/Booting", V1210&lt;56, "Vegetative/Tillering")</f>
        <v>Vegetative/Tillering</v>
      </c>
    </row>
    <row r="1211" ht="15.75" hidden="1" customHeight="1">
      <c r="A1211" s="3">
        <v>1210.0</v>
      </c>
      <c r="B1211" s="3" t="s">
        <v>23</v>
      </c>
      <c r="C1211" s="3" t="s">
        <v>68</v>
      </c>
      <c r="D1211" s="3" t="s">
        <v>289</v>
      </c>
      <c r="E1211" s="3" t="s">
        <v>507</v>
      </c>
      <c r="F1211" s="3">
        <v>1760030.0</v>
      </c>
      <c r="G1211" s="4">
        <v>46028.0</v>
      </c>
      <c r="H1211" s="4">
        <v>46130.0</v>
      </c>
      <c r="I1211" s="3" t="s">
        <v>2130</v>
      </c>
      <c r="J1211" s="3" t="s">
        <v>3166</v>
      </c>
      <c r="K1211" s="3" t="s">
        <v>3167</v>
      </c>
      <c r="L1211" s="3">
        <v>0.585</v>
      </c>
      <c r="M1211" s="3">
        <v>14625.0</v>
      </c>
      <c r="N1211" s="3">
        <v>2.0</v>
      </c>
      <c r="O1211" s="3">
        <v>31498.0</v>
      </c>
      <c r="P1211" s="3" t="s">
        <v>3168</v>
      </c>
      <c r="Q1211" s="3">
        <v>1148110.0</v>
      </c>
      <c r="R1211" s="3"/>
      <c r="S1211" s="3">
        <v>10237.5</v>
      </c>
      <c r="T1211" s="3" t="s">
        <v>31</v>
      </c>
      <c r="U1211" s="3">
        <v>10237.5</v>
      </c>
      <c r="V1211" s="5">
        <f>(DATE(2026,2,3)-'RICE_Insured Farms_with PPI Pol'!$G1211)+IF('RICE_Insured Farms_with PPI Pol'!$H1211&lt;&gt;'RICE_Insured Farms_with PPI Pol'!$G1211,18,0)</f>
        <v>46</v>
      </c>
      <c r="W1211" s="3" t="str">
        <f t="array" ref="W1211">IFS(V1211&gt;120, "Harvested", V1211&gt;=113, "Yellow Ripening", V1211&gt;=101, "Dough Stage", V1211&gt;=93, "Milking Stage", V1211&gt;=86, "Flowering", V1211&gt;=56, "Panicle Initiation/Booting", V1211&lt;56, "Vegetative/Tillering")</f>
        <v>Vegetative/Tillering</v>
      </c>
    </row>
    <row r="1212" ht="15.75" hidden="1" customHeight="1">
      <c r="A1212" s="3">
        <v>1211.0</v>
      </c>
      <c r="B1212" s="3" t="s">
        <v>23</v>
      </c>
      <c r="C1212" s="3" t="s">
        <v>1453</v>
      </c>
      <c r="D1212" s="3" t="s">
        <v>1454</v>
      </c>
      <c r="E1212" s="3" t="s">
        <v>1455</v>
      </c>
      <c r="F1212" s="3">
        <v>1742044.0</v>
      </c>
      <c r="G1212" s="4">
        <v>46032.0</v>
      </c>
      <c r="H1212" s="4">
        <v>46134.0</v>
      </c>
      <c r="I1212" s="3" t="s">
        <v>3169</v>
      </c>
      <c r="J1212" s="3" t="s">
        <v>3170</v>
      </c>
      <c r="K1212" s="3" t="s">
        <v>3171</v>
      </c>
      <c r="L1212" s="3">
        <v>0.5196</v>
      </c>
      <c r="M1212" s="3">
        <v>12990.0</v>
      </c>
      <c r="N1212" s="3">
        <v>2.0</v>
      </c>
      <c r="O1212" s="3">
        <v>428218.0</v>
      </c>
      <c r="P1212" s="3"/>
      <c r="Q1212" s="3">
        <v>939115.0</v>
      </c>
      <c r="R1212" s="3"/>
      <c r="S1212" s="3">
        <v>9093.0</v>
      </c>
      <c r="T1212" s="3" t="s">
        <v>31</v>
      </c>
      <c r="U1212" s="3">
        <v>9093.0</v>
      </c>
      <c r="V1212" s="5">
        <f>(DATE(2026,2,3)-'RICE_Insured Farms_with PPI Pol'!$G1212)+IF('RICE_Insured Farms_with PPI Pol'!$H1212&lt;&gt;'RICE_Insured Farms_with PPI Pol'!$G1212,18,0)</f>
        <v>42</v>
      </c>
      <c r="W1212" s="3" t="str">
        <f t="array" ref="W1212">IFS(V1212&gt;120, "Harvested", V1212&gt;=113, "Yellow Ripening", V1212&gt;=101, "Dough Stage", V1212&gt;=93, "Milking Stage", V1212&gt;=86, "Flowering", V1212&gt;=56, "Panicle Initiation/Booting", V1212&lt;56, "Vegetative/Tillering")</f>
        <v>Vegetative/Tillering</v>
      </c>
    </row>
    <row r="1213" ht="15.75" customHeight="1">
      <c r="A1213" s="3">
        <v>1212.0</v>
      </c>
      <c r="B1213" s="3" t="s">
        <v>23</v>
      </c>
      <c r="C1213" s="3" t="s">
        <v>68</v>
      </c>
      <c r="D1213" s="3" t="s">
        <v>289</v>
      </c>
      <c r="E1213" s="3" t="s">
        <v>352</v>
      </c>
      <c r="F1213" s="3">
        <v>1760040.0</v>
      </c>
      <c r="G1213" s="4">
        <v>46027.0</v>
      </c>
      <c r="H1213" s="4">
        <v>46119.0</v>
      </c>
      <c r="I1213" s="3" t="s">
        <v>1260</v>
      </c>
      <c r="J1213" s="3" t="s">
        <v>3172</v>
      </c>
      <c r="K1213" s="3" t="s">
        <v>578</v>
      </c>
      <c r="L1213" s="3">
        <v>1.352</v>
      </c>
      <c r="M1213" s="3">
        <v>33800.0</v>
      </c>
      <c r="N1213" s="3">
        <v>3.0</v>
      </c>
      <c r="O1213" s="3">
        <v>195112.0</v>
      </c>
      <c r="P1213" s="3"/>
      <c r="Q1213" s="3">
        <v>1193891.0</v>
      </c>
      <c r="R1213" s="3"/>
      <c r="S1213" s="3">
        <v>27040.0</v>
      </c>
      <c r="T1213" s="3" t="s">
        <v>37</v>
      </c>
      <c r="U1213" s="3">
        <v>27040.0</v>
      </c>
      <c r="V1213" s="5">
        <f>(DATE(2026,2,3)-'RICE_Insured Farms_with PPI Pol'!$G1213)+IF('RICE_Insured Farms_with PPI Pol'!$H1213&lt;&gt;'RICE_Insured Farms_with PPI Pol'!$G1213,18,0)</f>
        <v>47</v>
      </c>
      <c r="W1213" s="3" t="str">
        <f t="array" ref="W1213">IFS(V1213&gt;120, "Harvested", V1213&gt;=113, "Yellow Ripening", V1213&gt;=101, "Dough Stage", V1213&gt;=93, "Milking Stage", V1213&gt;=86, "Flowering", V1213&gt;=56, "Panicle Initiation/Booting", V1213&lt;56, "Vegetative/Tillering")</f>
        <v>Vegetative/Tillering</v>
      </c>
    </row>
    <row r="1214" ht="15.75" hidden="1" customHeight="1">
      <c r="A1214" s="3">
        <v>1213.0</v>
      </c>
      <c r="B1214" s="3" t="s">
        <v>23</v>
      </c>
      <c r="C1214" s="3" t="s">
        <v>68</v>
      </c>
      <c r="D1214" s="3" t="s">
        <v>289</v>
      </c>
      <c r="E1214" s="3" t="s">
        <v>743</v>
      </c>
      <c r="F1214" s="3">
        <v>1760039.0</v>
      </c>
      <c r="G1214" s="4">
        <v>46028.0</v>
      </c>
      <c r="H1214" s="4">
        <v>46130.0</v>
      </c>
      <c r="I1214" s="3" t="s">
        <v>1263</v>
      </c>
      <c r="J1214" s="3" t="s">
        <v>162</v>
      </c>
      <c r="K1214" s="3" t="s">
        <v>2304</v>
      </c>
      <c r="L1214" s="3">
        <v>0.1851</v>
      </c>
      <c r="M1214" s="3">
        <v>4627.5</v>
      </c>
      <c r="N1214" s="3">
        <v>2.0</v>
      </c>
      <c r="O1214" s="3">
        <v>129175.0</v>
      </c>
      <c r="P1214" s="3" t="s">
        <v>3173</v>
      </c>
      <c r="Q1214" s="3">
        <v>893929.0</v>
      </c>
      <c r="R1214" s="3"/>
      <c r="S1214" s="3">
        <v>3239.25</v>
      </c>
      <c r="T1214" s="3" t="s">
        <v>31</v>
      </c>
      <c r="U1214" s="3">
        <v>3239.25</v>
      </c>
      <c r="V1214" s="5">
        <f>(DATE(2026,2,3)-'RICE_Insured Farms_with PPI Pol'!$G1214)+IF('RICE_Insured Farms_with PPI Pol'!$H1214&lt;&gt;'RICE_Insured Farms_with PPI Pol'!$G1214,18,0)</f>
        <v>46</v>
      </c>
      <c r="W1214" s="3" t="str">
        <f t="array" ref="W1214">IFS(V1214&gt;120, "Harvested", V1214&gt;=113, "Yellow Ripening", V1214&gt;=101, "Dough Stage", V1214&gt;=93, "Milking Stage", V1214&gt;=86, "Flowering", V1214&gt;=56, "Panicle Initiation/Booting", V1214&lt;56, "Vegetative/Tillering")</f>
        <v>Vegetative/Tillering</v>
      </c>
    </row>
    <row r="1215" ht="15.75" customHeight="1">
      <c r="A1215" s="3">
        <v>1214.0</v>
      </c>
      <c r="B1215" s="3" t="s">
        <v>23</v>
      </c>
      <c r="C1215" s="3" t="s">
        <v>68</v>
      </c>
      <c r="D1215" s="3" t="s">
        <v>289</v>
      </c>
      <c r="E1215" s="3" t="s">
        <v>507</v>
      </c>
      <c r="F1215" s="3">
        <v>1760016.0</v>
      </c>
      <c r="G1215" s="4">
        <v>46019.0</v>
      </c>
      <c r="H1215" s="4">
        <v>46121.0</v>
      </c>
      <c r="I1215" s="3" t="s">
        <v>1263</v>
      </c>
      <c r="J1215" s="3" t="s">
        <v>166</v>
      </c>
      <c r="K1215" s="3" t="s">
        <v>552</v>
      </c>
      <c r="L1215" s="3">
        <v>0.1522</v>
      </c>
      <c r="M1215" s="3">
        <v>3805.0</v>
      </c>
      <c r="N1215" s="3">
        <v>3.0</v>
      </c>
      <c r="O1215" s="3">
        <v>15855.0</v>
      </c>
      <c r="P1215" s="3" t="s">
        <v>3174</v>
      </c>
      <c r="Q1215" s="3">
        <v>1140551.0</v>
      </c>
      <c r="R1215" s="3"/>
      <c r="S1215" s="3">
        <v>3044.0</v>
      </c>
      <c r="T1215" s="3" t="s">
        <v>37</v>
      </c>
      <c r="U1215" s="3">
        <v>3044.0</v>
      </c>
      <c r="V1215" s="5">
        <f>(DATE(2026,2,3)-'RICE_Insured Farms_with PPI Pol'!$G1215)+IF('RICE_Insured Farms_with PPI Pol'!$H1215&lt;&gt;'RICE_Insured Farms_with PPI Pol'!$G1215,18,0)</f>
        <v>55</v>
      </c>
      <c r="W1215" s="3" t="str">
        <f t="array" ref="W1215">IFS(V1215&gt;120, "Harvested", V1215&gt;=113, "Yellow Ripening", V1215&gt;=101, "Dough Stage", V1215&gt;=93, "Milking Stage", V1215&gt;=86, "Flowering", V1215&gt;=56, "Panicle Initiation/Booting", V1215&lt;56, "Vegetative/Tillering")</f>
        <v>Vegetative/Tillering</v>
      </c>
    </row>
    <row r="1216" ht="15.75" customHeight="1">
      <c r="A1216" s="3">
        <v>1215.0</v>
      </c>
      <c r="B1216" s="3" t="s">
        <v>23</v>
      </c>
      <c r="C1216" s="3" t="s">
        <v>68</v>
      </c>
      <c r="D1216" s="3" t="s">
        <v>289</v>
      </c>
      <c r="E1216" s="3" t="s">
        <v>507</v>
      </c>
      <c r="F1216" s="3">
        <v>1760017.0</v>
      </c>
      <c r="G1216" s="4">
        <v>46019.0</v>
      </c>
      <c r="H1216" s="4">
        <v>46121.0</v>
      </c>
      <c r="I1216" s="3" t="s">
        <v>1263</v>
      </c>
      <c r="J1216" s="3" t="s">
        <v>3175</v>
      </c>
      <c r="K1216" s="3" t="s">
        <v>3176</v>
      </c>
      <c r="L1216" s="3">
        <v>0.2096</v>
      </c>
      <c r="M1216" s="3">
        <v>5240.0</v>
      </c>
      <c r="N1216" s="3">
        <v>3.0</v>
      </c>
      <c r="O1216" s="3">
        <v>282879.0</v>
      </c>
      <c r="P1216" s="3"/>
      <c r="Q1216" s="3">
        <v>1140555.0</v>
      </c>
      <c r="R1216" s="3"/>
      <c r="S1216" s="3">
        <v>4192.0</v>
      </c>
      <c r="T1216" s="3" t="s">
        <v>37</v>
      </c>
      <c r="U1216" s="3">
        <v>4192.0</v>
      </c>
      <c r="V1216" s="5">
        <f>(DATE(2026,2,3)-'RICE_Insured Farms_with PPI Pol'!$G1216)+IF('RICE_Insured Farms_with PPI Pol'!$H1216&lt;&gt;'RICE_Insured Farms_with PPI Pol'!$G1216,18,0)</f>
        <v>55</v>
      </c>
      <c r="W1216" s="3" t="str">
        <f t="array" ref="W1216">IFS(V1216&gt;120, "Harvested", V1216&gt;=113, "Yellow Ripening", V1216&gt;=101, "Dough Stage", V1216&gt;=93, "Milking Stage", V1216&gt;=86, "Flowering", V1216&gt;=56, "Panicle Initiation/Booting", V1216&lt;56, "Vegetative/Tillering")</f>
        <v>Vegetative/Tillering</v>
      </c>
    </row>
    <row r="1217" ht="15.75" customHeight="1">
      <c r="A1217" s="3">
        <v>1216.0</v>
      </c>
      <c r="B1217" s="3" t="s">
        <v>23</v>
      </c>
      <c r="C1217" s="3" t="s">
        <v>68</v>
      </c>
      <c r="D1217" s="3" t="s">
        <v>289</v>
      </c>
      <c r="E1217" s="3" t="s">
        <v>507</v>
      </c>
      <c r="F1217" s="3">
        <v>1760016.0</v>
      </c>
      <c r="G1217" s="4">
        <v>46018.0</v>
      </c>
      <c r="H1217" s="4">
        <v>46120.0</v>
      </c>
      <c r="I1217" s="3" t="s">
        <v>1263</v>
      </c>
      <c r="J1217" s="3" t="s">
        <v>3177</v>
      </c>
      <c r="K1217" s="3" t="s">
        <v>552</v>
      </c>
      <c r="L1217" s="3">
        <v>0.3545</v>
      </c>
      <c r="M1217" s="3">
        <v>8862.5</v>
      </c>
      <c r="N1217" s="3">
        <v>3.0</v>
      </c>
      <c r="O1217" s="3">
        <v>451682.0</v>
      </c>
      <c r="P1217" s="3" t="s">
        <v>3178</v>
      </c>
      <c r="Q1217" s="3">
        <v>1134510.0</v>
      </c>
      <c r="R1217" s="3"/>
      <c r="S1217" s="3">
        <v>7090.0</v>
      </c>
      <c r="T1217" s="3" t="s">
        <v>37</v>
      </c>
      <c r="U1217" s="3">
        <v>7090.0</v>
      </c>
      <c r="V1217" s="5">
        <f>(DATE(2026,2,3)-'RICE_Insured Farms_with PPI Pol'!$G1217)+IF('RICE_Insured Farms_with PPI Pol'!$H1217&lt;&gt;'RICE_Insured Farms_with PPI Pol'!$G1217,18,0)</f>
        <v>56</v>
      </c>
      <c r="W1217" s="3" t="str">
        <f t="array" ref="W1217">IFS(V1217&gt;120, "Harvested", V1217&gt;=113, "Yellow Ripening", V1217&gt;=101, "Dough Stage", V1217&gt;=93, "Milking Stage", V1217&gt;=86, "Flowering", V1217&gt;=56, "Panicle Initiation/Booting", V1217&lt;56, "Vegetative/Tillering")</f>
        <v>Panicle Initiation/Booting</v>
      </c>
    </row>
    <row r="1218" ht="15.75" customHeight="1">
      <c r="A1218" s="3">
        <v>1217.0</v>
      </c>
      <c r="B1218" s="3" t="s">
        <v>23</v>
      </c>
      <c r="C1218" s="3" t="s">
        <v>68</v>
      </c>
      <c r="D1218" s="3" t="s">
        <v>289</v>
      </c>
      <c r="E1218" s="3" t="s">
        <v>685</v>
      </c>
      <c r="F1218" s="3">
        <v>1760004.0</v>
      </c>
      <c r="G1218" s="4">
        <v>46019.0</v>
      </c>
      <c r="H1218" s="4">
        <v>46121.0</v>
      </c>
      <c r="I1218" s="3" t="s">
        <v>3179</v>
      </c>
      <c r="J1218" s="3" t="s">
        <v>3180</v>
      </c>
      <c r="K1218" s="3" t="s">
        <v>1850</v>
      </c>
      <c r="L1218" s="3">
        <v>0.7356</v>
      </c>
      <c r="M1218" s="3">
        <v>18390.0</v>
      </c>
      <c r="N1218" s="3">
        <v>3.0</v>
      </c>
      <c r="O1218" s="3">
        <v>295293.0</v>
      </c>
      <c r="P1218" s="3" t="s">
        <v>3181</v>
      </c>
      <c r="Q1218" s="3">
        <v>619210.0</v>
      </c>
      <c r="R1218" s="3"/>
      <c r="S1218" s="3">
        <v>14712.0</v>
      </c>
      <c r="T1218" s="3" t="s">
        <v>37</v>
      </c>
      <c r="U1218" s="3">
        <v>14712.0</v>
      </c>
      <c r="V1218" s="5">
        <f>(DATE(2026,2,3)-'RICE_Insured Farms_with PPI Pol'!$G1218)+IF('RICE_Insured Farms_with PPI Pol'!$H1218&lt;&gt;'RICE_Insured Farms_with PPI Pol'!$G1218,18,0)</f>
        <v>55</v>
      </c>
      <c r="W1218" s="3" t="str">
        <f t="array" ref="W1218">IFS(V1218&gt;120, "Harvested", V1218&gt;=113, "Yellow Ripening", V1218&gt;=101, "Dough Stage", V1218&gt;=93, "Milking Stage", V1218&gt;=86, "Flowering", V1218&gt;=56, "Panicle Initiation/Booting", V1218&lt;56, "Vegetative/Tillering")</f>
        <v>Vegetative/Tillering</v>
      </c>
    </row>
    <row r="1219" ht="15.75" customHeight="1">
      <c r="A1219" s="3">
        <v>1218.0</v>
      </c>
      <c r="B1219" s="3" t="s">
        <v>23</v>
      </c>
      <c r="C1219" s="3" t="s">
        <v>68</v>
      </c>
      <c r="D1219" s="3" t="s">
        <v>289</v>
      </c>
      <c r="E1219" s="3" t="s">
        <v>702</v>
      </c>
      <c r="F1219" s="3">
        <v>1760010.0</v>
      </c>
      <c r="G1219" s="4">
        <v>46011.0</v>
      </c>
      <c r="H1219" s="4">
        <v>46113.0</v>
      </c>
      <c r="I1219" s="3" t="s">
        <v>3182</v>
      </c>
      <c r="J1219" s="3" t="s">
        <v>3183</v>
      </c>
      <c r="K1219" s="3" t="s">
        <v>3184</v>
      </c>
      <c r="L1219" s="3">
        <v>0.3821</v>
      </c>
      <c r="M1219" s="3">
        <v>9552.5</v>
      </c>
      <c r="N1219" s="3">
        <v>3.0</v>
      </c>
      <c r="O1219" s="3">
        <v>294234.0</v>
      </c>
      <c r="P1219" s="3" t="s">
        <v>3185</v>
      </c>
      <c r="Q1219" s="3">
        <v>1033365.0</v>
      </c>
      <c r="R1219" s="3"/>
      <c r="S1219" s="3">
        <v>7642.0</v>
      </c>
      <c r="T1219" s="3" t="s">
        <v>37</v>
      </c>
      <c r="U1219" s="3">
        <v>7642.0</v>
      </c>
      <c r="V1219" s="5">
        <f>(DATE(2026,2,3)-'RICE_Insured Farms_with PPI Pol'!$G1219)+IF('RICE_Insured Farms_with PPI Pol'!$H1219&lt;&gt;'RICE_Insured Farms_with PPI Pol'!$G1219,18,0)</f>
        <v>63</v>
      </c>
      <c r="W1219" s="3" t="str">
        <f t="array" ref="W1219">IFS(V1219&gt;120, "Harvested", V1219&gt;=113, "Yellow Ripening", V1219&gt;=101, "Dough Stage", V1219&gt;=93, "Milking Stage", V1219&gt;=86, "Flowering", V1219&gt;=56, "Panicle Initiation/Booting", V1219&lt;56, "Vegetative/Tillering")</f>
        <v>Panicle Initiation/Booting</v>
      </c>
    </row>
    <row r="1220" ht="15.75" hidden="1" customHeight="1">
      <c r="A1220" s="3">
        <v>301.0</v>
      </c>
      <c r="B1220" s="3" t="s">
        <v>23</v>
      </c>
      <c r="C1220" s="3" t="s">
        <v>68</v>
      </c>
      <c r="D1220" s="3" t="s">
        <v>262</v>
      </c>
      <c r="E1220" s="3" t="s">
        <v>273</v>
      </c>
      <c r="F1220" s="3">
        <v>1739582.0</v>
      </c>
      <c r="G1220" s="4">
        <v>46009.0</v>
      </c>
      <c r="H1220" s="4">
        <v>46111.0</v>
      </c>
      <c r="I1220" s="3" t="s">
        <v>1051</v>
      </c>
      <c r="J1220" s="3" t="s">
        <v>3117</v>
      </c>
      <c r="K1220" s="3" t="s">
        <v>274</v>
      </c>
      <c r="L1220" s="3">
        <v>0.4448</v>
      </c>
      <c r="M1220" s="3">
        <v>11120.0</v>
      </c>
      <c r="N1220" s="3">
        <v>4.0</v>
      </c>
      <c r="O1220" s="3">
        <v>148931.0</v>
      </c>
      <c r="P1220" s="3" t="s">
        <v>3118</v>
      </c>
      <c r="Q1220" s="3">
        <v>1029433.0</v>
      </c>
      <c r="R1220" s="3"/>
      <c r="S1220" s="3">
        <v>8896.0</v>
      </c>
      <c r="T1220" s="3" t="s">
        <v>56</v>
      </c>
      <c r="U1220" s="3">
        <v>8896.0</v>
      </c>
      <c r="V1220" s="5">
        <f>(DATE(2026,2,3)-'RICE_Insured Farms_with PPI Pol'!$G1220)+IF('RICE_Insured Farms_with PPI Pol'!$H1220&lt;&gt;'RICE_Insured Farms_with PPI Pol'!$G1220,18,0)</f>
        <v>65</v>
      </c>
      <c r="W1220" s="3" t="str">
        <f t="array" ref="W1220">IFS(V1220&gt;120, "Harvested", V1220&gt;=113, "Yellow Ripening", V1220&gt;=101, "Dough Stage", V1220&gt;=93, "Milking Stage", V1220&gt;=86, "Flowering", V1220&gt;=56, "Panicle Initiation/Booting", V1220&lt;56, "Vegetative/Tillering")</f>
        <v>Panicle Initiation/Booting</v>
      </c>
    </row>
    <row r="1221" ht="15.75" hidden="1" customHeight="1">
      <c r="A1221" s="3">
        <v>1220.0</v>
      </c>
      <c r="B1221" s="3" t="s">
        <v>23</v>
      </c>
      <c r="C1221" s="3" t="s">
        <v>68</v>
      </c>
      <c r="D1221" s="3" t="s">
        <v>289</v>
      </c>
      <c r="E1221" s="3" t="s">
        <v>685</v>
      </c>
      <c r="F1221" s="3">
        <v>1760004.0</v>
      </c>
      <c r="G1221" s="4">
        <v>46027.0</v>
      </c>
      <c r="H1221" s="4">
        <v>46129.0</v>
      </c>
      <c r="I1221" s="3" t="s">
        <v>3186</v>
      </c>
      <c r="J1221" s="3" t="s">
        <v>100</v>
      </c>
      <c r="K1221" s="3" t="s">
        <v>3187</v>
      </c>
      <c r="L1221" s="3">
        <v>0.7873</v>
      </c>
      <c r="M1221" s="3">
        <v>19682.5</v>
      </c>
      <c r="N1221" s="3">
        <v>2.0</v>
      </c>
      <c r="O1221" s="3">
        <v>293892.0</v>
      </c>
      <c r="P1221" s="3" t="s">
        <v>3188</v>
      </c>
      <c r="Q1221" s="3">
        <v>1141250.0</v>
      </c>
      <c r="R1221" s="3"/>
      <c r="S1221" s="3">
        <v>13777.75</v>
      </c>
      <c r="T1221" s="3" t="s">
        <v>31</v>
      </c>
      <c r="U1221" s="3">
        <v>13777.75</v>
      </c>
      <c r="V1221" s="5">
        <f>(DATE(2026,2,3)-'RICE_Insured Farms_with PPI Pol'!$G1221)+IF('RICE_Insured Farms_with PPI Pol'!$H1221&lt;&gt;'RICE_Insured Farms_with PPI Pol'!$G1221,18,0)</f>
        <v>47</v>
      </c>
      <c r="W1221" s="3" t="str">
        <f t="array" ref="W1221">IFS(V1221&gt;120, "Harvested", V1221&gt;=113, "Yellow Ripening", V1221&gt;=101, "Dough Stage", V1221&gt;=93, "Milking Stage", V1221&gt;=86, "Flowering", V1221&gt;=56, "Panicle Initiation/Booting", V1221&lt;56, "Vegetative/Tillering")</f>
        <v>Vegetative/Tillering</v>
      </c>
    </row>
    <row r="1222" ht="15.75" customHeight="1">
      <c r="A1222" s="3">
        <v>1221.0</v>
      </c>
      <c r="B1222" s="3" t="s">
        <v>23</v>
      </c>
      <c r="C1222" s="3" t="s">
        <v>68</v>
      </c>
      <c r="D1222" s="3" t="s">
        <v>122</v>
      </c>
      <c r="E1222" s="3" t="s">
        <v>1122</v>
      </c>
      <c r="F1222" s="3">
        <v>1196931.0</v>
      </c>
      <c r="G1222" s="4">
        <v>46017.0</v>
      </c>
      <c r="H1222" s="4">
        <v>46119.0</v>
      </c>
      <c r="I1222" s="3" t="s">
        <v>1228</v>
      </c>
      <c r="J1222" s="3" t="s">
        <v>3189</v>
      </c>
      <c r="K1222" s="3" t="s">
        <v>440</v>
      </c>
      <c r="L1222" s="3">
        <v>0.4094</v>
      </c>
      <c r="M1222" s="3">
        <v>10235.0</v>
      </c>
      <c r="N1222" s="3">
        <v>3.0</v>
      </c>
      <c r="O1222" s="3">
        <v>382147.0</v>
      </c>
      <c r="P1222" s="3" t="s">
        <v>3190</v>
      </c>
      <c r="Q1222" s="3">
        <v>1277187.0</v>
      </c>
      <c r="R1222" s="3"/>
      <c r="S1222" s="3">
        <v>8188.0</v>
      </c>
      <c r="T1222" s="3" t="s">
        <v>37</v>
      </c>
      <c r="U1222" s="3">
        <v>8188.0</v>
      </c>
      <c r="V1222" s="5">
        <f>(DATE(2026,2,3)-'RICE_Insured Farms_with PPI Pol'!$G1222)+IF('RICE_Insured Farms_with PPI Pol'!$H1222&lt;&gt;'RICE_Insured Farms_with PPI Pol'!$G1222,18,0)</f>
        <v>57</v>
      </c>
      <c r="W1222" s="3" t="str">
        <f t="array" ref="W1222">IFS(V1222&gt;120, "Harvested", V1222&gt;=113, "Yellow Ripening", V1222&gt;=101, "Dough Stage", V1222&gt;=93, "Milking Stage", V1222&gt;=86, "Flowering", V1222&gt;=56, "Panicle Initiation/Booting", V1222&lt;56, "Vegetative/Tillering")</f>
        <v>Panicle Initiation/Booting</v>
      </c>
    </row>
    <row r="1223" ht="15.75" customHeight="1">
      <c r="A1223" s="3">
        <v>1222.0</v>
      </c>
      <c r="B1223" s="3" t="s">
        <v>23</v>
      </c>
      <c r="C1223" s="3" t="s">
        <v>68</v>
      </c>
      <c r="D1223" s="3" t="s">
        <v>679</v>
      </c>
      <c r="E1223" s="3" t="s">
        <v>680</v>
      </c>
      <c r="F1223" s="3">
        <v>1175381.0</v>
      </c>
      <c r="G1223" s="4">
        <v>46024.0</v>
      </c>
      <c r="H1223" s="4">
        <v>46126.0</v>
      </c>
      <c r="I1223" s="3" t="s">
        <v>3191</v>
      </c>
      <c r="J1223" s="3" t="s">
        <v>2910</v>
      </c>
      <c r="K1223" s="3" t="s">
        <v>3192</v>
      </c>
      <c r="L1223" s="3">
        <v>0.3451</v>
      </c>
      <c r="M1223" s="3">
        <v>8627.5</v>
      </c>
      <c r="N1223" s="3">
        <v>3.0</v>
      </c>
      <c r="O1223" s="3">
        <v>295443.0</v>
      </c>
      <c r="P1223" s="3" t="s">
        <v>3193</v>
      </c>
      <c r="Q1223" s="3">
        <v>1142421.0</v>
      </c>
      <c r="R1223" s="3"/>
      <c r="S1223" s="3">
        <v>6902.0</v>
      </c>
      <c r="T1223" s="3" t="s">
        <v>37</v>
      </c>
      <c r="U1223" s="3">
        <v>6902.0</v>
      </c>
      <c r="V1223" s="5">
        <f>(DATE(2026,2,3)-'RICE_Insured Farms_with PPI Pol'!$G1223)+IF('RICE_Insured Farms_with PPI Pol'!$H1223&lt;&gt;'RICE_Insured Farms_with PPI Pol'!$G1223,18,0)</f>
        <v>50</v>
      </c>
      <c r="W1223" s="3" t="str">
        <f t="array" ref="W1223">IFS(V1223&gt;120, "Harvested", V1223&gt;=113, "Yellow Ripening", V1223&gt;=101, "Dough Stage", V1223&gt;=93, "Milking Stage", V1223&gt;=86, "Flowering", V1223&gt;=56, "Panicle Initiation/Booting", V1223&lt;56, "Vegetative/Tillering")</f>
        <v>Vegetative/Tillering</v>
      </c>
    </row>
    <row r="1224" ht="15.75" customHeight="1">
      <c r="A1224" s="3">
        <v>1223.0</v>
      </c>
      <c r="B1224" s="3" t="s">
        <v>23</v>
      </c>
      <c r="C1224" s="3" t="s">
        <v>68</v>
      </c>
      <c r="D1224" s="3" t="s">
        <v>289</v>
      </c>
      <c r="E1224" s="3" t="s">
        <v>702</v>
      </c>
      <c r="F1224" s="3">
        <v>1760027.0</v>
      </c>
      <c r="G1224" s="4">
        <v>46021.0</v>
      </c>
      <c r="H1224" s="4">
        <v>46123.0</v>
      </c>
      <c r="I1224" s="3" t="s">
        <v>3194</v>
      </c>
      <c r="J1224" s="3" t="s">
        <v>3195</v>
      </c>
      <c r="K1224" s="3" t="s">
        <v>3196</v>
      </c>
      <c r="L1224" s="3">
        <v>0.2352</v>
      </c>
      <c r="M1224" s="3">
        <v>5880.0</v>
      </c>
      <c r="N1224" s="3">
        <v>3.0</v>
      </c>
      <c r="O1224" s="3">
        <v>95272.0</v>
      </c>
      <c r="P1224" s="3" t="s">
        <v>3197</v>
      </c>
      <c r="Q1224" s="3">
        <v>1150846.0</v>
      </c>
      <c r="R1224" s="3"/>
      <c r="S1224" s="3">
        <v>4704.0</v>
      </c>
      <c r="T1224" s="3" t="s">
        <v>37</v>
      </c>
      <c r="U1224" s="3">
        <v>4704.0</v>
      </c>
      <c r="V1224" s="5">
        <f>(DATE(2026,2,3)-'RICE_Insured Farms_with PPI Pol'!$G1224)+IF('RICE_Insured Farms_with PPI Pol'!$H1224&lt;&gt;'RICE_Insured Farms_with PPI Pol'!$G1224,18,0)</f>
        <v>53</v>
      </c>
      <c r="W1224" s="3" t="str">
        <f t="array" ref="W1224">IFS(V1224&gt;120, "Harvested", V1224&gt;=113, "Yellow Ripening", V1224&gt;=101, "Dough Stage", V1224&gt;=93, "Milking Stage", V1224&gt;=86, "Flowering", V1224&gt;=56, "Panicle Initiation/Booting", V1224&lt;56, "Vegetative/Tillering")</f>
        <v>Vegetative/Tillering</v>
      </c>
    </row>
    <row r="1225" ht="15.75" customHeight="1">
      <c r="A1225" s="3">
        <v>1224.0</v>
      </c>
      <c r="B1225" s="3" t="s">
        <v>23</v>
      </c>
      <c r="C1225" s="3" t="s">
        <v>121</v>
      </c>
      <c r="D1225" s="3" t="s">
        <v>122</v>
      </c>
      <c r="E1225" s="3" t="s">
        <v>123</v>
      </c>
      <c r="F1225" s="3">
        <v>1760508.0</v>
      </c>
      <c r="G1225" s="4">
        <v>46026.0</v>
      </c>
      <c r="H1225" s="4">
        <v>46121.0</v>
      </c>
      <c r="I1225" s="3" t="s">
        <v>2156</v>
      </c>
      <c r="J1225" s="3" t="s">
        <v>2118</v>
      </c>
      <c r="K1225" s="3" t="s">
        <v>3198</v>
      </c>
      <c r="L1225" s="3">
        <v>1.0</v>
      </c>
      <c r="M1225" s="3">
        <v>25000.0</v>
      </c>
      <c r="N1225" s="3">
        <v>3.0</v>
      </c>
      <c r="O1225" s="3">
        <v>417573.0</v>
      </c>
      <c r="P1225" s="3"/>
      <c r="Q1225" s="3">
        <v>1041853.0</v>
      </c>
      <c r="R1225" s="3"/>
      <c r="S1225" s="3">
        <v>20000.0</v>
      </c>
      <c r="T1225" s="3" t="s">
        <v>37</v>
      </c>
      <c r="U1225" s="3">
        <v>20000.0</v>
      </c>
      <c r="V1225" s="5">
        <f>(DATE(2026,2,3)-'RICE_Insured Farms_with PPI Pol'!$G1225)+IF('RICE_Insured Farms_with PPI Pol'!$H1225&lt;&gt;'RICE_Insured Farms_with PPI Pol'!$G1225,18,0)</f>
        <v>48</v>
      </c>
      <c r="W1225" s="3" t="str">
        <f t="array" ref="W1225">IFS(V1225&gt;120, "Harvested", V1225&gt;=113, "Yellow Ripening", V1225&gt;=101, "Dough Stage", V1225&gt;=93, "Milking Stage", V1225&gt;=86, "Flowering", V1225&gt;=56, "Panicle Initiation/Booting", V1225&lt;56, "Vegetative/Tillering")</f>
        <v>Vegetative/Tillering</v>
      </c>
    </row>
    <row r="1226" ht="15.75" hidden="1" customHeight="1">
      <c r="A1226" s="3">
        <v>1225.0</v>
      </c>
      <c r="B1226" s="3" t="s">
        <v>23</v>
      </c>
      <c r="C1226" s="3" t="s">
        <v>68</v>
      </c>
      <c r="D1226" s="3" t="s">
        <v>289</v>
      </c>
      <c r="E1226" s="3" t="s">
        <v>2291</v>
      </c>
      <c r="F1226" s="3">
        <v>1760031.0</v>
      </c>
      <c r="G1226" s="4">
        <v>46030.0</v>
      </c>
      <c r="H1226" s="4">
        <v>46132.0</v>
      </c>
      <c r="I1226" s="3" t="s">
        <v>2304</v>
      </c>
      <c r="J1226" s="3" t="s">
        <v>3199</v>
      </c>
      <c r="K1226" s="3" t="s">
        <v>3200</v>
      </c>
      <c r="L1226" s="3">
        <v>0.4558</v>
      </c>
      <c r="M1226" s="3">
        <v>11395.0</v>
      </c>
      <c r="N1226" s="3">
        <v>2.0</v>
      </c>
      <c r="O1226" s="3">
        <v>388399.0</v>
      </c>
      <c r="P1226" s="3" t="s">
        <v>3201</v>
      </c>
      <c r="Q1226" s="3">
        <v>1278473.0</v>
      </c>
      <c r="R1226" s="3"/>
      <c r="S1226" s="3">
        <v>7976.5</v>
      </c>
      <c r="T1226" s="3" t="s">
        <v>31</v>
      </c>
      <c r="U1226" s="3">
        <v>7976.5</v>
      </c>
      <c r="V1226" s="5">
        <f>(DATE(2026,2,3)-'RICE_Insured Farms_with PPI Pol'!$G1226)+IF('RICE_Insured Farms_with PPI Pol'!$H1226&lt;&gt;'RICE_Insured Farms_with PPI Pol'!$G1226,18,0)</f>
        <v>44</v>
      </c>
      <c r="W1226" s="3" t="str">
        <f t="array" ref="W1226">IFS(V1226&gt;120, "Harvested", V1226&gt;=113, "Yellow Ripening", V1226&gt;=101, "Dough Stage", V1226&gt;=93, "Milking Stage", V1226&gt;=86, "Flowering", V1226&gt;=56, "Panicle Initiation/Booting", V1226&lt;56, "Vegetative/Tillering")</f>
        <v>Vegetative/Tillering</v>
      </c>
    </row>
    <row r="1227" ht="15.75" hidden="1" customHeight="1">
      <c r="A1227" s="3">
        <v>1226.0</v>
      </c>
      <c r="B1227" s="3" t="s">
        <v>23</v>
      </c>
      <c r="C1227" s="3" t="s">
        <v>68</v>
      </c>
      <c r="D1227" s="3" t="s">
        <v>289</v>
      </c>
      <c r="E1227" s="3" t="s">
        <v>507</v>
      </c>
      <c r="F1227" s="3">
        <v>1760026.0</v>
      </c>
      <c r="G1227" s="4">
        <v>46027.0</v>
      </c>
      <c r="H1227" s="4">
        <v>46129.0</v>
      </c>
      <c r="I1227" s="3" t="s">
        <v>2304</v>
      </c>
      <c r="J1227" s="3" t="s">
        <v>652</v>
      </c>
      <c r="K1227" s="3" t="s">
        <v>1676</v>
      </c>
      <c r="L1227" s="3">
        <v>0.0655</v>
      </c>
      <c r="M1227" s="3">
        <v>1637.5</v>
      </c>
      <c r="N1227" s="3">
        <v>2.0</v>
      </c>
      <c r="O1227" s="3">
        <v>205620.0</v>
      </c>
      <c r="P1227" s="3"/>
      <c r="Q1227" s="3">
        <v>1286271.0</v>
      </c>
      <c r="R1227" s="3"/>
      <c r="S1227" s="3">
        <v>1146.25</v>
      </c>
      <c r="T1227" s="3" t="s">
        <v>31</v>
      </c>
      <c r="U1227" s="3">
        <v>1146.25</v>
      </c>
      <c r="V1227" s="5">
        <f>(DATE(2026,2,3)-'RICE_Insured Farms_with PPI Pol'!$G1227)+IF('RICE_Insured Farms_with PPI Pol'!$H1227&lt;&gt;'RICE_Insured Farms_with PPI Pol'!$G1227,18,0)</f>
        <v>47</v>
      </c>
      <c r="W1227" s="3" t="str">
        <f t="array" ref="W1227">IFS(V1227&gt;120, "Harvested", V1227&gt;=113, "Yellow Ripening", V1227&gt;=101, "Dough Stage", V1227&gt;=93, "Milking Stage", V1227&gt;=86, "Flowering", V1227&gt;=56, "Panicle Initiation/Booting", V1227&lt;56, "Vegetative/Tillering")</f>
        <v>Vegetative/Tillering</v>
      </c>
    </row>
    <row r="1228" ht="15.75" hidden="1" customHeight="1">
      <c r="A1228" s="3">
        <v>1227.0</v>
      </c>
      <c r="B1228" s="3" t="s">
        <v>23</v>
      </c>
      <c r="C1228" s="3" t="s">
        <v>68</v>
      </c>
      <c r="D1228" s="3" t="s">
        <v>289</v>
      </c>
      <c r="E1228" s="3" t="s">
        <v>507</v>
      </c>
      <c r="F1228" s="3">
        <v>1760026.0</v>
      </c>
      <c r="G1228" s="4">
        <v>46027.0</v>
      </c>
      <c r="H1228" s="4">
        <v>46129.0</v>
      </c>
      <c r="I1228" s="3" t="s">
        <v>2304</v>
      </c>
      <c r="J1228" s="3" t="s">
        <v>652</v>
      </c>
      <c r="K1228" s="3" t="s">
        <v>1676</v>
      </c>
      <c r="L1228" s="3">
        <v>0.1445</v>
      </c>
      <c r="M1228" s="3">
        <v>3612.5</v>
      </c>
      <c r="N1228" s="3">
        <v>2.0</v>
      </c>
      <c r="O1228" s="3">
        <v>205620.0</v>
      </c>
      <c r="P1228" s="3"/>
      <c r="Q1228" s="3">
        <v>1286274.0</v>
      </c>
      <c r="R1228" s="3"/>
      <c r="S1228" s="3">
        <v>2528.75</v>
      </c>
      <c r="T1228" s="3" t="s">
        <v>31</v>
      </c>
      <c r="U1228" s="3">
        <v>2528.75</v>
      </c>
      <c r="V1228" s="5">
        <f>(DATE(2026,2,3)-'RICE_Insured Farms_with PPI Pol'!$G1228)+IF('RICE_Insured Farms_with PPI Pol'!$H1228&lt;&gt;'RICE_Insured Farms_with PPI Pol'!$G1228,18,0)</f>
        <v>47</v>
      </c>
      <c r="W1228" s="3" t="str">
        <f t="array" ref="W1228">IFS(V1228&gt;120, "Harvested", V1228&gt;=113, "Yellow Ripening", V1228&gt;=101, "Dough Stage", V1228&gt;=93, "Milking Stage", V1228&gt;=86, "Flowering", V1228&gt;=56, "Panicle Initiation/Booting", V1228&lt;56, "Vegetative/Tillering")</f>
        <v>Vegetative/Tillering</v>
      </c>
    </row>
    <row r="1229" ht="15.75" customHeight="1">
      <c r="A1229" s="3">
        <v>1228.0</v>
      </c>
      <c r="B1229" s="3" t="s">
        <v>23</v>
      </c>
      <c r="C1229" s="3" t="s">
        <v>68</v>
      </c>
      <c r="D1229" s="3" t="s">
        <v>289</v>
      </c>
      <c r="E1229" s="3" t="s">
        <v>507</v>
      </c>
      <c r="F1229" s="3">
        <v>1760006.0</v>
      </c>
      <c r="G1229" s="4">
        <v>46021.0</v>
      </c>
      <c r="H1229" s="4">
        <v>46123.0</v>
      </c>
      <c r="I1229" s="3" t="s">
        <v>2304</v>
      </c>
      <c r="J1229" s="3" t="s">
        <v>2800</v>
      </c>
      <c r="K1229" s="3" t="s">
        <v>846</v>
      </c>
      <c r="L1229" s="3">
        <v>0.1426</v>
      </c>
      <c r="M1229" s="3">
        <v>3565.0</v>
      </c>
      <c r="N1229" s="3">
        <v>3.0</v>
      </c>
      <c r="O1229" s="3">
        <v>205621.0</v>
      </c>
      <c r="P1229" s="3" t="s">
        <v>3202</v>
      </c>
      <c r="Q1229" s="3">
        <v>1148104.0</v>
      </c>
      <c r="R1229" s="3"/>
      <c r="S1229" s="3">
        <v>2852.0</v>
      </c>
      <c r="T1229" s="3" t="s">
        <v>37</v>
      </c>
      <c r="U1229" s="3">
        <v>2852.0</v>
      </c>
      <c r="V1229" s="5">
        <f>(DATE(2026,2,3)-'RICE_Insured Farms_with PPI Pol'!$G1229)+IF('RICE_Insured Farms_with PPI Pol'!$H1229&lt;&gt;'RICE_Insured Farms_with PPI Pol'!$G1229,18,0)</f>
        <v>53</v>
      </c>
      <c r="W1229" s="3" t="str">
        <f t="array" ref="W1229">IFS(V1229&gt;120, "Harvested", V1229&gt;=113, "Yellow Ripening", V1229&gt;=101, "Dough Stage", V1229&gt;=93, "Milking Stage", V1229&gt;=86, "Flowering", V1229&gt;=56, "Panicle Initiation/Booting", V1229&lt;56, "Vegetative/Tillering")</f>
        <v>Vegetative/Tillering</v>
      </c>
    </row>
    <row r="1230" ht="15.75" hidden="1" customHeight="1">
      <c r="A1230" s="3">
        <v>1229.0</v>
      </c>
      <c r="B1230" s="3" t="s">
        <v>23</v>
      </c>
      <c r="C1230" s="3" t="s">
        <v>68</v>
      </c>
      <c r="D1230" s="3" t="s">
        <v>679</v>
      </c>
      <c r="E1230" s="3" t="s">
        <v>680</v>
      </c>
      <c r="F1230" s="3">
        <v>1175384.0</v>
      </c>
      <c r="G1230" s="4">
        <v>46027.0</v>
      </c>
      <c r="H1230" s="4">
        <v>46129.0</v>
      </c>
      <c r="I1230" s="3" t="s">
        <v>1270</v>
      </c>
      <c r="J1230" s="3" t="s">
        <v>3203</v>
      </c>
      <c r="K1230" s="3" t="s">
        <v>3204</v>
      </c>
      <c r="L1230" s="3">
        <v>0.8276</v>
      </c>
      <c r="M1230" s="3">
        <v>20690.0</v>
      </c>
      <c r="N1230" s="3">
        <v>2.0</v>
      </c>
      <c r="O1230" s="3">
        <v>330094.0</v>
      </c>
      <c r="P1230" s="3" t="s">
        <v>3205</v>
      </c>
      <c r="Q1230" s="3">
        <v>1142941.0</v>
      </c>
      <c r="R1230" s="3"/>
      <c r="S1230" s="3">
        <v>14483.0</v>
      </c>
      <c r="T1230" s="3" t="s">
        <v>31</v>
      </c>
      <c r="U1230" s="3">
        <v>14483.0</v>
      </c>
      <c r="V1230" s="5">
        <f>(DATE(2026,2,3)-'RICE_Insured Farms_with PPI Pol'!$G1230)+IF('RICE_Insured Farms_with PPI Pol'!$H1230&lt;&gt;'RICE_Insured Farms_with PPI Pol'!$G1230,18,0)</f>
        <v>47</v>
      </c>
      <c r="W1230" s="3" t="str">
        <f t="array" ref="W1230">IFS(V1230&gt;120, "Harvested", V1230&gt;=113, "Yellow Ripening", V1230&gt;=101, "Dough Stage", V1230&gt;=93, "Milking Stage", V1230&gt;=86, "Flowering", V1230&gt;=56, "Panicle Initiation/Booting", V1230&lt;56, "Vegetative/Tillering")</f>
        <v>Vegetative/Tillering</v>
      </c>
    </row>
    <row r="1231" ht="15.75" customHeight="1">
      <c r="A1231" s="3">
        <v>1230.0</v>
      </c>
      <c r="B1231" s="3" t="s">
        <v>23</v>
      </c>
      <c r="C1231" s="3" t="s">
        <v>68</v>
      </c>
      <c r="D1231" s="3" t="s">
        <v>679</v>
      </c>
      <c r="E1231" s="3" t="s">
        <v>680</v>
      </c>
      <c r="F1231" s="3">
        <v>1175382.0</v>
      </c>
      <c r="G1231" s="4">
        <v>46024.0</v>
      </c>
      <c r="H1231" s="4">
        <v>46126.0</v>
      </c>
      <c r="I1231" s="3" t="s">
        <v>3206</v>
      </c>
      <c r="J1231" s="3" t="s">
        <v>3207</v>
      </c>
      <c r="K1231" s="3" t="s">
        <v>3208</v>
      </c>
      <c r="L1231" s="3">
        <v>0.0344</v>
      </c>
      <c r="M1231" s="3">
        <v>860.0</v>
      </c>
      <c r="N1231" s="3">
        <v>3.0</v>
      </c>
      <c r="O1231" s="3">
        <v>336820.0</v>
      </c>
      <c r="P1231" s="3" t="s">
        <v>3209</v>
      </c>
      <c r="Q1231" s="3">
        <v>1142332.0</v>
      </c>
      <c r="R1231" s="3"/>
      <c r="S1231" s="3">
        <v>688.0</v>
      </c>
      <c r="T1231" s="3" t="s">
        <v>37</v>
      </c>
      <c r="U1231" s="3">
        <v>688.0</v>
      </c>
      <c r="V1231" s="5">
        <f>(DATE(2026,2,3)-'RICE_Insured Farms_with PPI Pol'!$G1231)+IF('RICE_Insured Farms_with PPI Pol'!$H1231&lt;&gt;'RICE_Insured Farms_with PPI Pol'!$G1231,18,0)</f>
        <v>50</v>
      </c>
      <c r="W1231" s="3" t="str">
        <f t="array" ref="W1231">IFS(V1231&gt;120, "Harvested", V1231&gt;=113, "Yellow Ripening", V1231&gt;=101, "Dough Stage", V1231&gt;=93, "Milking Stage", V1231&gt;=86, "Flowering", V1231&gt;=56, "Panicle Initiation/Booting", V1231&lt;56, "Vegetative/Tillering")</f>
        <v>Vegetative/Tillering</v>
      </c>
    </row>
    <row r="1232" ht="15.75" hidden="1" customHeight="1">
      <c r="A1232" s="3">
        <v>311.0</v>
      </c>
      <c r="B1232" s="3" t="s">
        <v>23</v>
      </c>
      <c r="C1232" s="3" t="s">
        <v>68</v>
      </c>
      <c r="D1232" s="3" t="s">
        <v>262</v>
      </c>
      <c r="E1232" s="3" t="s">
        <v>405</v>
      </c>
      <c r="F1232" s="3">
        <v>1739582.0</v>
      </c>
      <c r="G1232" s="4">
        <v>46008.0</v>
      </c>
      <c r="H1232" s="4">
        <v>46110.0</v>
      </c>
      <c r="I1232" s="3" t="s">
        <v>3210</v>
      </c>
      <c r="J1232" s="3" t="s">
        <v>985</v>
      </c>
      <c r="K1232" s="3" t="s">
        <v>3211</v>
      </c>
      <c r="L1232" s="3">
        <v>0.3</v>
      </c>
      <c r="M1232" s="3">
        <v>7500.0</v>
      </c>
      <c r="N1232" s="3">
        <v>4.0</v>
      </c>
      <c r="O1232" s="3">
        <v>32693.0</v>
      </c>
      <c r="P1232" s="3" t="s">
        <v>3212</v>
      </c>
      <c r="Q1232" s="3">
        <v>1314945.0</v>
      </c>
      <c r="R1232" s="3"/>
      <c r="S1232" s="3">
        <v>6000.0</v>
      </c>
      <c r="T1232" s="3" t="s">
        <v>56</v>
      </c>
      <c r="U1232" s="3">
        <v>6000.0</v>
      </c>
      <c r="V1232" s="5">
        <f>(DATE(2026,2,3)-'RICE_Insured Farms_with PPI Pol'!$G1232)+IF('RICE_Insured Farms_with PPI Pol'!$H1232&lt;&gt;'RICE_Insured Farms_with PPI Pol'!$G1232,18,0)</f>
        <v>66</v>
      </c>
      <c r="W1232" s="3" t="str">
        <f t="array" ref="W1232">IFS(V1232&gt;120, "Harvested", V1232&gt;=113, "Yellow Ripening", V1232&gt;=101, "Dough Stage", V1232&gt;=93, "Milking Stage", V1232&gt;=86, "Flowering", V1232&gt;=56, "Panicle Initiation/Booting", V1232&lt;56, "Vegetative/Tillering")</f>
        <v>Panicle Initiation/Booting</v>
      </c>
    </row>
    <row r="1233" ht="15.75" customHeight="1">
      <c r="A1233" s="3">
        <v>1232.0</v>
      </c>
      <c r="B1233" s="3" t="s">
        <v>23</v>
      </c>
      <c r="C1233" s="3" t="s">
        <v>68</v>
      </c>
      <c r="D1233" s="3" t="s">
        <v>289</v>
      </c>
      <c r="E1233" s="3" t="s">
        <v>339</v>
      </c>
      <c r="F1233" s="3">
        <v>1760031.0</v>
      </c>
      <c r="G1233" s="4">
        <v>46021.0</v>
      </c>
      <c r="H1233" s="4">
        <v>46123.0</v>
      </c>
      <c r="I1233" s="3" t="s">
        <v>3213</v>
      </c>
      <c r="J1233" s="3" t="s">
        <v>3214</v>
      </c>
      <c r="K1233" s="3" t="s">
        <v>478</v>
      </c>
      <c r="L1233" s="3">
        <v>0.2811</v>
      </c>
      <c r="M1233" s="3">
        <v>7027.5</v>
      </c>
      <c r="N1233" s="3">
        <v>3.0</v>
      </c>
      <c r="O1233" s="3">
        <v>511142.0</v>
      </c>
      <c r="P1233" s="3"/>
      <c r="Q1233" s="3">
        <v>1282874.0</v>
      </c>
      <c r="R1233" s="3"/>
      <c r="S1233" s="3">
        <v>5622.0</v>
      </c>
      <c r="T1233" s="3" t="s">
        <v>37</v>
      </c>
      <c r="U1233" s="3">
        <v>5622.0</v>
      </c>
      <c r="V1233" s="5">
        <f>(DATE(2026,2,3)-'RICE_Insured Farms_with PPI Pol'!$G1233)+IF('RICE_Insured Farms_with PPI Pol'!$H1233&lt;&gt;'RICE_Insured Farms_with PPI Pol'!$G1233,18,0)</f>
        <v>53</v>
      </c>
      <c r="W1233" s="3" t="str">
        <f t="array" ref="W1233">IFS(V1233&gt;120, "Harvested", V1233&gt;=113, "Yellow Ripening", V1233&gt;=101, "Dough Stage", V1233&gt;=93, "Milking Stage", V1233&gt;=86, "Flowering", V1233&gt;=56, "Panicle Initiation/Booting", V1233&lt;56, "Vegetative/Tillering")</f>
        <v>Vegetative/Tillering</v>
      </c>
    </row>
    <row r="1234" ht="15.75" customHeight="1">
      <c r="A1234" s="3">
        <v>1233.0</v>
      </c>
      <c r="B1234" s="3" t="s">
        <v>23</v>
      </c>
      <c r="C1234" s="3" t="s">
        <v>68</v>
      </c>
      <c r="D1234" s="3" t="s">
        <v>69</v>
      </c>
      <c r="E1234" s="3" t="s">
        <v>131</v>
      </c>
      <c r="F1234" s="3">
        <v>1739642.0</v>
      </c>
      <c r="G1234" s="4">
        <v>46017.0</v>
      </c>
      <c r="H1234" s="4">
        <v>46119.0</v>
      </c>
      <c r="I1234" s="3" t="s">
        <v>3215</v>
      </c>
      <c r="J1234" s="3" t="s">
        <v>3216</v>
      </c>
      <c r="K1234" s="3" t="s">
        <v>442</v>
      </c>
      <c r="L1234" s="3">
        <v>0.1512</v>
      </c>
      <c r="M1234" s="3">
        <v>3780.0</v>
      </c>
      <c r="N1234" s="3">
        <v>3.0</v>
      </c>
      <c r="O1234" s="3">
        <v>195501.0</v>
      </c>
      <c r="P1234" s="3" t="s">
        <v>3217</v>
      </c>
      <c r="Q1234" s="3">
        <v>1137777.0</v>
      </c>
      <c r="R1234" s="3"/>
      <c r="S1234" s="3">
        <v>3024.0</v>
      </c>
      <c r="T1234" s="3" t="s">
        <v>37</v>
      </c>
      <c r="U1234" s="3">
        <v>3024.0</v>
      </c>
      <c r="V1234" s="5">
        <f>(DATE(2026,2,3)-'RICE_Insured Farms_with PPI Pol'!$G1234)+IF('RICE_Insured Farms_with PPI Pol'!$H1234&lt;&gt;'RICE_Insured Farms_with PPI Pol'!$G1234,18,0)</f>
        <v>57</v>
      </c>
      <c r="W1234" s="3" t="str">
        <f t="array" ref="W1234">IFS(V1234&gt;120, "Harvested", V1234&gt;=113, "Yellow Ripening", V1234&gt;=101, "Dough Stage", V1234&gt;=93, "Milking Stage", V1234&gt;=86, "Flowering", V1234&gt;=56, "Panicle Initiation/Booting", V1234&lt;56, "Vegetative/Tillering")</f>
        <v>Panicle Initiation/Booting</v>
      </c>
    </row>
    <row r="1235" ht="15.75" hidden="1" customHeight="1">
      <c r="A1235" s="3">
        <v>1234.0</v>
      </c>
      <c r="B1235" s="3" t="s">
        <v>23</v>
      </c>
      <c r="C1235" s="3" t="s">
        <v>68</v>
      </c>
      <c r="D1235" s="3" t="s">
        <v>289</v>
      </c>
      <c r="E1235" s="3" t="s">
        <v>352</v>
      </c>
      <c r="F1235" s="3">
        <v>1760053.0</v>
      </c>
      <c r="G1235" s="4">
        <v>46031.0</v>
      </c>
      <c r="H1235" s="4">
        <v>46133.0</v>
      </c>
      <c r="I1235" s="3" t="s">
        <v>3218</v>
      </c>
      <c r="J1235" s="3" t="s">
        <v>3219</v>
      </c>
      <c r="K1235" s="3" t="s">
        <v>3220</v>
      </c>
      <c r="L1235" s="3">
        <v>0.4017</v>
      </c>
      <c r="M1235" s="3">
        <v>10042.5</v>
      </c>
      <c r="N1235" s="3">
        <v>2.0</v>
      </c>
      <c r="O1235" s="3">
        <v>511340.0</v>
      </c>
      <c r="P1235" s="3"/>
      <c r="Q1235" s="3">
        <v>1284353.0</v>
      </c>
      <c r="R1235" s="3"/>
      <c r="S1235" s="3">
        <v>7029.75</v>
      </c>
      <c r="T1235" s="3" t="s">
        <v>31</v>
      </c>
      <c r="U1235" s="3">
        <v>7029.75</v>
      </c>
      <c r="V1235" s="5">
        <f>(DATE(2026,2,3)-'RICE_Insured Farms_with PPI Pol'!$G1235)+IF('RICE_Insured Farms_with PPI Pol'!$H1235&lt;&gt;'RICE_Insured Farms_with PPI Pol'!$G1235,18,0)</f>
        <v>43</v>
      </c>
      <c r="W1235" s="3" t="str">
        <f t="array" ref="W1235">IFS(V1235&gt;120, "Harvested", V1235&gt;=113, "Yellow Ripening", V1235&gt;=101, "Dough Stage", V1235&gt;=93, "Milking Stage", V1235&gt;=86, "Flowering", V1235&gt;=56, "Panicle Initiation/Booting", V1235&lt;56, "Vegetative/Tillering")</f>
        <v>Vegetative/Tillering</v>
      </c>
    </row>
    <row r="1236" ht="15.75" hidden="1" customHeight="1">
      <c r="A1236" s="3">
        <v>1235.0</v>
      </c>
      <c r="B1236" s="3" t="s">
        <v>23</v>
      </c>
      <c r="C1236" s="3" t="s">
        <v>68</v>
      </c>
      <c r="D1236" s="3" t="s">
        <v>289</v>
      </c>
      <c r="E1236" s="3" t="s">
        <v>431</v>
      </c>
      <c r="F1236" s="3">
        <v>1760039.0</v>
      </c>
      <c r="G1236" s="4">
        <v>46025.0</v>
      </c>
      <c r="H1236" s="4">
        <v>46127.0</v>
      </c>
      <c r="I1236" s="3" t="s">
        <v>564</v>
      </c>
      <c r="J1236" s="3" t="s">
        <v>1482</v>
      </c>
      <c r="K1236" s="3" t="s">
        <v>3221</v>
      </c>
      <c r="L1236" s="3">
        <v>0.7944</v>
      </c>
      <c r="M1236" s="3">
        <v>19860.0</v>
      </c>
      <c r="N1236" s="3">
        <v>2.0</v>
      </c>
      <c r="O1236" s="3">
        <v>474116.0</v>
      </c>
      <c r="P1236" s="3"/>
      <c r="Q1236" s="3">
        <v>1117990.0</v>
      </c>
      <c r="R1236" s="3"/>
      <c r="S1236" s="3">
        <v>13902.0</v>
      </c>
      <c r="T1236" s="3" t="s">
        <v>31</v>
      </c>
      <c r="U1236" s="3">
        <v>13902.0</v>
      </c>
      <c r="V1236" s="5">
        <f>(DATE(2026,2,3)-'RICE_Insured Farms_with PPI Pol'!$G1236)+IF('RICE_Insured Farms_with PPI Pol'!$H1236&lt;&gt;'RICE_Insured Farms_with PPI Pol'!$G1236,18,0)</f>
        <v>49</v>
      </c>
      <c r="W1236" s="3" t="str">
        <f t="array" ref="W1236">IFS(V1236&gt;120, "Harvested", V1236&gt;=113, "Yellow Ripening", V1236&gt;=101, "Dough Stage", V1236&gt;=93, "Milking Stage", V1236&gt;=86, "Flowering", V1236&gt;=56, "Panicle Initiation/Booting", V1236&lt;56, "Vegetative/Tillering")</f>
        <v>Vegetative/Tillering</v>
      </c>
    </row>
    <row r="1237" ht="15.75" hidden="1" customHeight="1">
      <c r="A1237" s="3">
        <v>1236.0</v>
      </c>
      <c r="B1237" s="3" t="s">
        <v>23</v>
      </c>
      <c r="C1237" s="3" t="s">
        <v>68</v>
      </c>
      <c r="D1237" s="3" t="s">
        <v>289</v>
      </c>
      <c r="E1237" s="3" t="s">
        <v>431</v>
      </c>
      <c r="F1237" s="3">
        <v>1760038.0</v>
      </c>
      <c r="G1237" s="4">
        <v>46033.0</v>
      </c>
      <c r="H1237" s="4">
        <v>46135.0</v>
      </c>
      <c r="I1237" s="3" t="s">
        <v>564</v>
      </c>
      <c r="J1237" s="3" t="s">
        <v>567</v>
      </c>
      <c r="K1237" s="3" t="s">
        <v>566</v>
      </c>
      <c r="L1237" s="3">
        <v>0.3514</v>
      </c>
      <c r="M1237" s="3">
        <v>8785.0</v>
      </c>
      <c r="N1237" s="3">
        <v>2.0</v>
      </c>
      <c r="O1237" s="3">
        <v>356030.0</v>
      </c>
      <c r="P1237" s="3" t="s">
        <v>568</v>
      </c>
      <c r="Q1237" s="3">
        <v>973670.0</v>
      </c>
      <c r="R1237" s="3"/>
      <c r="S1237" s="3">
        <v>6149.5</v>
      </c>
      <c r="T1237" s="3" t="s">
        <v>31</v>
      </c>
      <c r="U1237" s="3">
        <v>6149.5</v>
      </c>
      <c r="V1237" s="5">
        <f>(DATE(2026,2,3)-'RICE_Insured Farms_with PPI Pol'!$G1237)+IF('RICE_Insured Farms_with PPI Pol'!$H1237&lt;&gt;'RICE_Insured Farms_with PPI Pol'!$G1237,18,0)</f>
        <v>41</v>
      </c>
      <c r="W1237" s="3" t="str">
        <f t="array" ref="W1237">IFS(V1237&gt;120, "Harvested", V1237&gt;=113, "Yellow Ripening", V1237&gt;=101, "Dough Stage", V1237&gt;=93, "Milking Stage", V1237&gt;=86, "Flowering", V1237&gt;=56, "Panicle Initiation/Booting", V1237&lt;56, "Vegetative/Tillering")</f>
        <v>Vegetative/Tillering</v>
      </c>
    </row>
    <row r="1238" ht="15.75" hidden="1" customHeight="1">
      <c r="A1238" s="3">
        <v>1237.0</v>
      </c>
      <c r="B1238" s="3" t="s">
        <v>23</v>
      </c>
      <c r="C1238" s="3" t="s">
        <v>68</v>
      </c>
      <c r="D1238" s="3" t="s">
        <v>289</v>
      </c>
      <c r="E1238" s="3" t="s">
        <v>431</v>
      </c>
      <c r="F1238" s="3">
        <v>1760038.0</v>
      </c>
      <c r="G1238" s="4">
        <v>46029.0</v>
      </c>
      <c r="H1238" s="4">
        <v>46131.0</v>
      </c>
      <c r="I1238" s="3" t="s">
        <v>564</v>
      </c>
      <c r="J1238" s="3" t="s">
        <v>3222</v>
      </c>
      <c r="K1238" s="3" t="s">
        <v>3223</v>
      </c>
      <c r="L1238" s="3">
        <v>0.5716</v>
      </c>
      <c r="M1238" s="3">
        <v>14290.0</v>
      </c>
      <c r="N1238" s="3">
        <v>2.0</v>
      </c>
      <c r="O1238" s="3">
        <v>199447.0</v>
      </c>
      <c r="P1238" s="3"/>
      <c r="Q1238" s="3">
        <v>547603.0</v>
      </c>
      <c r="R1238" s="3"/>
      <c r="S1238" s="3">
        <v>10003.0</v>
      </c>
      <c r="T1238" s="3" t="s">
        <v>31</v>
      </c>
      <c r="U1238" s="3">
        <v>10003.0</v>
      </c>
      <c r="V1238" s="5">
        <f>(DATE(2026,2,3)-'RICE_Insured Farms_with PPI Pol'!$G1238)+IF('RICE_Insured Farms_with PPI Pol'!$H1238&lt;&gt;'RICE_Insured Farms_with PPI Pol'!$G1238,18,0)</f>
        <v>45</v>
      </c>
      <c r="W1238" s="3" t="str">
        <f t="array" ref="W1238">IFS(V1238&gt;120, "Harvested", V1238&gt;=113, "Yellow Ripening", V1238&gt;=101, "Dough Stage", V1238&gt;=93, "Milking Stage", V1238&gt;=86, "Flowering", V1238&gt;=56, "Panicle Initiation/Booting", V1238&lt;56, "Vegetative/Tillering")</f>
        <v>Vegetative/Tillering</v>
      </c>
    </row>
    <row r="1239" ht="15.75" customHeight="1">
      <c r="A1239" s="3">
        <v>1238.0</v>
      </c>
      <c r="B1239" s="3" t="s">
        <v>23</v>
      </c>
      <c r="C1239" s="3" t="s">
        <v>68</v>
      </c>
      <c r="D1239" s="3" t="s">
        <v>69</v>
      </c>
      <c r="E1239" s="3" t="s">
        <v>131</v>
      </c>
      <c r="F1239" s="3">
        <v>1739650.0</v>
      </c>
      <c r="G1239" s="4">
        <v>46021.0</v>
      </c>
      <c r="H1239" s="4">
        <v>46123.0</v>
      </c>
      <c r="I1239" s="3" t="s">
        <v>2140</v>
      </c>
      <c r="J1239" s="3" t="s">
        <v>1159</v>
      </c>
      <c r="K1239" s="3" t="s">
        <v>161</v>
      </c>
      <c r="L1239" s="3">
        <v>0.2744</v>
      </c>
      <c r="M1239" s="3">
        <v>6860.0</v>
      </c>
      <c r="N1239" s="3">
        <v>3.0</v>
      </c>
      <c r="O1239" s="3">
        <v>356982.0</v>
      </c>
      <c r="P1239" s="3" t="s">
        <v>3224</v>
      </c>
      <c r="Q1239" s="3">
        <v>1137896.0</v>
      </c>
      <c r="R1239" s="3"/>
      <c r="S1239" s="3">
        <v>5488.0</v>
      </c>
      <c r="T1239" s="3" t="s">
        <v>37</v>
      </c>
      <c r="U1239" s="3">
        <v>5488.0</v>
      </c>
      <c r="V1239" s="5">
        <f>(DATE(2026,2,3)-'RICE_Insured Farms_with PPI Pol'!$G1239)+IF('RICE_Insured Farms_with PPI Pol'!$H1239&lt;&gt;'RICE_Insured Farms_with PPI Pol'!$G1239,18,0)</f>
        <v>53</v>
      </c>
      <c r="W1239" s="3" t="str">
        <f t="array" ref="W1239">IFS(V1239&gt;120, "Harvested", V1239&gt;=113, "Yellow Ripening", V1239&gt;=101, "Dough Stage", V1239&gt;=93, "Milking Stage", V1239&gt;=86, "Flowering", V1239&gt;=56, "Panicle Initiation/Booting", V1239&lt;56, "Vegetative/Tillering")</f>
        <v>Vegetative/Tillering</v>
      </c>
    </row>
    <row r="1240" ht="15.75" customHeight="1">
      <c r="A1240" s="3">
        <v>1239.0</v>
      </c>
      <c r="B1240" s="3" t="s">
        <v>23</v>
      </c>
      <c r="C1240" s="3" t="s">
        <v>68</v>
      </c>
      <c r="D1240" s="3" t="s">
        <v>69</v>
      </c>
      <c r="E1240" s="3" t="s">
        <v>131</v>
      </c>
      <c r="F1240" s="3">
        <v>1739638.0</v>
      </c>
      <c r="G1240" s="4">
        <v>46018.0</v>
      </c>
      <c r="H1240" s="4">
        <v>46120.0</v>
      </c>
      <c r="I1240" s="3" t="s">
        <v>2140</v>
      </c>
      <c r="J1240" s="3" t="s">
        <v>3225</v>
      </c>
      <c r="K1240" s="3" t="s">
        <v>419</v>
      </c>
      <c r="L1240" s="3">
        <v>0.3492</v>
      </c>
      <c r="M1240" s="3">
        <v>8730.0</v>
      </c>
      <c r="N1240" s="3">
        <v>3.0</v>
      </c>
      <c r="O1240" s="3">
        <v>162915.0</v>
      </c>
      <c r="P1240" s="3"/>
      <c r="Q1240" s="3">
        <v>1137783.0</v>
      </c>
      <c r="R1240" s="3"/>
      <c r="S1240" s="3">
        <v>6984.0</v>
      </c>
      <c r="T1240" s="3" t="s">
        <v>37</v>
      </c>
      <c r="U1240" s="3">
        <v>6984.0</v>
      </c>
      <c r="V1240" s="5">
        <f>(DATE(2026,2,3)-'RICE_Insured Farms_with PPI Pol'!$G1240)+IF('RICE_Insured Farms_with PPI Pol'!$H1240&lt;&gt;'RICE_Insured Farms_with PPI Pol'!$G1240,18,0)</f>
        <v>56</v>
      </c>
      <c r="W1240" s="3" t="str">
        <f t="array" ref="W1240">IFS(V1240&gt;120, "Harvested", V1240&gt;=113, "Yellow Ripening", V1240&gt;=101, "Dough Stage", V1240&gt;=93, "Milking Stage", V1240&gt;=86, "Flowering", V1240&gt;=56, "Panicle Initiation/Booting", V1240&lt;56, "Vegetative/Tillering")</f>
        <v>Panicle Initiation/Booting</v>
      </c>
    </row>
    <row r="1241" ht="15.75" customHeight="1">
      <c r="A1241" s="3">
        <v>1240.0</v>
      </c>
      <c r="B1241" s="3" t="s">
        <v>23</v>
      </c>
      <c r="C1241" s="3" t="s">
        <v>68</v>
      </c>
      <c r="D1241" s="3" t="s">
        <v>69</v>
      </c>
      <c r="E1241" s="3" t="s">
        <v>131</v>
      </c>
      <c r="F1241" s="3">
        <v>1739638.0</v>
      </c>
      <c r="G1241" s="4">
        <v>46018.0</v>
      </c>
      <c r="H1241" s="4">
        <v>46120.0</v>
      </c>
      <c r="I1241" s="3" t="s">
        <v>2140</v>
      </c>
      <c r="J1241" s="3" t="s">
        <v>3225</v>
      </c>
      <c r="K1241" s="3" t="s">
        <v>419</v>
      </c>
      <c r="L1241" s="3">
        <v>0.1328</v>
      </c>
      <c r="M1241" s="3">
        <v>3320.0</v>
      </c>
      <c r="N1241" s="3">
        <v>3.0</v>
      </c>
      <c r="O1241" s="3">
        <v>162915.0</v>
      </c>
      <c r="P1241" s="3"/>
      <c r="Q1241" s="3">
        <v>1137785.0</v>
      </c>
      <c r="R1241" s="3"/>
      <c r="S1241" s="3">
        <v>2656.0</v>
      </c>
      <c r="T1241" s="3" t="s">
        <v>37</v>
      </c>
      <c r="U1241" s="3">
        <v>2656.0</v>
      </c>
      <c r="V1241" s="5">
        <f>(DATE(2026,2,3)-'RICE_Insured Farms_with PPI Pol'!$G1241)+IF('RICE_Insured Farms_with PPI Pol'!$H1241&lt;&gt;'RICE_Insured Farms_with PPI Pol'!$G1241,18,0)</f>
        <v>56</v>
      </c>
      <c r="W1241" s="3" t="str">
        <f t="array" ref="W1241">IFS(V1241&gt;120, "Harvested", V1241&gt;=113, "Yellow Ripening", V1241&gt;=101, "Dough Stage", V1241&gt;=93, "Milking Stage", V1241&gt;=86, "Flowering", V1241&gt;=56, "Panicle Initiation/Booting", V1241&lt;56, "Vegetative/Tillering")</f>
        <v>Panicle Initiation/Booting</v>
      </c>
    </row>
    <row r="1242" ht="15.75" hidden="1" customHeight="1">
      <c r="A1242" s="3">
        <v>1241.0</v>
      </c>
      <c r="B1242" s="3" t="s">
        <v>23</v>
      </c>
      <c r="C1242" s="3" t="s">
        <v>68</v>
      </c>
      <c r="D1242" s="3" t="s">
        <v>289</v>
      </c>
      <c r="E1242" s="3" t="s">
        <v>352</v>
      </c>
      <c r="F1242" s="3">
        <v>1760050.0</v>
      </c>
      <c r="G1242" s="4">
        <v>46031.0</v>
      </c>
      <c r="H1242" s="4">
        <v>46133.0</v>
      </c>
      <c r="I1242" s="3" t="s">
        <v>2140</v>
      </c>
      <c r="J1242" s="3" t="s">
        <v>407</v>
      </c>
      <c r="K1242" s="3" t="s">
        <v>548</v>
      </c>
      <c r="L1242" s="3">
        <v>0.6209</v>
      </c>
      <c r="M1242" s="3">
        <v>15522.5</v>
      </c>
      <c r="N1242" s="3">
        <v>2.0</v>
      </c>
      <c r="O1242" s="3">
        <v>260149.0</v>
      </c>
      <c r="P1242" s="3" t="s">
        <v>3226</v>
      </c>
      <c r="Q1242" s="3">
        <v>975069.0</v>
      </c>
      <c r="R1242" s="3"/>
      <c r="S1242" s="3">
        <v>10865.75</v>
      </c>
      <c r="T1242" s="3" t="s">
        <v>31</v>
      </c>
      <c r="U1242" s="3">
        <v>10865.75</v>
      </c>
      <c r="V1242" s="5">
        <f>(DATE(2026,2,3)-'RICE_Insured Farms_with PPI Pol'!$G1242)+IF('RICE_Insured Farms_with PPI Pol'!$H1242&lt;&gt;'RICE_Insured Farms_with PPI Pol'!$G1242,18,0)</f>
        <v>43</v>
      </c>
      <c r="W1242" s="3" t="str">
        <f t="array" ref="W1242">IFS(V1242&gt;120, "Harvested", V1242&gt;=113, "Yellow Ripening", V1242&gt;=101, "Dough Stage", V1242&gt;=93, "Milking Stage", V1242&gt;=86, "Flowering", V1242&gt;=56, "Panicle Initiation/Booting", V1242&lt;56, "Vegetative/Tillering")</f>
        <v>Vegetative/Tillering</v>
      </c>
    </row>
    <row r="1243" ht="15.75" hidden="1" customHeight="1">
      <c r="A1243" s="3">
        <v>1242.0</v>
      </c>
      <c r="B1243" s="3" t="s">
        <v>23</v>
      </c>
      <c r="C1243" s="3" t="s">
        <v>68</v>
      </c>
      <c r="D1243" s="3" t="s">
        <v>289</v>
      </c>
      <c r="E1243" s="3" t="s">
        <v>743</v>
      </c>
      <c r="F1243" s="3">
        <v>1760039.0</v>
      </c>
      <c r="G1243" s="4">
        <v>46029.0</v>
      </c>
      <c r="H1243" s="4">
        <v>46131.0</v>
      </c>
      <c r="I1243" s="3" t="s">
        <v>3227</v>
      </c>
      <c r="J1243" s="3" t="s">
        <v>3086</v>
      </c>
      <c r="K1243" s="3" t="s">
        <v>211</v>
      </c>
      <c r="L1243" s="3">
        <v>0.1146</v>
      </c>
      <c r="M1243" s="3">
        <v>2865.0</v>
      </c>
      <c r="N1243" s="3">
        <v>2.0</v>
      </c>
      <c r="O1243" s="3">
        <v>198568.0</v>
      </c>
      <c r="P1243" s="3"/>
      <c r="Q1243" s="3">
        <v>1136737.0</v>
      </c>
      <c r="R1243" s="3"/>
      <c r="S1243" s="3">
        <v>2005.5</v>
      </c>
      <c r="T1243" s="3" t="s">
        <v>31</v>
      </c>
      <c r="U1243" s="3">
        <v>2005.5</v>
      </c>
      <c r="V1243" s="5">
        <f>(DATE(2026,2,3)-'RICE_Insured Farms_with PPI Pol'!$G1243)+IF('RICE_Insured Farms_with PPI Pol'!$H1243&lt;&gt;'RICE_Insured Farms_with PPI Pol'!$G1243,18,0)</f>
        <v>45</v>
      </c>
      <c r="W1243" s="3" t="str">
        <f t="array" ref="W1243">IFS(V1243&gt;120, "Harvested", V1243&gt;=113, "Yellow Ripening", V1243&gt;=101, "Dough Stage", V1243&gt;=93, "Milking Stage", V1243&gt;=86, "Flowering", V1243&gt;=56, "Panicle Initiation/Booting", V1243&lt;56, "Vegetative/Tillering")</f>
        <v>Vegetative/Tillering</v>
      </c>
    </row>
    <row r="1244" ht="15.75" hidden="1" customHeight="1">
      <c r="A1244" s="3">
        <v>1243.0</v>
      </c>
      <c r="B1244" s="3" t="s">
        <v>23</v>
      </c>
      <c r="C1244" s="3" t="s">
        <v>68</v>
      </c>
      <c r="D1244" s="3" t="s">
        <v>289</v>
      </c>
      <c r="E1244" s="3" t="s">
        <v>431</v>
      </c>
      <c r="F1244" s="3">
        <v>1760039.0</v>
      </c>
      <c r="G1244" s="4">
        <v>46032.0</v>
      </c>
      <c r="H1244" s="4">
        <v>46134.0</v>
      </c>
      <c r="I1244" s="3" t="s">
        <v>545</v>
      </c>
      <c r="J1244" s="3" t="s">
        <v>1769</v>
      </c>
      <c r="K1244" s="3" t="s">
        <v>442</v>
      </c>
      <c r="L1244" s="3">
        <v>0.4642</v>
      </c>
      <c r="M1244" s="3">
        <v>11605.0</v>
      </c>
      <c r="N1244" s="3">
        <v>2.0</v>
      </c>
      <c r="O1244" s="3">
        <v>128051.0</v>
      </c>
      <c r="P1244" s="3" t="s">
        <v>3228</v>
      </c>
      <c r="Q1244" s="3">
        <v>1028411.0</v>
      </c>
      <c r="R1244" s="3"/>
      <c r="S1244" s="3">
        <v>8123.5</v>
      </c>
      <c r="T1244" s="3" t="s">
        <v>31</v>
      </c>
      <c r="U1244" s="3">
        <v>8123.5</v>
      </c>
      <c r="V1244" s="5">
        <f>(DATE(2026,2,3)-'RICE_Insured Farms_with PPI Pol'!$G1244)+IF('RICE_Insured Farms_with PPI Pol'!$H1244&lt;&gt;'RICE_Insured Farms_with PPI Pol'!$G1244,18,0)</f>
        <v>42</v>
      </c>
      <c r="W1244" s="3" t="str">
        <f t="array" ref="W1244">IFS(V1244&gt;120, "Harvested", V1244&gt;=113, "Yellow Ripening", V1244&gt;=101, "Dough Stage", V1244&gt;=93, "Milking Stage", V1244&gt;=86, "Flowering", V1244&gt;=56, "Panicle Initiation/Booting", V1244&lt;56, "Vegetative/Tillering")</f>
        <v>Vegetative/Tillering</v>
      </c>
    </row>
    <row r="1245" ht="15.75" customHeight="1">
      <c r="A1245" s="3">
        <v>1244.0</v>
      </c>
      <c r="B1245" s="3" t="s">
        <v>23</v>
      </c>
      <c r="C1245" s="3" t="s">
        <v>68</v>
      </c>
      <c r="D1245" s="3" t="s">
        <v>289</v>
      </c>
      <c r="E1245" s="3" t="s">
        <v>507</v>
      </c>
      <c r="F1245" s="3">
        <v>1760013.0</v>
      </c>
      <c r="G1245" s="4">
        <v>46013.0</v>
      </c>
      <c r="H1245" s="4">
        <v>46115.0</v>
      </c>
      <c r="I1245" s="3" t="s">
        <v>545</v>
      </c>
      <c r="J1245" s="3" t="s">
        <v>2657</v>
      </c>
      <c r="K1245" s="3" t="s">
        <v>2129</v>
      </c>
      <c r="L1245" s="3">
        <v>1.6514</v>
      </c>
      <c r="M1245" s="3">
        <v>41285.0</v>
      </c>
      <c r="N1245" s="3">
        <v>3.0</v>
      </c>
      <c r="O1245" s="3">
        <v>15866.0</v>
      </c>
      <c r="P1245" s="3" t="s">
        <v>3229</v>
      </c>
      <c r="Q1245" s="3">
        <v>1134498.0</v>
      </c>
      <c r="R1245" s="3"/>
      <c r="S1245" s="3">
        <v>33028.0</v>
      </c>
      <c r="T1245" s="3" t="s">
        <v>37</v>
      </c>
      <c r="U1245" s="3">
        <v>33028.0</v>
      </c>
      <c r="V1245" s="5">
        <f>(DATE(2026,2,3)-'RICE_Insured Farms_with PPI Pol'!$G1245)+IF('RICE_Insured Farms_with PPI Pol'!$H1245&lt;&gt;'RICE_Insured Farms_with PPI Pol'!$G1245,18,0)</f>
        <v>61</v>
      </c>
      <c r="W1245" s="3" t="str">
        <f t="array" ref="W1245">IFS(V1245&gt;120, "Harvested", V1245&gt;=113, "Yellow Ripening", V1245&gt;=101, "Dough Stage", V1245&gt;=93, "Milking Stage", V1245&gt;=86, "Flowering", V1245&gt;=56, "Panicle Initiation/Booting", V1245&lt;56, "Vegetative/Tillering")</f>
        <v>Panicle Initiation/Booting</v>
      </c>
    </row>
    <row r="1246" ht="15.75" hidden="1" customHeight="1">
      <c r="A1246" s="3">
        <v>1245.0</v>
      </c>
      <c r="B1246" s="3" t="s">
        <v>23</v>
      </c>
      <c r="C1246" s="3" t="s">
        <v>68</v>
      </c>
      <c r="D1246" s="3" t="s">
        <v>289</v>
      </c>
      <c r="E1246" s="3" t="s">
        <v>431</v>
      </c>
      <c r="F1246" s="3">
        <v>1760046.0</v>
      </c>
      <c r="G1246" s="4">
        <v>46039.0</v>
      </c>
      <c r="H1246" s="4">
        <v>46141.0</v>
      </c>
      <c r="I1246" s="3" t="s">
        <v>545</v>
      </c>
      <c r="J1246" s="3" t="s">
        <v>3230</v>
      </c>
      <c r="K1246" s="3" t="s">
        <v>569</v>
      </c>
      <c r="L1246" s="3">
        <v>0.7853</v>
      </c>
      <c r="M1246" s="3">
        <v>19632.5</v>
      </c>
      <c r="N1246" s="3">
        <v>2.0</v>
      </c>
      <c r="O1246" s="3">
        <v>128067.0</v>
      </c>
      <c r="P1246" s="3" t="s">
        <v>3231</v>
      </c>
      <c r="Q1246" s="3">
        <v>1282359.0</v>
      </c>
      <c r="R1246" s="3"/>
      <c r="S1246" s="3">
        <v>13742.75</v>
      </c>
      <c r="T1246" s="3" t="s">
        <v>31</v>
      </c>
      <c r="U1246" s="3">
        <v>13742.75</v>
      </c>
      <c r="V1246" s="5">
        <f>(DATE(2026,2,3)-'RICE_Insured Farms_with PPI Pol'!$G1246)+IF('RICE_Insured Farms_with PPI Pol'!$H1246&lt;&gt;'RICE_Insured Farms_with PPI Pol'!$G1246,18,0)</f>
        <v>35</v>
      </c>
      <c r="W1246" s="3" t="str">
        <f t="array" ref="W1246">IFS(V1246&gt;120, "Harvested", V1246&gt;=113, "Yellow Ripening", V1246&gt;=101, "Dough Stage", V1246&gt;=93, "Milking Stage", V1246&gt;=86, "Flowering", V1246&gt;=56, "Panicle Initiation/Booting", V1246&lt;56, "Vegetative/Tillering")</f>
        <v>Vegetative/Tillering</v>
      </c>
    </row>
    <row r="1247" ht="15.75" hidden="1" customHeight="1">
      <c r="A1247" s="3">
        <v>1246.0</v>
      </c>
      <c r="B1247" s="3" t="s">
        <v>23</v>
      </c>
      <c r="C1247" s="3" t="s">
        <v>68</v>
      </c>
      <c r="D1247" s="3" t="s">
        <v>289</v>
      </c>
      <c r="E1247" s="3" t="s">
        <v>290</v>
      </c>
      <c r="F1247" s="3">
        <v>1760046.0</v>
      </c>
      <c r="G1247" s="4">
        <v>46041.0</v>
      </c>
      <c r="H1247" s="4">
        <v>46143.0</v>
      </c>
      <c r="I1247" s="3" t="s">
        <v>545</v>
      </c>
      <c r="J1247" s="3" t="s">
        <v>3232</v>
      </c>
      <c r="K1247" s="3" t="s">
        <v>3233</v>
      </c>
      <c r="L1247" s="3">
        <v>0.6754</v>
      </c>
      <c r="M1247" s="3">
        <v>16885.0</v>
      </c>
      <c r="N1247" s="3">
        <v>2.0</v>
      </c>
      <c r="O1247" s="3">
        <v>327937.0</v>
      </c>
      <c r="P1247" s="3" t="s">
        <v>3234</v>
      </c>
      <c r="Q1247" s="3">
        <v>1143512.0</v>
      </c>
      <c r="R1247" s="3"/>
      <c r="S1247" s="3">
        <v>11819.5</v>
      </c>
      <c r="T1247" s="3" t="s">
        <v>31</v>
      </c>
      <c r="U1247" s="3">
        <v>11819.5</v>
      </c>
      <c r="V1247" s="5">
        <f>(DATE(2026,2,3)-'RICE_Insured Farms_with PPI Pol'!$G1247)+IF('RICE_Insured Farms_with PPI Pol'!$H1247&lt;&gt;'RICE_Insured Farms_with PPI Pol'!$G1247,18,0)</f>
        <v>33</v>
      </c>
      <c r="W1247" s="3" t="str">
        <f t="array" ref="W1247">IFS(V1247&gt;120, "Harvested", V1247&gt;=113, "Yellow Ripening", V1247&gt;=101, "Dough Stage", V1247&gt;=93, "Milking Stage", V1247&gt;=86, "Flowering", V1247&gt;=56, "Panicle Initiation/Booting", V1247&lt;56, "Vegetative/Tillering")</f>
        <v>Vegetative/Tillering</v>
      </c>
    </row>
    <row r="1248" ht="15.75" customHeight="1">
      <c r="A1248" s="3">
        <v>1247.0</v>
      </c>
      <c r="B1248" s="3" t="s">
        <v>23</v>
      </c>
      <c r="C1248" s="3" t="s">
        <v>68</v>
      </c>
      <c r="D1248" s="3" t="s">
        <v>289</v>
      </c>
      <c r="E1248" s="3" t="s">
        <v>507</v>
      </c>
      <c r="F1248" s="3">
        <v>1760013.0</v>
      </c>
      <c r="G1248" s="4">
        <v>46013.0</v>
      </c>
      <c r="H1248" s="4">
        <v>46115.0</v>
      </c>
      <c r="I1248" s="3" t="s">
        <v>545</v>
      </c>
      <c r="J1248" s="3" t="s">
        <v>3235</v>
      </c>
      <c r="K1248" s="3" t="s">
        <v>3236</v>
      </c>
      <c r="L1248" s="3">
        <v>1.074</v>
      </c>
      <c r="M1248" s="3">
        <v>26850.0</v>
      </c>
      <c r="N1248" s="3">
        <v>3.0</v>
      </c>
      <c r="O1248" s="3">
        <v>419463.0</v>
      </c>
      <c r="P1248" s="3" t="s">
        <v>3237</v>
      </c>
      <c r="Q1248" s="3">
        <v>1134499.0</v>
      </c>
      <c r="R1248" s="3"/>
      <c r="S1248" s="3">
        <v>21480.0</v>
      </c>
      <c r="T1248" s="3" t="s">
        <v>37</v>
      </c>
      <c r="U1248" s="3">
        <v>21480.0</v>
      </c>
      <c r="V1248" s="5">
        <f>(DATE(2026,2,3)-'RICE_Insured Farms_with PPI Pol'!$G1248)+IF('RICE_Insured Farms_with PPI Pol'!$H1248&lt;&gt;'RICE_Insured Farms_with PPI Pol'!$G1248,18,0)</f>
        <v>61</v>
      </c>
      <c r="W1248" s="3" t="str">
        <f t="array" ref="W1248">IFS(V1248&gt;120, "Harvested", V1248&gt;=113, "Yellow Ripening", V1248&gt;=101, "Dough Stage", V1248&gt;=93, "Milking Stage", V1248&gt;=86, "Flowering", V1248&gt;=56, "Panicle Initiation/Booting", V1248&lt;56, "Vegetative/Tillering")</f>
        <v>Panicle Initiation/Booting</v>
      </c>
    </row>
    <row r="1249" ht="15.75" customHeight="1">
      <c r="A1249" s="3">
        <v>1248.0</v>
      </c>
      <c r="B1249" s="3" t="s">
        <v>23</v>
      </c>
      <c r="C1249" s="3" t="s">
        <v>68</v>
      </c>
      <c r="D1249" s="3" t="s">
        <v>289</v>
      </c>
      <c r="E1249" s="3" t="s">
        <v>507</v>
      </c>
      <c r="F1249" s="3">
        <v>1760025.0</v>
      </c>
      <c r="G1249" s="4">
        <v>46021.0</v>
      </c>
      <c r="H1249" s="4">
        <v>46123.0</v>
      </c>
      <c r="I1249" s="3" t="s">
        <v>545</v>
      </c>
      <c r="J1249" s="3" t="s">
        <v>2951</v>
      </c>
      <c r="K1249" s="3" t="s">
        <v>1263</v>
      </c>
      <c r="L1249" s="3">
        <v>0.1559</v>
      </c>
      <c r="M1249" s="3">
        <v>3897.5</v>
      </c>
      <c r="N1249" s="3">
        <v>3.0</v>
      </c>
      <c r="O1249" s="3">
        <v>160919.0</v>
      </c>
      <c r="P1249" s="3"/>
      <c r="Q1249" s="3">
        <v>1153683.0</v>
      </c>
      <c r="R1249" s="3"/>
      <c r="S1249" s="3">
        <v>3118.0</v>
      </c>
      <c r="T1249" s="3" t="s">
        <v>37</v>
      </c>
      <c r="U1249" s="3">
        <v>3118.0</v>
      </c>
      <c r="V1249" s="5">
        <f>(DATE(2026,2,3)-'RICE_Insured Farms_with PPI Pol'!$G1249)+IF('RICE_Insured Farms_with PPI Pol'!$H1249&lt;&gt;'RICE_Insured Farms_with PPI Pol'!$G1249,18,0)</f>
        <v>53</v>
      </c>
      <c r="W1249" s="3" t="str">
        <f t="array" ref="W1249">IFS(V1249&gt;120, "Harvested", V1249&gt;=113, "Yellow Ripening", V1249&gt;=101, "Dough Stage", V1249&gt;=93, "Milking Stage", V1249&gt;=86, "Flowering", V1249&gt;=56, "Panicle Initiation/Booting", V1249&lt;56, "Vegetative/Tillering")</f>
        <v>Vegetative/Tillering</v>
      </c>
    </row>
    <row r="1250" ht="15.75" customHeight="1">
      <c r="A1250" s="3">
        <v>1249.0</v>
      </c>
      <c r="B1250" s="3" t="s">
        <v>23</v>
      </c>
      <c r="C1250" s="3" t="s">
        <v>68</v>
      </c>
      <c r="D1250" s="3" t="s">
        <v>289</v>
      </c>
      <c r="E1250" s="3" t="s">
        <v>507</v>
      </c>
      <c r="F1250" s="3">
        <v>1760025.0</v>
      </c>
      <c r="G1250" s="4">
        <v>46024.0</v>
      </c>
      <c r="H1250" s="4">
        <v>46126.0</v>
      </c>
      <c r="I1250" s="3" t="s">
        <v>545</v>
      </c>
      <c r="J1250" s="3" t="s">
        <v>3238</v>
      </c>
      <c r="K1250" s="3" t="s">
        <v>3239</v>
      </c>
      <c r="L1250" s="3">
        <v>0.5849</v>
      </c>
      <c r="M1250" s="3">
        <v>14622.5</v>
      </c>
      <c r="N1250" s="3">
        <v>3.0</v>
      </c>
      <c r="O1250" s="3">
        <v>50066.0</v>
      </c>
      <c r="P1250" s="3" t="s">
        <v>3240</v>
      </c>
      <c r="Q1250" s="3">
        <v>1281532.0</v>
      </c>
      <c r="R1250" s="3"/>
      <c r="S1250" s="3">
        <v>11698.0</v>
      </c>
      <c r="T1250" s="3" t="s">
        <v>37</v>
      </c>
      <c r="U1250" s="3">
        <v>11698.0</v>
      </c>
      <c r="V1250" s="5">
        <f>(DATE(2026,2,3)-'RICE_Insured Farms_with PPI Pol'!$G1250)+IF('RICE_Insured Farms_with PPI Pol'!$H1250&lt;&gt;'RICE_Insured Farms_with PPI Pol'!$G1250,18,0)</f>
        <v>50</v>
      </c>
      <c r="W1250" s="3" t="str">
        <f t="array" ref="W1250">IFS(V1250&gt;120, "Harvested", V1250&gt;=113, "Yellow Ripening", V1250&gt;=101, "Dough Stage", V1250&gt;=93, "Milking Stage", V1250&gt;=86, "Flowering", V1250&gt;=56, "Panicle Initiation/Booting", V1250&lt;56, "Vegetative/Tillering")</f>
        <v>Vegetative/Tillering</v>
      </c>
    </row>
    <row r="1251" ht="15.75" hidden="1" customHeight="1">
      <c r="A1251" s="3">
        <v>1250.0</v>
      </c>
      <c r="B1251" s="3" t="s">
        <v>23</v>
      </c>
      <c r="C1251" s="3" t="s">
        <v>68</v>
      </c>
      <c r="D1251" s="3" t="s">
        <v>289</v>
      </c>
      <c r="E1251" s="3" t="s">
        <v>507</v>
      </c>
      <c r="F1251" s="3">
        <v>1760025.0</v>
      </c>
      <c r="G1251" s="4">
        <v>46027.0</v>
      </c>
      <c r="H1251" s="4">
        <v>46129.0</v>
      </c>
      <c r="I1251" s="3" t="s">
        <v>3241</v>
      </c>
      <c r="J1251" s="3" t="s">
        <v>34</v>
      </c>
      <c r="K1251" s="3" t="s">
        <v>864</v>
      </c>
      <c r="L1251" s="3">
        <v>0.3273</v>
      </c>
      <c r="M1251" s="3">
        <v>8182.5</v>
      </c>
      <c r="N1251" s="3">
        <v>2.0</v>
      </c>
      <c r="O1251" s="3">
        <v>469846.0</v>
      </c>
      <c r="P1251" s="3" t="s">
        <v>3242</v>
      </c>
      <c r="Q1251" s="3">
        <v>1281550.0</v>
      </c>
      <c r="R1251" s="3"/>
      <c r="S1251" s="3">
        <v>5727.75</v>
      </c>
      <c r="T1251" s="3" t="s">
        <v>31</v>
      </c>
      <c r="U1251" s="3">
        <v>5727.75</v>
      </c>
      <c r="V1251" s="5">
        <f>(DATE(2026,2,3)-'RICE_Insured Farms_with PPI Pol'!$G1251)+IF('RICE_Insured Farms_with PPI Pol'!$H1251&lt;&gt;'RICE_Insured Farms_with PPI Pol'!$G1251,18,0)</f>
        <v>47</v>
      </c>
      <c r="W1251" s="3" t="str">
        <f t="array" ref="W1251">IFS(V1251&gt;120, "Harvested", V1251&gt;=113, "Yellow Ripening", V1251&gt;=101, "Dough Stage", V1251&gt;=93, "Milking Stage", V1251&gt;=86, "Flowering", V1251&gt;=56, "Panicle Initiation/Booting", V1251&lt;56, "Vegetative/Tillering")</f>
        <v>Vegetative/Tillering</v>
      </c>
    </row>
    <row r="1252" ht="15.75" hidden="1" customHeight="1">
      <c r="A1252" s="3">
        <v>1251.0</v>
      </c>
      <c r="B1252" s="3" t="s">
        <v>23</v>
      </c>
      <c r="C1252" s="3" t="s">
        <v>68</v>
      </c>
      <c r="D1252" s="3" t="s">
        <v>289</v>
      </c>
      <c r="E1252" s="3" t="s">
        <v>507</v>
      </c>
      <c r="F1252" s="3">
        <v>1760025.0</v>
      </c>
      <c r="G1252" s="4">
        <v>46027.0</v>
      </c>
      <c r="H1252" s="4">
        <v>46129.0</v>
      </c>
      <c r="I1252" s="3" t="s">
        <v>3241</v>
      </c>
      <c r="J1252" s="3" t="s">
        <v>2751</v>
      </c>
      <c r="K1252" s="3" t="s">
        <v>3243</v>
      </c>
      <c r="L1252" s="3">
        <v>0.1713</v>
      </c>
      <c r="M1252" s="3">
        <v>4282.5</v>
      </c>
      <c r="N1252" s="3">
        <v>2.0</v>
      </c>
      <c r="O1252" s="3">
        <v>129801.0</v>
      </c>
      <c r="P1252" s="3"/>
      <c r="Q1252" s="3">
        <v>1281523.0</v>
      </c>
      <c r="R1252" s="3"/>
      <c r="S1252" s="3">
        <v>2997.75</v>
      </c>
      <c r="T1252" s="3" t="s">
        <v>31</v>
      </c>
      <c r="U1252" s="3">
        <v>2997.75</v>
      </c>
      <c r="V1252" s="5">
        <f>(DATE(2026,2,3)-'RICE_Insured Farms_with PPI Pol'!$G1252)+IF('RICE_Insured Farms_with PPI Pol'!$H1252&lt;&gt;'RICE_Insured Farms_with PPI Pol'!$G1252,18,0)</f>
        <v>47</v>
      </c>
      <c r="W1252" s="3" t="str">
        <f t="array" ref="W1252">IFS(V1252&gt;120, "Harvested", V1252&gt;=113, "Yellow Ripening", V1252&gt;=101, "Dough Stage", V1252&gt;=93, "Milking Stage", V1252&gt;=86, "Flowering", V1252&gt;=56, "Panicle Initiation/Booting", V1252&lt;56, "Vegetative/Tillering")</f>
        <v>Vegetative/Tillering</v>
      </c>
    </row>
    <row r="1253" ht="15.75" customHeight="1">
      <c r="A1253" s="3">
        <v>1252.0</v>
      </c>
      <c r="B1253" s="3" t="s">
        <v>23</v>
      </c>
      <c r="C1253" s="3" t="s">
        <v>68</v>
      </c>
      <c r="D1253" s="3" t="s">
        <v>289</v>
      </c>
      <c r="E1253" s="3" t="s">
        <v>290</v>
      </c>
      <c r="F1253" s="3">
        <v>1760035.0</v>
      </c>
      <c r="G1253" s="4">
        <v>46024.0</v>
      </c>
      <c r="H1253" s="4">
        <v>46126.0</v>
      </c>
      <c r="I1253" s="3" t="s">
        <v>2406</v>
      </c>
      <c r="J1253" s="3" t="s">
        <v>43</v>
      </c>
      <c r="K1253" s="3" t="s">
        <v>3244</v>
      </c>
      <c r="L1253" s="3">
        <v>0.3964</v>
      </c>
      <c r="M1253" s="3">
        <v>9910.0</v>
      </c>
      <c r="N1253" s="3">
        <v>3.0</v>
      </c>
      <c r="O1253" s="3">
        <v>15921.0</v>
      </c>
      <c r="P1253" s="3" t="s">
        <v>3245</v>
      </c>
      <c r="Q1253" s="3">
        <v>1134866.0</v>
      </c>
      <c r="R1253" s="3"/>
      <c r="S1253" s="3">
        <v>7928.0</v>
      </c>
      <c r="T1253" s="3" t="s">
        <v>37</v>
      </c>
      <c r="U1253" s="3">
        <v>7928.0</v>
      </c>
      <c r="V1253" s="5">
        <f>(DATE(2026,2,3)-'RICE_Insured Farms_with PPI Pol'!$G1253)+IF('RICE_Insured Farms_with PPI Pol'!$H1253&lt;&gt;'RICE_Insured Farms_with PPI Pol'!$G1253,18,0)</f>
        <v>50</v>
      </c>
      <c r="W1253" s="3" t="str">
        <f t="array" ref="W1253">IFS(V1253&gt;120, "Harvested", V1253&gt;=113, "Yellow Ripening", V1253&gt;=101, "Dough Stage", V1253&gt;=93, "Milking Stage", V1253&gt;=86, "Flowering", V1253&gt;=56, "Panicle Initiation/Booting", V1253&lt;56, "Vegetative/Tillering")</f>
        <v>Vegetative/Tillering</v>
      </c>
    </row>
    <row r="1254" ht="15.75" customHeight="1">
      <c r="A1254" s="3">
        <v>1253.0</v>
      </c>
      <c r="B1254" s="3" t="s">
        <v>23</v>
      </c>
      <c r="C1254" s="3" t="s">
        <v>68</v>
      </c>
      <c r="D1254" s="3" t="s">
        <v>289</v>
      </c>
      <c r="E1254" s="3" t="s">
        <v>290</v>
      </c>
      <c r="F1254" s="3">
        <v>1760035.0</v>
      </c>
      <c r="G1254" s="4">
        <v>46024.0</v>
      </c>
      <c r="H1254" s="4">
        <v>46126.0</v>
      </c>
      <c r="I1254" s="3" t="s">
        <v>2406</v>
      </c>
      <c r="J1254" s="3" t="s">
        <v>43</v>
      </c>
      <c r="K1254" s="3" t="s">
        <v>3244</v>
      </c>
      <c r="L1254" s="3">
        <v>0.3141</v>
      </c>
      <c r="M1254" s="3">
        <v>7852.5</v>
      </c>
      <c r="N1254" s="3">
        <v>3.0</v>
      </c>
      <c r="O1254" s="3">
        <v>15921.0</v>
      </c>
      <c r="P1254" s="3" t="s">
        <v>3245</v>
      </c>
      <c r="Q1254" s="3">
        <v>1190146.0</v>
      </c>
      <c r="R1254" s="3"/>
      <c r="S1254" s="3">
        <v>6282.0</v>
      </c>
      <c r="T1254" s="3" t="s">
        <v>37</v>
      </c>
      <c r="U1254" s="3">
        <v>6282.0</v>
      </c>
      <c r="V1254" s="5">
        <f>(DATE(2026,2,3)-'RICE_Insured Farms_with PPI Pol'!$G1254)+IF('RICE_Insured Farms_with PPI Pol'!$H1254&lt;&gt;'RICE_Insured Farms_with PPI Pol'!$G1254,18,0)</f>
        <v>50</v>
      </c>
      <c r="W1254" s="3" t="str">
        <f t="array" ref="W1254">IFS(V1254&gt;120, "Harvested", V1254&gt;=113, "Yellow Ripening", V1254&gt;=101, "Dough Stage", V1254&gt;=93, "Milking Stage", V1254&gt;=86, "Flowering", V1254&gt;=56, "Panicle Initiation/Booting", V1254&lt;56, "Vegetative/Tillering")</f>
        <v>Vegetative/Tillering</v>
      </c>
    </row>
    <row r="1255" ht="15.75" hidden="1" customHeight="1">
      <c r="A1255" s="3">
        <v>1254.0</v>
      </c>
      <c r="B1255" s="3" t="s">
        <v>23</v>
      </c>
      <c r="C1255" s="3" t="s">
        <v>68</v>
      </c>
      <c r="D1255" s="3" t="s">
        <v>289</v>
      </c>
      <c r="E1255" s="3" t="s">
        <v>290</v>
      </c>
      <c r="F1255" s="3">
        <v>1760032.0</v>
      </c>
      <c r="G1255" s="4">
        <v>46033.0</v>
      </c>
      <c r="H1255" s="4">
        <v>46135.0</v>
      </c>
      <c r="I1255" s="3" t="s">
        <v>2406</v>
      </c>
      <c r="J1255" s="3" t="s">
        <v>3246</v>
      </c>
      <c r="K1255" s="3" t="s">
        <v>3244</v>
      </c>
      <c r="L1255" s="3">
        <v>0.3422</v>
      </c>
      <c r="M1255" s="3">
        <v>8555.0</v>
      </c>
      <c r="N1255" s="3">
        <v>2.0</v>
      </c>
      <c r="O1255" s="3">
        <v>15920.0</v>
      </c>
      <c r="P1255" s="3"/>
      <c r="Q1255" s="3">
        <v>1283784.0</v>
      </c>
      <c r="R1255" s="3"/>
      <c r="S1255" s="3">
        <v>5988.5</v>
      </c>
      <c r="T1255" s="3" t="s">
        <v>31</v>
      </c>
      <c r="U1255" s="3">
        <v>5988.5</v>
      </c>
      <c r="V1255" s="5">
        <f>(DATE(2026,2,3)-'RICE_Insured Farms_with PPI Pol'!$G1255)+IF('RICE_Insured Farms_with PPI Pol'!$H1255&lt;&gt;'RICE_Insured Farms_with PPI Pol'!$G1255,18,0)</f>
        <v>41</v>
      </c>
      <c r="W1255" s="3" t="str">
        <f t="array" ref="W1255">IFS(V1255&gt;120, "Harvested", V1255&gt;=113, "Yellow Ripening", V1255&gt;=101, "Dough Stage", V1255&gt;=93, "Milking Stage", V1255&gt;=86, "Flowering", V1255&gt;=56, "Panicle Initiation/Booting", V1255&lt;56, "Vegetative/Tillering")</f>
        <v>Vegetative/Tillering</v>
      </c>
    </row>
    <row r="1256" ht="15.75" hidden="1" customHeight="1">
      <c r="A1256" s="3">
        <v>1255.0</v>
      </c>
      <c r="B1256" s="3" t="s">
        <v>23</v>
      </c>
      <c r="C1256" s="3" t="s">
        <v>68</v>
      </c>
      <c r="D1256" s="3" t="s">
        <v>289</v>
      </c>
      <c r="E1256" s="3" t="s">
        <v>290</v>
      </c>
      <c r="F1256" s="3">
        <v>1760046.0</v>
      </c>
      <c r="G1256" s="4">
        <v>46040.0</v>
      </c>
      <c r="H1256" s="4">
        <v>46142.0</v>
      </c>
      <c r="I1256" s="3" t="s">
        <v>2406</v>
      </c>
      <c r="J1256" s="3" t="s">
        <v>2935</v>
      </c>
      <c r="K1256" s="3" t="s">
        <v>1047</v>
      </c>
      <c r="L1256" s="3">
        <v>0.6004</v>
      </c>
      <c r="M1256" s="3">
        <v>15010.0</v>
      </c>
      <c r="N1256" s="3">
        <v>2.0</v>
      </c>
      <c r="O1256" s="3">
        <v>15917.0</v>
      </c>
      <c r="P1256" s="3"/>
      <c r="Q1256" s="3">
        <v>1134871.0</v>
      </c>
      <c r="R1256" s="3"/>
      <c r="S1256" s="3">
        <v>10507.0</v>
      </c>
      <c r="T1256" s="3" t="s">
        <v>31</v>
      </c>
      <c r="U1256" s="3">
        <v>10507.0</v>
      </c>
      <c r="V1256" s="5">
        <f>(DATE(2026,2,3)-'RICE_Insured Farms_with PPI Pol'!$G1256)+IF('RICE_Insured Farms_with PPI Pol'!$H1256&lt;&gt;'RICE_Insured Farms_with PPI Pol'!$G1256,18,0)</f>
        <v>34</v>
      </c>
      <c r="W1256" s="3" t="str">
        <f t="array" ref="W1256">IFS(V1256&gt;120, "Harvested", V1256&gt;=113, "Yellow Ripening", V1256&gt;=101, "Dough Stage", V1256&gt;=93, "Milking Stage", V1256&gt;=86, "Flowering", V1256&gt;=56, "Panicle Initiation/Booting", V1256&lt;56, "Vegetative/Tillering")</f>
        <v>Vegetative/Tillering</v>
      </c>
    </row>
    <row r="1257" ht="15.75" hidden="1" customHeight="1">
      <c r="A1257" s="3">
        <v>339.0</v>
      </c>
      <c r="B1257" s="3" t="s">
        <v>23</v>
      </c>
      <c r="C1257" s="3" t="s">
        <v>68</v>
      </c>
      <c r="D1257" s="3" t="s">
        <v>262</v>
      </c>
      <c r="E1257" s="3" t="s">
        <v>405</v>
      </c>
      <c r="F1257" s="3">
        <v>1739584.0</v>
      </c>
      <c r="G1257" s="4">
        <v>46001.0</v>
      </c>
      <c r="H1257" s="4">
        <v>46103.0</v>
      </c>
      <c r="I1257" s="3" t="s">
        <v>3247</v>
      </c>
      <c r="J1257" s="3" t="s">
        <v>3248</v>
      </c>
      <c r="K1257" s="3" t="s">
        <v>494</v>
      </c>
      <c r="L1257" s="3">
        <v>0.4842</v>
      </c>
      <c r="M1257" s="3">
        <v>12105.0</v>
      </c>
      <c r="N1257" s="3">
        <v>4.0</v>
      </c>
      <c r="O1257" s="3">
        <v>333955.0</v>
      </c>
      <c r="P1257" s="3" t="s">
        <v>3249</v>
      </c>
      <c r="Q1257" s="3">
        <v>1033972.0</v>
      </c>
      <c r="R1257" s="3"/>
      <c r="S1257" s="3">
        <v>9684.0</v>
      </c>
      <c r="T1257" s="3" t="s">
        <v>56</v>
      </c>
      <c r="U1257" s="3">
        <v>9684.0</v>
      </c>
      <c r="V1257" s="5">
        <f>(DATE(2026,2,3)-'RICE_Insured Farms_with PPI Pol'!$G1257)+IF('RICE_Insured Farms_with PPI Pol'!$H1257&lt;&gt;'RICE_Insured Farms_with PPI Pol'!$G1257,18,0)</f>
        <v>73</v>
      </c>
      <c r="W1257" s="3" t="str">
        <f t="array" ref="W1257">IFS(V1257&gt;120, "Harvested", V1257&gt;=113, "Yellow Ripening", V1257&gt;=101, "Dough Stage", V1257&gt;=93, "Milking Stage", V1257&gt;=86, "Flowering", V1257&gt;=56, "Panicle Initiation/Booting", V1257&lt;56, "Vegetative/Tillering")</f>
        <v>Panicle Initiation/Booting</v>
      </c>
    </row>
    <row r="1258" ht="15.75" customHeight="1">
      <c r="A1258" s="3">
        <v>1257.0</v>
      </c>
      <c r="B1258" s="3" t="s">
        <v>23</v>
      </c>
      <c r="C1258" s="3" t="s">
        <v>1453</v>
      </c>
      <c r="D1258" s="3" t="s">
        <v>1454</v>
      </c>
      <c r="E1258" s="3" t="s">
        <v>2912</v>
      </c>
      <c r="F1258" s="3">
        <v>1742041.0</v>
      </c>
      <c r="G1258" s="4">
        <v>46022.0</v>
      </c>
      <c r="H1258" s="4">
        <v>46124.0</v>
      </c>
      <c r="I1258" s="3" t="s">
        <v>3250</v>
      </c>
      <c r="J1258" s="3" t="s">
        <v>2039</v>
      </c>
      <c r="K1258" s="3" t="s">
        <v>264</v>
      </c>
      <c r="L1258" s="3">
        <v>0.4205</v>
      </c>
      <c r="M1258" s="3">
        <v>10512.5</v>
      </c>
      <c r="N1258" s="3">
        <v>3.0</v>
      </c>
      <c r="O1258" s="3">
        <v>512133.0</v>
      </c>
      <c r="P1258" s="3"/>
      <c r="Q1258" s="3">
        <v>1317749.0</v>
      </c>
      <c r="R1258" s="3"/>
      <c r="S1258" s="3">
        <v>8410.0</v>
      </c>
      <c r="T1258" s="3" t="s">
        <v>37</v>
      </c>
      <c r="U1258" s="3">
        <v>8410.0</v>
      </c>
      <c r="V1258" s="5">
        <f>(DATE(2026,2,3)-'RICE_Insured Farms_with PPI Pol'!$G1258)+IF('RICE_Insured Farms_with PPI Pol'!$H1258&lt;&gt;'RICE_Insured Farms_with PPI Pol'!$G1258,18,0)</f>
        <v>52</v>
      </c>
      <c r="W1258" s="3" t="str">
        <f t="array" ref="W1258">IFS(V1258&gt;120, "Harvested", V1258&gt;=113, "Yellow Ripening", V1258&gt;=101, "Dough Stage", V1258&gt;=93, "Milking Stage", V1258&gt;=86, "Flowering", V1258&gt;=56, "Panicle Initiation/Booting", V1258&lt;56, "Vegetative/Tillering")</f>
        <v>Vegetative/Tillering</v>
      </c>
    </row>
    <row r="1259" ht="15.75" hidden="1" customHeight="1">
      <c r="A1259" s="3">
        <v>356.0</v>
      </c>
      <c r="B1259" s="3" t="s">
        <v>23</v>
      </c>
      <c r="C1259" s="3" t="s">
        <v>68</v>
      </c>
      <c r="D1259" s="3" t="s">
        <v>262</v>
      </c>
      <c r="E1259" s="3" t="s">
        <v>405</v>
      </c>
      <c r="F1259" s="3">
        <v>1739584.0</v>
      </c>
      <c r="G1259" s="4">
        <v>46014.0</v>
      </c>
      <c r="H1259" s="4">
        <v>46106.0</v>
      </c>
      <c r="I1259" s="3" t="s">
        <v>3251</v>
      </c>
      <c r="J1259" s="3" t="s">
        <v>3141</v>
      </c>
      <c r="K1259" s="3" t="s">
        <v>821</v>
      </c>
      <c r="L1259" s="3">
        <v>0.732</v>
      </c>
      <c r="M1259" s="3">
        <v>18300.0</v>
      </c>
      <c r="N1259" s="3">
        <v>4.0</v>
      </c>
      <c r="O1259" s="3">
        <v>225509.0</v>
      </c>
      <c r="P1259" s="3" t="s">
        <v>3252</v>
      </c>
      <c r="Q1259" s="3">
        <v>1321587.0</v>
      </c>
      <c r="R1259" s="3"/>
      <c r="S1259" s="3">
        <v>14640.0</v>
      </c>
      <c r="T1259" s="3" t="s">
        <v>56</v>
      </c>
      <c r="U1259" s="3">
        <v>14640.0</v>
      </c>
      <c r="V1259" s="5">
        <f>(DATE(2026,2,3)-'RICE_Insured Farms_with PPI Pol'!$G1259)+IF('RICE_Insured Farms_with PPI Pol'!$H1259&lt;&gt;'RICE_Insured Farms_with PPI Pol'!$G1259,18,0)</f>
        <v>60</v>
      </c>
      <c r="W1259" s="3" t="str">
        <f t="array" ref="W1259">IFS(V1259&gt;120, "Harvested", V1259&gt;=113, "Yellow Ripening", V1259&gt;=101, "Dough Stage", V1259&gt;=93, "Milking Stage", V1259&gt;=86, "Flowering", V1259&gt;=56, "Panicle Initiation/Booting", V1259&lt;56, "Vegetative/Tillering")</f>
        <v>Panicle Initiation/Booting</v>
      </c>
    </row>
    <row r="1260" ht="15.75" hidden="1" customHeight="1">
      <c r="A1260" s="3">
        <v>1259.0</v>
      </c>
      <c r="B1260" s="3" t="s">
        <v>23</v>
      </c>
      <c r="C1260" s="3" t="s">
        <v>1453</v>
      </c>
      <c r="D1260" s="3" t="s">
        <v>1454</v>
      </c>
      <c r="E1260" s="3" t="s">
        <v>1455</v>
      </c>
      <c r="F1260" s="3">
        <v>1742048.0</v>
      </c>
      <c r="G1260" s="4">
        <v>46036.0</v>
      </c>
      <c r="H1260" s="4">
        <v>46138.0</v>
      </c>
      <c r="I1260" s="3" t="s">
        <v>3253</v>
      </c>
      <c r="J1260" s="3" t="s">
        <v>852</v>
      </c>
      <c r="K1260" s="3" t="s">
        <v>3254</v>
      </c>
      <c r="L1260" s="3">
        <v>0.406</v>
      </c>
      <c r="M1260" s="3">
        <v>10150.0</v>
      </c>
      <c r="N1260" s="3">
        <v>2.0</v>
      </c>
      <c r="O1260" s="3">
        <v>17024.0</v>
      </c>
      <c r="P1260" s="3" t="s">
        <v>3255</v>
      </c>
      <c r="Q1260" s="3">
        <v>1033309.0</v>
      </c>
      <c r="R1260" s="3"/>
      <c r="S1260" s="3">
        <v>7105.0</v>
      </c>
      <c r="T1260" s="3" t="s">
        <v>31</v>
      </c>
      <c r="U1260" s="3">
        <v>7105.0</v>
      </c>
      <c r="V1260" s="5">
        <f>(DATE(2026,2,3)-'RICE_Insured Farms_with PPI Pol'!$G1260)+IF('RICE_Insured Farms_with PPI Pol'!$H1260&lt;&gt;'RICE_Insured Farms_with PPI Pol'!$G1260,18,0)</f>
        <v>38</v>
      </c>
      <c r="W1260" s="3" t="str">
        <f t="array" ref="W1260">IFS(V1260&gt;120, "Harvested", V1260&gt;=113, "Yellow Ripening", V1260&gt;=101, "Dough Stage", V1260&gt;=93, "Milking Stage", V1260&gt;=86, "Flowering", V1260&gt;=56, "Panicle Initiation/Booting", V1260&lt;56, "Vegetative/Tillering")</f>
        <v>Vegetative/Tillering</v>
      </c>
    </row>
    <row r="1261" ht="15.75" customHeight="1">
      <c r="A1261" s="3">
        <v>1260.0</v>
      </c>
      <c r="B1261" s="3" t="s">
        <v>23</v>
      </c>
      <c r="C1261" s="3" t="s">
        <v>1453</v>
      </c>
      <c r="D1261" s="3" t="s">
        <v>1454</v>
      </c>
      <c r="E1261" s="3" t="s">
        <v>1246</v>
      </c>
      <c r="F1261" s="3">
        <v>1742048.0</v>
      </c>
      <c r="G1261" s="4">
        <v>46018.0</v>
      </c>
      <c r="H1261" s="4">
        <v>46120.0</v>
      </c>
      <c r="I1261" s="3" t="s">
        <v>3253</v>
      </c>
      <c r="J1261" s="3" t="s">
        <v>852</v>
      </c>
      <c r="K1261" s="3" t="s">
        <v>3254</v>
      </c>
      <c r="L1261" s="3">
        <v>0.2027</v>
      </c>
      <c r="M1261" s="3">
        <v>5067.5</v>
      </c>
      <c r="N1261" s="3">
        <v>3.0</v>
      </c>
      <c r="O1261" s="3">
        <v>17024.0</v>
      </c>
      <c r="P1261" s="3" t="s">
        <v>3255</v>
      </c>
      <c r="Q1261" s="3">
        <v>1033311.0</v>
      </c>
      <c r="R1261" s="3"/>
      <c r="S1261" s="3">
        <v>4054.0</v>
      </c>
      <c r="T1261" s="3" t="s">
        <v>37</v>
      </c>
      <c r="U1261" s="3">
        <v>4054.0</v>
      </c>
      <c r="V1261" s="5">
        <f>(DATE(2026,2,3)-'RICE_Insured Farms_with PPI Pol'!$G1261)+IF('RICE_Insured Farms_with PPI Pol'!$H1261&lt;&gt;'RICE_Insured Farms_with PPI Pol'!$G1261,18,0)</f>
        <v>56</v>
      </c>
      <c r="W1261" s="3" t="str">
        <f t="array" ref="W1261">IFS(V1261&gt;120, "Harvested", V1261&gt;=113, "Yellow Ripening", V1261&gt;=101, "Dough Stage", V1261&gt;=93, "Milking Stage", V1261&gt;=86, "Flowering", V1261&gt;=56, "Panicle Initiation/Booting", V1261&lt;56, "Vegetative/Tillering")</f>
        <v>Panicle Initiation/Booting</v>
      </c>
    </row>
    <row r="1262" ht="15.75" hidden="1" customHeight="1">
      <c r="A1262" s="3">
        <v>359.0</v>
      </c>
      <c r="B1262" s="3" t="s">
        <v>23</v>
      </c>
      <c r="C1262" s="3" t="s">
        <v>68</v>
      </c>
      <c r="D1262" s="3" t="s">
        <v>262</v>
      </c>
      <c r="E1262" s="3" t="s">
        <v>810</v>
      </c>
      <c r="F1262" s="3">
        <v>1739581.0</v>
      </c>
      <c r="G1262" s="4">
        <v>46002.0</v>
      </c>
      <c r="H1262" s="4">
        <v>46104.0</v>
      </c>
      <c r="I1262" s="3" t="s">
        <v>3256</v>
      </c>
      <c r="J1262" s="3" t="s">
        <v>722</v>
      </c>
      <c r="K1262" s="3" t="s">
        <v>3257</v>
      </c>
      <c r="L1262" s="3">
        <v>1.215</v>
      </c>
      <c r="M1262" s="3">
        <v>30375.0</v>
      </c>
      <c r="N1262" s="3">
        <v>4.0</v>
      </c>
      <c r="O1262" s="3">
        <v>124408.0</v>
      </c>
      <c r="P1262" s="3" t="s">
        <v>3258</v>
      </c>
      <c r="Q1262" s="3">
        <v>1319647.0</v>
      </c>
      <c r="R1262" s="3"/>
      <c r="S1262" s="3">
        <v>24300.0</v>
      </c>
      <c r="T1262" s="3" t="s">
        <v>56</v>
      </c>
      <c r="U1262" s="3">
        <v>24300.0</v>
      </c>
      <c r="V1262" s="5">
        <f>(DATE(2026,2,3)-'RICE_Insured Farms_with PPI Pol'!$G1262)+IF('RICE_Insured Farms_with PPI Pol'!$H1262&lt;&gt;'RICE_Insured Farms_with PPI Pol'!$G1262,18,0)</f>
        <v>72</v>
      </c>
      <c r="W1262" s="3" t="str">
        <f t="array" ref="W1262">IFS(V1262&gt;120, "Harvested", V1262&gt;=113, "Yellow Ripening", V1262&gt;=101, "Dough Stage", V1262&gt;=93, "Milking Stage", V1262&gt;=86, "Flowering", V1262&gt;=56, "Panicle Initiation/Booting", V1262&lt;56, "Vegetative/Tillering")</f>
        <v>Panicle Initiation/Booting</v>
      </c>
    </row>
    <row r="1263" ht="15.75" customHeight="1">
      <c r="A1263" s="3">
        <v>1262.0</v>
      </c>
      <c r="B1263" s="3" t="s">
        <v>23</v>
      </c>
      <c r="C1263" s="3" t="s">
        <v>68</v>
      </c>
      <c r="D1263" s="3" t="s">
        <v>289</v>
      </c>
      <c r="E1263" s="3" t="s">
        <v>1535</v>
      </c>
      <c r="F1263" s="3">
        <v>1760026.0</v>
      </c>
      <c r="G1263" s="4">
        <v>46017.0</v>
      </c>
      <c r="H1263" s="4">
        <v>46119.0</v>
      </c>
      <c r="I1263" s="3" t="s">
        <v>3259</v>
      </c>
      <c r="J1263" s="3" t="s">
        <v>3260</v>
      </c>
      <c r="K1263" s="3" t="s">
        <v>1536</v>
      </c>
      <c r="L1263" s="3">
        <v>1.4322</v>
      </c>
      <c r="M1263" s="3">
        <v>35805.0</v>
      </c>
      <c r="N1263" s="3">
        <v>3.0</v>
      </c>
      <c r="O1263" s="3">
        <v>82796.0</v>
      </c>
      <c r="P1263" s="3"/>
      <c r="Q1263" s="3">
        <v>1140388.0</v>
      </c>
      <c r="R1263" s="3"/>
      <c r="S1263" s="3">
        <v>28644.0</v>
      </c>
      <c r="T1263" s="3" t="s">
        <v>37</v>
      </c>
      <c r="U1263" s="3">
        <v>28644.0</v>
      </c>
      <c r="V1263" s="5">
        <f>(DATE(2026,2,3)-'RICE_Insured Farms_with PPI Pol'!$G1263)+IF('RICE_Insured Farms_with PPI Pol'!$H1263&lt;&gt;'RICE_Insured Farms_with PPI Pol'!$G1263,18,0)</f>
        <v>57</v>
      </c>
      <c r="W1263" s="3" t="str">
        <f t="array" ref="W1263">IFS(V1263&gt;120, "Harvested", V1263&gt;=113, "Yellow Ripening", V1263&gt;=101, "Dough Stage", V1263&gt;=93, "Milking Stage", V1263&gt;=86, "Flowering", V1263&gt;=56, "Panicle Initiation/Booting", V1263&lt;56, "Vegetative/Tillering")</f>
        <v>Panicle Initiation/Booting</v>
      </c>
    </row>
    <row r="1264" ht="15.75" hidden="1" customHeight="1">
      <c r="A1264" s="3">
        <v>1263.0</v>
      </c>
      <c r="B1264" s="3" t="s">
        <v>23</v>
      </c>
      <c r="C1264" s="3" t="s">
        <v>68</v>
      </c>
      <c r="D1264" s="3" t="s">
        <v>289</v>
      </c>
      <c r="E1264" s="3" t="s">
        <v>1535</v>
      </c>
      <c r="F1264" s="3">
        <v>1760026.0</v>
      </c>
      <c r="G1264" s="4">
        <v>46027.0</v>
      </c>
      <c r="H1264" s="4">
        <v>46129.0</v>
      </c>
      <c r="I1264" s="3" t="s">
        <v>3259</v>
      </c>
      <c r="J1264" s="3" t="s">
        <v>3260</v>
      </c>
      <c r="K1264" s="3" t="s">
        <v>1536</v>
      </c>
      <c r="L1264" s="3">
        <v>0.8766</v>
      </c>
      <c r="M1264" s="3">
        <v>21915.0</v>
      </c>
      <c r="N1264" s="3">
        <v>2.0</v>
      </c>
      <c r="O1264" s="3">
        <v>82796.0</v>
      </c>
      <c r="P1264" s="3"/>
      <c r="Q1264" s="3">
        <v>1140391.0</v>
      </c>
      <c r="R1264" s="3"/>
      <c r="S1264" s="3">
        <v>15340.5</v>
      </c>
      <c r="T1264" s="3" t="s">
        <v>31</v>
      </c>
      <c r="U1264" s="3">
        <v>15340.5</v>
      </c>
      <c r="V1264" s="5">
        <f>(DATE(2026,2,3)-'RICE_Insured Farms_with PPI Pol'!$G1264)+IF('RICE_Insured Farms_with PPI Pol'!$H1264&lt;&gt;'RICE_Insured Farms_with PPI Pol'!$G1264,18,0)</f>
        <v>47</v>
      </c>
      <c r="W1264" s="3" t="str">
        <f t="array" ref="W1264">IFS(V1264&gt;120, "Harvested", V1264&gt;=113, "Yellow Ripening", V1264&gt;=101, "Dough Stage", V1264&gt;=93, "Milking Stage", V1264&gt;=86, "Flowering", V1264&gt;=56, "Panicle Initiation/Booting", V1264&lt;56, "Vegetative/Tillering")</f>
        <v>Vegetative/Tillering</v>
      </c>
    </row>
    <row r="1265" ht="15.75" customHeight="1">
      <c r="A1265" s="3">
        <v>1264.0</v>
      </c>
      <c r="B1265" s="3" t="s">
        <v>23</v>
      </c>
      <c r="C1265" s="3" t="s">
        <v>68</v>
      </c>
      <c r="D1265" s="3" t="s">
        <v>289</v>
      </c>
      <c r="E1265" s="3" t="s">
        <v>1535</v>
      </c>
      <c r="F1265" s="3">
        <v>1760015.0</v>
      </c>
      <c r="G1265" s="4">
        <v>46018.0</v>
      </c>
      <c r="H1265" s="4">
        <v>46120.0</v>
      </c>
      <c r="I1265" s="3" t="s">
        <v>3259</v>
      </c>
      <c r="J1265" s="3" t="s">
        <v>100</v>
      </c>
      <c r="K1265" s="3" t="s">
        <v>3261</v>
      </c>
      <c r="L1265" s="3">
        <v>0.6296</v>
      </c>
      <c r="M1265" s="3">
        <v>15740.0</v>
      </c>
      <c r="N1265" s="3">
        <v>3.0</v>
      </c>
      <c r="O1265" s="3">
        <v>77672.0</v>
      </c>
      <c r="P1265" s="3" t="s">
        <v>3262</v>
      </c>
      <c r="Q1265" s="3">
        <v>1140367.0</v>
      </c>
      <c r="R1265" s="3"/>
      <c r="S1265" s="3">
        <v>12592.0</v>
      </c>
      <c r="T1265" s="3" t="s">
        <v>37</v>
      </c>
      <c r="U1265" s="3">
        <v>12592.0</v>
      </c>
      <c r="V1265" s="5">
        <f>(DATE(2026,2,3)-'RICE_Insured Farms_with PPI Pol'!$G1265)+IF('RICE_Insured Farms_with PPI Pol'!$H1265&lt;&gt;'RICE_Insured Farms_with PPI Pol'!$G1265,18,0)</f>
        <v>56</v>
      </c>
      <c r="W1265" s="3" t="str">
        <f t="array" ref="W1265">IFS(V1265&gt;120, "Harvested", V1265&gt;=113, "Yellow Ripening", V1265&gt;=101, "Dough Stage", V1265&gt;=93, "Milking Stage", V1265&gt;=86, "Flowering", V1265&gt;=56, "Panicle Initiation/Booting", V1265&lt;56, "Vegetative/Tillering")</f>
        <v>Panicle Initiation/Booting</v>
      </c>
    </row>
    <row r="1266" ht="15.75" customHeight="1">
      <c r="A1266" s="3">
        <v>1265.0</v>
      </c>
      <c r="B1266" s="3" t="s">
        <v>23</v>
      </c>
      <c r="C1266" s="3" t="s">
        <v>68</v>
      </c>
      <c r="D1266" s="3" t="s">
        <v>289</v>
      </c>
      <c r="E1266" s="3" t="s">
        <v>1535</v>
      </c>
      <c r="F1266" s="3">
        <v>1760015.0</v>
      </c>
      <c r="G1266" s="4">
        <v>46018.0</v>
      </c>
      <c r="H1266" s="4">
        <v>46120.0</v>
      </c>
      <c r="I1266" s="3" t="s">
        <v>3259</v>
      </c>
      <c r="J1266" s="3" t="s">
        <v>3263</v>
      </c>
      <c r="K1266" s="3" t="s">
        <v>1990</v>
      </c>
      <c r="L1266" s="3">
        <v>0.491</v>
      </c>
      <c r="M1266" s="3">
        <v>12275.0</v>
      </c>
      <c r="N1266" s="3">
        <v>3.0</v>
      </c>
      <c r="O1266" s="3">
        <v>77687.0</v>
      </c>
      <c r="P1266" s="3" t="s">
        <v>3264</v>
      </c>
      <c r="Q1266" s="3">
        <v>1140361.0</v>
      </c>
      <c r="R1266" s="3"/>
      <c r="S1266" s="3">
        <v>9820.0</v>
      </c>
      <c r="T1266" s="3" t="s">
        <v>37</v>
      </c>
      <c r="U1266" s="3">
        <v>9820.0</v>
      </c>
      <c r="V1266" s="5">
        <f>(DATE(2026,2,3)-'RICE_Insured Farms_with PPI Pol'!$G1266)+IF('RICE_Insured Farms_with PPI Pol'!$H1266&lt;&gt;'RICE_Insured Farms_with PPI Pol'!$G1266,18,0)</f>
        <v>56</v>
      </c>
      <c r="W1266" s="3" t="str">
        <f t="array" ref="W1266">IFS(V1266&gt;120, "Harvested", V1266&gt;=113, "Yellow Ripening", V1266&gt;=101, "Dough Stage", V1266&gt;=93, "Milking Stage", V1266&gt;=86, "Flowering", V1266&gt;=56, "Panicle Initiation/Booting", V1266&lt;56, "Vegetative/Tillering")</f>
        <v>Panicle Initiation/Booting</v>
      </c>
    </row>
    <row r="1267" ht="15.75" hidden="1" customHeight="1">
      <c r="A1267" s="3">
        <v>907.0</v>
      </c>
      <c r="B1267" s="3" t="s">
        <v>23</v>
      </c>
      <c r="C1267" s="3" t="s">
        <v>24</v>
      </c>
      <c r="D1267" s="3" t="s">
        <v>538</v>
      </c>
      <c r="E1267" s="3" t="s">
        <v>1513</v>
      </c>
      <c r="F1267" s="3">
        <v>1190672.0</v>
      </c>
      <c r="G1267" s="4">
        <v>46027.0</v>
      </c>
      <c r="H1267" s="4">
        <v>46102.0</v>
      </c>
      <c r="I1267" s="3" t="s">
        <v>1013</v>
      </c>
      <c r="J1267" s="3" t="s">
        <v>1096</v>
      </c>
      <c r="K1267" s="3" t="s">
        <v>3265</v>
      </c>
      <c r="L1267" s="3">
        <v>1.3013</v>
      </c>
      <c r="M1267" s="3">
        <v>32532.5</v>
      </c>
      <c r="N1267" s="3">
        <v>4.0</v>
      </c>
      <c r="O1267" s="3">
        <v>87369.0</v>
      </c>
      <c r="P1267" s="3" t="s">
        <v>3266</v>
      </c>
      <c r="Q1267" s="3">
        <v>1324637.0</v>
      </c>
      <c r="R1267" s="3"/>
      <c r="S1267" s="3">
        <v>26026.0</v>
      </c>
      <c r="T1267" s="3" t="s">
        <v>56</v>
      </c>
      <c r="U1267" s="3">
        <v>26026.0</v>
      </c>
      <c r="V1267" s="5">
        <f>(DATE(2026,2,3)-'RICE_Insured Farms_with PPI Pol'!$G1267)+IF('RICE_Insured Farms_with PPI Pol'!$H1267&lt;&gt;'RICE_Insured Farms_with PPI Pol'!$G1267,18,0)</f>
        <v>47</v>
      </c>
      <c r="W1267" s="3" t="str">
        <f t="array" ref="W1267">IFS(V1267&gt;120, "Harvested", V1267&gt;=113, "Yellow Ripening", V1267&gt;=101, "Dough Stage", V1267&gt;=93, "Milking Stage", V1267&gt;=86, "Flowering", V1267&gt;=56, "Panicle Initiation/Booting", V1267&lt;56, "Vegetative/Tillering")</f>
        <v>Vegetative/Tillering</v>
      </c>
    </row>
    <row r="1268" ht="15.75" customHeight="1">
      <c r="A1268" s="3">
        <v>1267.0</v>
      </c>
      <c r="B1268" s="3" t="s">
        <v>23</v>
      </c>
      <c r="C1268" s="3" t="s">
        <v>24</v>
      </c>
      <c r="D1268" s="3" t="s">
        <v>25</v>
      </c>
      <c r="E1268" s="3" t="s">
        <v>1374</v>
      </c>
      <c r="F1268" s="3">
        <v>1760463.0</v>
      </c>
      <c r="G1268" s="4">
        <v>46020.0</v>
      </c>
      <c r="H1268" s="4">
        <v>46115.0</v>
      </c>
      <c r="I1268" s="3" t="s">
        <v>3267</v>
      </c>
      <c r="J1268" s="3" t="s">
        <v>3268</v>
      </c>
      <c r="K1268" s="3" t="s">
        <v>3269</v>
      </c>
      <c r="L1268" s="3">
        <v>0.6393</v>
      </c>
      <c r="M1268" s="3">
        <v>15982.5</v>
      </c>
      <c r="N1268" s="3">
        <v>3.0</v>
      </c>
      <c r="O1268" s="3">
        <v>479235.0</v>
      </c>
      <c r="P1268" s="3" t="s">
        <v>3270</v>
      </c>
      <c r="Q1268" s="3">
        <v>1276347.0</v>
      </c>
      <c r="R1268" s="3"/>
      <c r="S1268" s="3">
        <v>12786.0</v>
      </c>
      <c r="T1268" s="3" t="s">
        <v>37</v>
      </c>
      <c r="U1268" s="3">
        <v>12786.0</v>
      </c>
      <c r="V1268" s="5">
        <f>(DATE(2026,2,3)-'RICE_Insured Farms_with PPI Pol'!$G1268)+IF('RICE_Insured Farms_with PPI Pol'!$H1268&lt;&gt;'RICE_Insured Farms_with PPI Pol'!$G1268,18,0)</f>
        <v>54</v>
      </c>
      <c r="W1268" s="3" t="str">
        <f t="array" ref="W1268">IFS(V1268&gt;120, "Harvested", V1268&gt;=113, "Yellow Ripening", V1268&gt;=101, "Dough Stage", V1268&gt;=93, "Milking Stage", V1268&gt;=86, "Flowering", V1268&gt;=56, "Panicle Initiation/Booting", V1268&lt;56, "Vegetative/Tillering")</f>
        <v>Vegetative/Tillering</v>
      </c>
    </row>
    <row r="1269" ht="15.75" customHeight="1">
      <c r="A1269" s="3">
        <v>1268.0</v>
      </c>
      <c r="B1269" s="3" t="s">
        <v>23</v>
      </c>
      <c r="C1269" s="3" t="s">
        <v>68</v>
      </c>
      <c r="D1269" s="3" t="s">
        <v>289</v>
      </c>
      <c r="E1269" s="3" t="s">
        <v>743</v>
      </c>
      <c r="F1269" s="3">
        <v>1760011.0</v>
      </c>
      <c r="G1269" s="4">
        <v>46024.0</v>
      </c>
      <c r="H1269" s="4">
        <v>46126.0</v>
      </c>
      <c r="I1269" s="3" t="s">
        <v>3271</v>
      </c>
      <c r="J1269" s="3" t="s">
        <v>3272</v>
      </c>
      <c r="K1269" s="3" t="s">
        <v>2459</v>
      </c>
      <c r="L1269" s="3">
        <v>0.84</v>
      </c>
      <c r="M1269" s="3">
        <v>21000.0</v>
      </c>
      <c r="N1269" s="3">
        <v>3.0</v>
      </c>
      <c r="O1269" s="3">
        <v>198475.0</v>
      </c>
      <c r="P1269" s="3" t="s">
        <v>3273</v>
      </c>
      <c r="Q1269" s="3">
        <v>1186270.0</v>
      </c>
      <c r="R1269" s="3"/>
      <c r="S1269" s="3">
        <v>16800.0</v>
      </c>
      <c r="T1269" s="3" t="s">
        <v>37</v>
      </c>
      <c r="U1269" s="3">
        <v>16800.0</v>
      </c>
      <c r="V1269" s="5">
        <f>(DATE(2026,2,3)-'RICE_Insured Farms_with PPI Pol'!$G1269)+IF('RICE_Insured Farms_with PPI Pol'!$H1269&lt;&gt;'RICE_Insured Farms_with PPI Pol'!$G1269,18,0)</f>
        <v>50</v>
      </c>
      <c r="W1269" s="3" t="str">
        <f t="array" ref="W1269">IFS(V1269&gt;120, "Harvested", V1269&gt;=113, "Yellow Ripening", V1269&gt;=101, "Dough Stage", V1269&gt;=93, "Milking Stage", V1269&gt;=86, "Flowering", V1269&gt;=56, "Panicle Initiation/Booting", V1269&lt;56, "Vegetative/Tillering")</f>
        <v>Vegetative/Tillering</v>
      </c>
    </row>
    <row r="1270" ht="15.75" customHeight="1">
      <c r="A1270" s="3">
        <v>1269.0</v>
      </c>
      <c r="B1270" s="3" t="s">
        <v>23</v>
      </c>
      <c r="C1270" s="3" t="s">
        <v>68</v>
      </c>
      <c r="D1270" s="3" t="s">
        <v>289</v>
      </c>
      <c r="E1270" s="3" t="s">
        <v>1535</v>
      </c>
      <c r="F1270" s="3">
        <v>1760007.0</v>
      </c>
      <c r="G1270" s="4">
        <v>46020.0</v>
      </c>
      <c r="H1270" s="4">
        <v>46122.0</v>
      </c>
      <c r="I1270" s="3" t="s">
        <v>1548</v>
      </c>
      <c r="J1270" s="3" t="s">
        <v>3274</v>
      </c>
      <c r="K1270" s="3" t="s">
        <v>1979</v>
      </c>
      <c r="L1270" s="3">
        <v>0.5418</v>
      </c>
      <c r="M1270" s="3">
        <v>13545.0</v>
      </c>
      <c r="N1270" s="3">
        <v>3.0</v>
      </c>
      <c r="O1270" s="3">
        <v>31332.0</v>
      </c>
      <c r="P1270" s="3"/>
      <c r="Q1270" s="3">
        <v>1186476.0</v>
      </c>
      <c r="R1270" s="3"/>
      <c r="S1270" s="3">
        <v>10836.0</v>
      </c>
      <c r="T1270" s="3" t="s">
        <v>37</v>
      </c>
      <c r="U1270" s="3">
        <v>10836.0</v>
      </c>
      <c r="V1270" s="5">
        <f>(DATE(2026,2,3)-'RICE_Insured Farms_with PPI Pol'!$G1270)+IF('RICE_Insured Farms_with PPI Pol'!$H1270&lt;&gt;'RICE_Insured Farms_with PPI Pol'!$G1270,18,0)</f>
        <v>54</v>
      </c>
      <c r="W1270" s="3" t="str">
        <f t="array" ref="W1270">IFS(V1270&gt;120, "Harvested", V1270&gt;=113, "Yellow Ripening", V1270&gt;=101, "Dough Stage", V1270&gt;=93, "Milking Stage", V1270&gt;=86, "Flowering", V1270&gt;=56, "Panicle Initiation/Booting", V1270&lt;56, "Vegetative/Tillering")</f>
        <v>Vegetative/Tillering</v>
      </c>
    </row>
    <row r="1271" ht="15.75" customHeight="1">
      <c r="A1271" s="3">
        <v>1270.0</v>
      </c>
      <c r="B1271" s="3" t="s">
        <v>23</v>
      </c>
      <c r="C1271" s="3" t="s">
        <v>68</v>
      </c>
      <c r="D1271" s="3" t="s">
        <v>289</v>
      </c>
      <c r="E1271" s="3" t="s">
        <v>1535</v>
      </c>
      <c r="F1271" s="3">
        <v>1760007.0</v>
      </c>
      <c r="G1271" s="4">
        <v>46016.0</v>
      </c>
      <c r="H1271" s="4">
        <v>46118.0</v>
      </c>
      <c r="I1271" s="3" t="s">
        <v>1548</v>
      </c>
      <c r="J1271" s="3" t="s">
        <v>3274</v>
      </c>
      <c r="K1271" s="3" t="s">
        <v>1979</v>
      </c>
      <c r="L1271" s="3">
        <v>0.1512</v>
      </c>
      <c r="M1271" s="3">
        <v>3780.0</v>
      </c>
      <c r="N1271" s="3">
        <v>3.0</v>
      </c>
      <c r="O1271" s="3">
        <v>31332.0</v>
      </c>
      <c r="P1271" s="3"/>
      <c r="Q1271" s="3">
        <v>1309562.0</v>
      </c>
      <c r="R1271" s="3"/>
      <c r="S1271" s="3">
        <v>3024.0</v>
      </c>
      <c r="T1271" s="3" t="s">
        <v>37</v>
      </c>
      <c r="U1271" s="3">
        <v>3024.0</v>
      </c>
      <c r="V1271" s="5">
        <f>(DATE(2026,2,3)-'RICE_Insured Farms_with PPI Pol'!$G1271)+IF('RICE_Insured Farms_with PPI Pol'!$H1271&lt;&gt;'RICE_Insured Farms_with PPI Pol'!$G1271,18,0)</f>
        <v>58</v>
      </c>
      <c r="W1271" s="3" t="str">
        <f t="array" ref="W1271">IFS(V1271&gt;120, "Harvested", V1271&gt;=113, "Yellow Ripening", V1271&gt;=101, "Dough Stage", V1271&gt;=93, "Milking Stage", V1271&gt;=86, "Flowering", V1271&gt;=56, "Panicle Initiation/Booting", V1271&lt;56, "Vegetative/Tillering")</f>
        <v>Panicle Initiation/Booting</v>
      </c>
    </row>
    <row r="1272" ht="15.75" hidden="1" customHeight="1">
      <c r="A1272" s="3">
        <v>1272.0</v>
      </c>
      <c r="B1272" s="3" t="s">
        <v>23</v>
      </c>
      <c r="C1272" s="3" t="s">
        <v>24</v>
      </c>
      <c r="D1272" s="3" t="s">
        <v>538</v>
      </c>
      <c r="E1272" s="3" t="s">
        <v>1513</v>
      </c>
      <c r="F1272" s="3">
        <v>1190671.0</v>
      </c>
      <c r="G1272" s="4">
        <v>46024.0</v>
      </c>
      <c r="H1272" s="4">
        <v>46109.0</v>
      </c>
      <c r="I1272" s="3" t="s">
        <v>3275</v>
      </c>
      <c r="J1272" s="3" t="s">
        <v>3276</v>
      </c>
      <c r="K1272" s="3" t="s">
        <v>3277</v>
      </c>
      <c r="L1272" s="3">
        <v>0.3</v>
      </c>
      <c r="M1272" s="3">
        <v>7500.0</v>
      </c>
      <c r="N1272" s="3">
        <v>4.0</v>
      </c>
      <c r="O1272" s="3">
        <v>391295.0</v>
      </c>
      <c r="P1272" s="3" t="s">
        <v>3278</v>
      </c>
      <c r="Q1272" s="3">
        <v>1324618.0</v>
      </c>
      <c r="R1272" s="3"/>
      <c r="S1272" s="3">
        <v>6000.0</v>
      </c>
      <c r="T1272" s="3" t="s">
        <v>56</v>
      </c>
      <c r="U1272" s="3">
        <v>6000.0</v>
      </c>
      <c r="V1272" s="5">
        <f>(DATE(2026,2,3)-'RICE_Insured Farms_with PPI Pol'!$G1272)+IF('RICE_Insured Farms_with PPI Pol'!$H1272&lt;&gt;'RICE_Insured Farms_with PPI Pol'!$G1272,18,0)</f>
        <v>50</v>
      </c>
      <c r="W1272" s="3" t="str">
        <f t="array" ref="W1272">IFS(V1272&gt;120, "Harvested", V1272&gt;=113, "Yellow Ripening", V1272&gt;=101, "Dough Stage", V1272&gt;=93, "Milking Stage", V1272&gt;=86, "Flowering", V1272&gt;=56, "Panicle Initiation/Booting", V1272&lt;56, "Vegetative/Tillering")</f>
        <v>Vegetative/Tillering</v>
      </c>
    </row>
    <row r="1273" ht="15.75" hidden="1" customHeight="1">
      <c r="A1273" s="3">
        <v>150.0</v>
      </c>
      <c r="B1273" s="3" t="s">
        <v>23</v>
      </c>
      <c r="C1273" s="3" t="s">
        <v>24</v>
      </c>
      <c r="D1273" s="3" t="s">
        <v>299</v>
      </c>
      <c r="E1273" s="3" t="s">
        <v>3279</v>
      </c>
      <c r="F1273" s="3">
        <v>1761002.0</v>
      </c>
      <c r="G1273" s="4">
        <v>46011.0</v>
      </c>
      <c r="H1273" s="4">
        <v>46106.0</v>
      </c>
      <c r="I1273" s="3" t="s">
        <v>595</v>
      </c>
      <c r="J1273" s="3" t="s">
        <v>530</v>
      </c>
      <c r="K1273" s="3" t="s">
        <v>3280</v>
      </c>
      <c r="L1273" s="3">
        <v>1.5</v>
      </c>
      <c r="M1273" s="3">
        <v>37500.0</v>
      </c>
      <c r="N1273" s="3">
        <v>4.0</v>
      </c>
      <c r="O1273" s="3">
        <v>414516.0</v>
      </c>
      <c r="P1273" s="3"/>
      <c r="Q1273" s="3">
        <v>871709.0</v>
      </c>
      <c r="R1273" s="3"/>
      <c r="S1273" s="3">
        <v>30000.0</v>
      </c>
      <c r="T1273" s="3" t="s">
        <v>56</v>
      </c>
      <c r="U1273" s="3">
        <v>30000.0</v>
      </c>
      <c r="V1273" s="5">
        <f>(DATE(2026,2,3)-'RICE_Insured Farms_with PPI Pol'!$G1273)+IF('RICE_Insured Farms_with PPI Pol'!$H1273&lt;&gt;'RICE_Insured Farms_with PPI Pol'!$G1273,18,0)</f>
        <v>63</v>
      </c>
      <c r="W1273" s="3" t="str">
        <f t="array" ref="W1273">IFS(V1273&gt;120, "Harvested", V1273&gt;=113, "Yellow Ripening", V1273&gt;=101, "Dough Stage", V1273&gt;=93, "Milking Stage", V1273&gt;=86, "Flowering", V1273&gt;=56, "Panicle Initiation/Booting", V1273&lt;56, "Vegetative/Tillering")</f>
        <v>Panicle Initiation/Booting</v>
      </c>
    </row>
    <row r="1274" ht="15.75" customHeight="1">
      <c r="A1274" s="3">
        <v>1273.0</v>
      </c>
      <c r="B1274" s="3" t="s">
        <v>23</v>
      </c>
      <c r="C1274" s="3" t="s">
        <v>68</v>
      </c>
      <c r="D1274" s="3" t="s">
        <v>69</v>
      </c>
      <c r="E1274" s="3" t="s">
        <v>131</v>
      </c>
      <c r="F1274" s="3">
        <v>1739649.0</v>
      </c>
      <c r="G1274" s="4">
        <v>46006.0</v>
      </c>
      <c r="H1274" s="4">
        <v>46126.0</v>
      </c>
      <c r="I1274" s="3" t="s">
        <v>3281</v>
      </c>
      <c r="J1274" s="3" t="s">
        <v>3282</v>
      </c>
      <c r="K1274" s="3" t="s">
        <v>3283</v>
      </c>
      <c r="L1274" s="3">
        <v>0.7069</v>
      </c>
      <c r="M1274" s="3">
        <v>17672.5</v>
      </c>
      <c r="N1274" s="3">
        <v>3.0</v>
      </c>
      <c r="O1274" s="3">
        <v>430878.0</v>
      </c>
      <c r="P1274" s="3" t="s">
        <v>3284</v>
      </c>
      <c r="Q1274" s="3">
        <v>1137227.0</v>
      </c>
      <c r="R1274" s="3"/>
      <c r="S1274" s="3">
        <v>14138.0</v>
      </c>
      <c r="T1274" s="3" t="s">
        <v>37</v>
      </c>
      <c r="U1274" s="3">
        <v>14138.0</v>
      </c>
      <c r="V1274" s="5">
        <f>(DATE(2026,2,3)-'RICE_Insured Farms_with PPI Pol'!$G1274)+IF('RICE_Insured Farms_with PPI Pol'!$H1274&lt;&gt;'RICE_Insured Farms_with PPI Pol'!$G1274,18,0)</f>
        <v>68</v>
      </c>
      <c r="W1274" s="3" t="str">
        <f t="array" ref="W1274">IFS(V1274&gt;120, "Harvested", V1274&gt;=113, "Yellow Ripening", V1274&gt;=101, "Dough Stage", V1274&gt;=93, "Milking Stage", V1274&gt;=86, "Flowering", V1274&gt;=56, "Panicle Initiation/Booting", V1274&lt;56, "Vegetative/Tillering")</f>
        <v>Panicle Initiation/Booting</v>
      </c>
    </row>
    <row r="1275" ht="15.75" hidden="1" customHeight="1">
      <c r="A1275" s="3">
        <v>1274.0</v>
      </c>
      <c r="B1275" s="3" t="s">
        <v>23</v>
      </c>
      <c r="C1275" s="3" t="s">
        <v>50</v>
      </c>
      <c r="D1275" s="3" t="s">
        <v>51</v>
      </c>
      <c r="E1275" s="3" t="s">
        <v>3285</v>
      </c>
      <c r="F1275" s="3">
        <v>1741852.0</v>
      </c>
      <c r="G1275" s="4">
        <v>46049.0</v>
      </c>
      <c r="H1275" s="4">
        <v>46147.0</v>
      </c>
      <c r="I1275" s="3" t="s">
        <v>1479</v>
      </c>
      <c r="J1275" s="3" t="s">
        <v>3286</v>
      </c>
      <c r="K1275" s="3" t="s">
        <v>3287</v>
      </c>
      <c r="L1275" s="3">
        <v>0.8671</v>
      </c>
      <c r="M1275" s="3">
        <v>21677.5</v>
      </c>
      <c r="N1275" s="3">
        <v>1.0</v>
      </c>
      <c r="O1275" s="3">
        <v>442691.0</v>
      </c>
      <c r="P1275" s="3" t="s">
        <v>3288</v>
      </c>
      <c r="Q1275" s="3">
        <v>1178813.0</v>
      </c>
      <c r="R1275" s="3"/>
      <c r="S1275" s="3">
        <v>13006.5</v>
      </c>
      <c r="T1275" s="3" t="s">
        <v>62</v>
      </c>
      <c r="U1275" s="3">
        <v>13006.5</v>
      </c>
      <c r="V1275" s="5">
        <f>(DATE(2026,2,3)-'RICE_Insured Farms_with PPI Pol'!$G1275)+IF('RICE_Insured Farms_with PPI Pol'!$H1275&lt;&gt;'RICE_Insured Farms_with PPI Pol'!$G1275,18,0)</f>
        <v>25</v>
      </c>
      <c r="W1275" s="3" t="str">
        <f t="array" ref="W1275">IFS(V1275&gt;120, "Harvested", V1275&gt;=113, "Yellow Ripening", V1275&gt;=101, "Dough Stage", V1275&gt;=93, "Milking Stage", V1275&gt;=86, "Flowering", V1275&gt;=56, "Panicle Initiation/Booting", V1275&lt;56, "Vegetative/Tillering")</f>
        <v>Vegetative/Tillering</v>
      </c>
    </row>
    <row r="1276" ht="15.75" hidden="1" customHeight="1">
      <c r="A1276" s="3">
        <v>1275.0</v>
      </c>
      <c r="B1276" s="3" t="s">
        <v>23</v>
      </c>
      <c r="C1276" s="3" t="s">
        <v>24</v>
      </c>
      <c r="D1276" s="3" t="s">
        <v>25</v>
      </c>
      <c r="E1276" s="3" t="s">
        <v>1374</v>
      </c>
      <c r="F1276" s="3">
        <v>1761042.0</v>
      </c>
      <c r="G1276" s="4">
        <v>46052.0</v>
      </c>
      <c r="H1276" s="4">
        <v>46143.0</v>
      </c>
      <c r="I1276" s="3" t="s">
        <v>3289</v>
      </c>
      <c r="J1276" s="3" t="s">
        <v>822</v>
      </c>
      <c r="K1276" s="3" t="s">
        <v>3069</v>
      </c>
      <c r="L1276" s="3">
        <v>0.794</v>
      </c>
      <c r="M1276" s="3">
        <v>19850.0</v>
      </c>
      <c r="N1276" s="3">
        <v>2.0</v>
      </c>
      <c r="O1276" s="3">
        <v>417919.0</v>
      </c>
      <c r="P1276" s="3"/>
      <c r="Q1276" s="3">
        <v>1208845.0</v>
      </c>
      <c r="R1276" s="3"/>
      <c r="S1276" s="3">
        <v>13895.0</v>
      </c>
      <c r="T1276" s="3" t="s">
        <v>31</v>
      </c>
      <c r="U1276" s="3">
        <v>13895.0</v>
      </c>
      <c r="V1276" s="5">
        <f>(DATE(2026,2,3)-'RICE_Insured Farms_with PPI Pol'!$G1276)+IF('RICE_Insured Farms_with PPI Pol'!$H1276&lt;&gt;'RICE_Insured Farms_with PPI Pol'!$G1276,18,0)</f>
        <v>22</v>
      </c>
      <c r="W1276" s="3" t="str">
        <f t="array" ref="W1276">IFS(V1276&gt;120, "Harvested", V1276&gt;=113, "Yellow Ripening", V1276&gt;=101, "Dough Stage", V1276&gt;=93, "Milking Stage", V1276&gt;=86, "Flowering", V1276&gt;=56, "Panicle Initiation/Booting", V1276&lt;56, "Vegetative/Tillering")</f>
        <v>Vegetative/Tillering</v>
      </c>
    </row>
    <row r="1277" ht="15.75" hidden="1" customHeight="1">
      <c r="A1277" s="3">
        <v>1276.0</v>
      </c>
      <c r="B1277" s="3" t="s">
        <v>23</v>
      </c>
      <c r="C1277" s="3" t="s">
        <v>68</v>
      </c>
      <c r="D1277" s="3" t="s">
        <v>1208</v>
      </c>
      <c r="E1277" s="3" t="s">
        <v>2767</v>
      </c>
      <c r="F1277" s="3">
        <v>1742123.0</v>
      </c>
      <c r="G1277" s="4">
        <v>46042.0</v>
      </c>
      <c r="H1277" s="4">
        <v>46134.0</v>
      </c>
      <c r="I1277" s="3" t="s">
        <v>3290</v>
      </c>
      <c r="J1277" s="3" t="s">
        <v>3291</v>
      </c>
      <c r="K1277" s="3" t="s">
        <v>3292</v>
      </c>
      <c r="L1277" s="3">
        <v>0.9908</v>
      </c>
      <c r="M1277" s="3">
        <v>24770.0</v>
      </c>
      <c r="N1277" s="3">
        <v>2.0</v>
      </c>
      <c r="O1277" s="3">
        <v>80386.0</v>
      </c>
      <c r="P1277" s="3" t="s">
        <v>3293</v>
      </c>
      <c r="Q1277" s="3">
        <v>1288174.0</v>
      </c>
      <c r="R1277" s="3"/>
      <c r="S1277" s="3">
        <v>17339.0</v>
      </c>
      <c r="T1277" s="3" t="s">
        <v>31</v>
      </c>
      <c r="U1277" s="3">
        <v>17339.0</v>
      </c>
      <c r="V1277" s="5">
        <f>(DATE(2026,2,3)-'RICE_Insured Farms_with PPI Pol'!$G1277)+IF('RICE_Insured Farms_with PPI Pol'!$H1277&lt;&gt;'RICE_Insured Farms_with PPI Pol'!$G1277,18,0)</f>
        <v>32</v>
      </c>
      <c r="W1277" s="3" t="str">
        <f t="array" ref="W1277">IFS(V1277&gt;120, "Harvested", V1277&gt;=113, "Yellow Ripening", V1277&gt;=101, "Dough Stage", V1277&gt;=93, "Milking Stage", V1277&gt;=86, "Flowering", V1277&gt;=56, "Panicle Initiation/Booting", V1277&lt;56, "Vegetative/Tillering")</f>
        <v>Vegetative/Tillering</v>
      </c>
    </row>
    <row r="1278" ht="15.75" hidden="1" customHeight="1">
      <c r="A1278" s="3">
        <v>1277.0</v>
      </c>
      <c r="B1278" s="3" t="s">
        <v>23</v>
      </c>
      <c r="C1278" s="3" t="s">
        <v>68</v>
      </c>
      <c r="D1278" s="3" t="s">
        <v>1208</v>
      </c>
      <c r="E1278" s="3" t="s">
        <v>2767</v>
      </c>
      <c r="F1278" s="3">
        <v>1742123.0</v>
      </c>
      <c r="G1278" s="4">
        <v>46042.0</v>
      </c>
      <c r="H1278" s="4">
        <v>46134.0</v>
      </c>
      <c r="I1278" s="3" t="s">
        <v>3290</v>
      </c>
      <c r="J1278" s="3" t="s">
        <v>3294</v>
      </c>
      <c r="K1278" s="3" t="s">
        <v>3295</v>
      </c>
      <c r="L1278" s="3">
        <v>0.5689</v>
      </c>
      <c r="M1278" s="3">
        <v>14222.5</v>
      </c>
      <c r="N1278" s="3">
        <v>2.0</v>
      </c>
      <c r="O1278" s="3">
        <v>331009.0</v>
      </c>
      <c r="P1278" s="3" t="s">
        <v>3296</v>
      </c>
      <c r="Q1278" s="3">
        <v>1288176.0</v>
      </c>
      <c r="R1278" s="3"/>
      <c r="S1278" s="3">
        <v>9955.75</v>
      </c>
      <c r="T1278" s="3" t="s">
        <v>31</v>
      </c>
      <c r="U1278" s="3">
        <v>9955.75</v>
      </c>
      <c r="V1278" s="5">
        <f>(DATE(2026,2,3)-'RICE_Insured Farms_with PPI Pol'!$G1278)+IF('RICE_Insured Farms_with PPI Pol'!$H1278&lt;&gt;'RICE_Insured Farms_with PPI Pol'!$G1278,18,0)</f>
        <v>32</v>
      </c>
      <c r="W1278" s="3" t="str">
        <f t="array" ref="W1278">IFS(V1278&gt;120, "Harvested", V1278&gt;=113, "Yellow Ripening", V1278&gt;=101, "Dough Stage", V1278&gt;=93, "Milking Stage", V1278&gt;=86, "Flowering", V1278&gt;=56, "Panicle Initiation/Booting", V1278&lt;56, "Vegetative/Tillering")</f>
        <v>Vegetative/Tillering</v>
      </c>
    </row>
    <row r="1279" ht="15.75" hidden="1" customHeight="1">
      <c r="A1279" s="3">
        <v>1278.0</v>
      </c>
      <c r="B1279" s="3" t="s">
        <v>23</v>
      </c>
      <c r="C1279" s="3" t="s">
        <v>68</v>
      </c>
      <c r="D1279" s="3" t="s">
        <v>289</v>
      </c>
      <c r="E1279" s="3" t="s">
        <v>895</v>
      </c>
      <c r="F1279" s="3">
        <v>1760020.0</v>
      </c>
      <c r="G1279" s="4">
        <v>46028.0</v>
      </c>
      <c r="H1279" s="4">
        <v>46130.0</v>
      </c>
      <c r="I1279" s="3" t="s">
        <v>3297</v>
      </c>
      <c r="J1279" s="3" t="s">
        <v>859</v>
      </c>
      <c r="K1279" s="3" t="s">
        <v>3298</v>
      </c>
      <c r="L1279" s="3">
        <v>0.1616</v>
      </c>
      <c r="M1279" s="3">
        <v>4040.0</v>
      </c>
      <c r="N1279" s="3">
        <v>2.0</v>
      </c>
      <c r="O1279" s="3">
        <v>330967.0</v>
      </c>
      <c r="P1279" s="3" t="s">
        <v>3299</v>
      </c>
      <c r="Q1279" s="3">
        <v>1205478.0</v>
      </c>
      <c r="R1279" s="3"/>
      <c r="S1279" s="3">
        <v>2828.0</v>
      </c>
      <c r="T1279" s="3" t="s">
        <v>31</v>
      </c>
      <c r="U1279" s="3">
        <v>2828.0</v>
      </c>
      <c r="V1279" s="5">
        <f>(DATE(2026,2,3)-'RICE_Insured Farms_with PPI Pol'!$G1279)+IF('RICE_Insured Farms_with PPI Pol'!$H1279&lt;&gt;'RICE_Insured Farms_with PPI Pol'!$G1279,18,0)</f>
        <v>46</v>
      </c>
      <c r="W1279" s="3" t="str">
        <f t="array" ref="W1279">IFS(V1279&gt;120, "Harvested", V1279&gt;=113, "Yellow Ripening", V1279&gt;=101, "Dough Stage", V1279&gt;=93, "Milking Stage", V1279&gt;=86, "Flowering", V1279&gt;=56, "Panicle Initiation/Booting", V1279&lt;56, "Vegetative/Tillering")</f>
        <v>Vegetative/Tillering</v>
      </c>
    </row>
    <row r="1280" ht="15.75" hidden="1" customHeight="1">
      <c r="A1280" s="3">
        <v>1279.0</v>
      </c>
      <c r="B1280" s="3" t="s">
        <v>23</v>
      </c>
      <c r="C1280" s="3" t="s">
        <v>68</v>
      </c>
      <c r="D1280" s="3" t="s">
        <v>289</v>
      </c>
      <c r="E1280" s="3" t="s">
        <v>895</v>
      </c>
      <c r="F1280" s="3">
        <v>1760020.0</v>
      </c>
      <c r="G1280" s="4">
        <v>46028.0</v>
      </c>
      <c r="H1280" s="4">
        <v>46130.0</v>
      </c>
      <c r="I1280" s="3" t="s">
        <v>3297</v>
      </c>
      <c r="J1280" s="3" t="s">
        <v>859</v>
      </c>
      <c r="K1280" s="3" t="s">
        <v>3298</v>
      </c>
      <c r="L1280" s="3">
        <v>0.1909</v>
      </c>
      <c r="M1280" s="3">
        <v>4772.5</v>
      </c>
      <c r="N1280" s="3">
        <v>2.0</v>
      </c>
      <c r="O1280" s="3">
        <v>330967.0</v>
      </c>
      <c r="P1280" s="3" t="s">
        <v>3299</v>
      </c>
      <c r="Q1280" s="3">
        <v>1280639.0</v>
      </c>
      <c r="R1280" s="3"/>
      <c r="S1280" s="3">
        <v>3340.75</v>
      </c>
      <c r="T1280" s="3" t="s">
        <v>31</v>
      </c>
      <c r="U1280" s="3">
        <v>3340.75</v>
      </c>
      <c r="V1280" s="5">
        <f>(DATE(2026,2,3)-'RICE_Insured Farms_with PPI Pol'!$G1280)+IF('RICE_Insured Farms_with PPI Pol'!$H1280&lt;&gt;'RICE_Insured Farms_with PPI Pol'!$G1280,18,0)</f>
        <v>46</v>
      </c>
      <c r="W1280" s="3" t="str">
        <f t="array" ref="W1280">IFS(V1280&gt;120, "Harvested", V1280&gt;=113, "Yellow Ripening", V1280&gt;=101, "Dough Stage", V1280&gt;=93, "Milking Stage", V1280&gt;=86, "Flowering", V1280&gt;=56, "Panicle Initiation/Booting", V1280&lt;56, "Vegetative/Tillering")</f>
        <v>Vegetative/Tillering</v>
      </c>
    </row>
    <row r="1281" ht="15.75" hidden="1" customHeight="1">
      <c r="A1281" s="3">
        <v>444.0</v>
      </c>
      <c r="B1281" s="3" t="s">
        <v>23</v>
      </c>
      <c r="C1281" s="3" t="s">
        <v>3300</v>
      </c>
      <c r="D1281" s="3" t="s">
        <v>3301</v>
      </c>
      <c r="E1281" s="3" t="s">
        <v>3302</v>
      </c>
      <c r="F1281" s="3">
        <v>1760120.0</v>
      </c>
      <c r="G1281" s="4">
        <v>46014.0</v>
      </c>
      <c r="H1281" s="4">
        <v>46109.0</v>
      </c>
      <c r="I1281" s="3" t="s">
        <v>1441</v>
      </c>
      <c r="J1281" s="3" t="s">
        <v>1907</v>
      </c>
      <c r="K1281" s="3" t="s">
        <v>1200</v>
      </c>
      <c r="L1281" s="3">
        <v>0.1</v>
      </c>
      <c r="M1281" s="3">
        <v>2500.0</v>
      </c>
      <c r="N1281" s="3">
        <v>4.0</v>
      </c>
      <c r="O1281" s="3">
        <v>412933.0</v>
      </c>
      <c r="P1281" s="3" t="s">
        <v>3303</v>
      </c>
      <c r="Q1281" s="3">
        <v>1030485.0</v>
      </c>
      <c r="R1281" s="3"/>
      <c r="S1281" s="3">
        <v>2000.0</v>
      </c>
      <c r="T1281" s="3" t="s">
        <v>56</v>
      </c>
      <c r="U1281" s="3">
        <v>2000.0</v>
      </c>
      <c r="V1281" s="5">
        <f>(DATE(2026,2,3)-'RICE_Insured Farms_with PPI Pol'!$G1281)+IF('RICE_Insured Farms_with PPI Pol'!$H1281&lt;&gt;'RICE_Insured Farms_with PPI Pol'!$G1281,18,0)</f>
        <v>60</v>
      </c>
      <c r="W1281" s="3" t="str">
        <f t="array" ref="W1281">IFS(V1281&gt;120, "Harvested", V1281&gt;=113, "Yellow Ripening", V1281&gt;=101, "Dough Stage", V1281&gt;=93, "Milking Stage", V1281&gt;=86, "Flowering", V1281&gt;=56, "Panicle Initiation/Booting", V1281&lt;56, "Vegetative/Tillering")</f>
        <v>Panicle Initiation/Booting</v>
      </c>
    </row>
    <row r="1282" ht="15.75" hidden="1" customHeight="1">
      <c r="A1282" s="3">
        <v>1281.0</v>
      </c>
      <c r="B1282" s="3" t="s">
        <v>23</v>
      </c>
      <c r="C1282" s="3" t="s">
        <v>68</v>
      </c>
      <c r="D1282" s="3" t="s">
        <v>289</v>
      </c>
      <c r="E1282" s="3" t="s">
        <v>774</v>
      </c>
      <c r="F1282" s="3">
        <v>1760036.0</v>
      </c>
      <c r="G1282" s="4">
        <v>46029.0</v>
      </c>
      <c r="H1282" s="4">
        <v>46131.0</v>
      </c>
      <c r="I1282" s="3" t="s">
        <v>3304</v>
      </c>
      <c r="J1282" s="3" t="s">
        <v>3305</v>
      </c>
      <c r="K1282" s="3" t="s">
        <v>803</v>
      </c>
      <c r="L1282" s="3">
        <v>0.8171</v>
      </c>
      <c r="M1282" s="3">
        <v>20427.5</v>
      </c>
      <c r="N1282" s="3">
        <v>2.0</v>
      </c>
      <c r="O1282" s="3">
        <v>330549.0</v>
      </c>
      <c r="P1282" s="3"/>
      <c r="Q1282" s="3">
        <v>1277599.0</v>
      </c>
      <c r="R1282" s="3"/>
      <c r="S1282" s="3">
        <v>14299.25</v>
      </c>
      <c r="T1282" s="3" t="s">
        <v>31</v>
      </c>
      <c r="U1282" s="3">
        <v>14299.25</v>
      </c>
      <c r="V1282" s="5">
        <f>(DATE(2026,2,3)-'RICE_Insured Farms_with PPI Pol'!$G1282)+IF('RICE_Insured Farms_with PPI Pol'!$H1282&lt;&gt;'RICE_Insured Farms_with PPI Pol'!$G1282,18,0)</f>
        <v>45</v>
      </c>
      <c r="W1282" s="3" t="str">
        <f t="array" ref="W1282">IFS(V1282&gt;120, "Harvested", V1282&gt;=113, "Yellow Ripening", V1282&gt;=101, "Dough Stage", V1282&gt;=93, "Milking Stage", V1282&gt;=86, "Flowering", V1282&gt;=56, "Panicle Initiation/Booting", V1282&lt;56, "Vegetative/Tillering")</f>
        <v>Vegetative/Tillering</v>
      </c>
    </row>
    <row r="1283" ht="15.75" customHeight="1">
      <c r="A1283" s="3">
        <v>1282.0</v>
      </c>
      <c r="B1283" s="3" t="s">
        <v>23</v>
      </c>
      <c r="C1283" s="3" t="s">
        <v>68</v>
      </c>
      <c r="D1283" s="3" t="s">
        <v>289</v>
      </c>
      <c r="E1283" s="3" t="s">
        <v>848</v>
      </c>
      <c r="F1283" s="3">
        <v>1760002.0</v>
      </c>
      <c r="G1283" s="4">
        <v>46013.0</v>
      </c>
      <c r="H1283" s="4">
        <v>46115.0</v>
      </c>
      <c r="I1283" s="3" t="s">
        <v>2735</v>
      </c>
      <c r="J1283" s="3" t="s">
        <v>3306</v>
      </c>
      <c r="K1283" s="3" t="s">
        <v>3307</v>
      </c>
      <c r="L1283" s="3">
        <v>0.75</v>
      </c>
      <c r="M1283" s="3">
        <v>18750.0</v>
      </c>
      <c r="N1283" s="3">
        <v>3.0</v>
      </c>
      <c r="O1283" s="3">
        <v>293759.0</v>
      </c>
      <c r="P1283" s="3"/>
      <c r="Q1283" s="3">
        <v>624094.0</v>
      </c>
      <c r="R1283" s="3"/>
      <c r="S1283" s="3">
        <v>15000.0</v>
      </c>
      <c r="T1283" s="3" t="s">
        <v>37</v>
      </c>
      <c r="U1283" s="3">
        <v>15000.0</v>
      </c>
      <c r="V1283" s="5">
        <f>(DATE(2026,2,3)-'RICE_Insured Farms_with PPI Pol'!$G1283)+IF('RICE_Insured Farms_with PPI Pol'!$H1283&lt;&gt;'RICE_Insured Farms_with PPI Pol'!$G1283,18,0)</f>
        <v>61</v>
      </c>
      <c r="W1283" s="3" t="str">
        <f t="array" ref="W1283">IFS(V1283&gt;120, "Harvested", V1283&gt;=113, "Yellow Ripening", V1283&gt;=101, "Dough Stage", V1283&gt;=93, "Milking Stage", V1283&gt;=86, "Flowering", V1283&gt;=56, "Panicle Initiation/Booting", V1283&lt;56, "Vegetative/Tillering")</f>
        <v>Panicle Initiation/Booting</v>
      </c>
    </row>
    <row r="1284" ht="15.75" customHeight="1">
      <c r="A1284" s="3">
        <v>1283.0</v>
      </c>
      <c r="B1284" s="3" t="s">
        <v>23</v>
      </c>
      <c r="C1284" s="3" t="s">
        <v>68</v>
      </c>
      <c r="D1284" s="3" t="s">
        <v>289</v>
      </c>
      <c r="E1284" s="3" t="s">
        <v>702</v>
      </c>
      <c r="F1284" s="3">
        <v>1760010.0</v>
      </c>
      <c r="G1284" s="4">
        <v>46014.0</v>
      </c>
      <c r="H1284" s="4">
        <v>46116.0</v>
      </c>
      <c r="I1284" s="3" t="s">
        <v>3308</v>
      </c>
      <c r="J1284" s="3" t="s">
        <v>3309</v>
      </c>
      <c r="K1284" s="3" t="s">
        <v>1758</v>
      </c>
      <c r="L1284" s="3">
        <v>0.3033</v>
      </c>
      <c r="M1284" s="3">
        <v>7582.5</v>
      </c>
      <c r="N1284" s="3">
        <v>3.0</v>
      </c>
      <c r="O1284" s="3">
        <v>78707.0</v>
      </c>
      <c r="P1284" s="3" t="s">
        <v>3310</v>
      </c>
      <c r="Q1284" s="3">
        <v>1036708.0</v>
      </c>
      <c r="R1284" s="3"/>
      <c r="S1284" s="3">
        <v>6066.0</v>
      </c>
      <c r="T1284" s="3" t="s">
        <v>37</v>
      </c>
      <c r="U1284" s="3">
        <v>6066.0</v>
      </c>
      <c r="V1284" s="5">
        <f>(DATE(2026,2,3)-'RICE_Insured Farms_with PPI Pol'!$G1284)+IF('RICE_Insured Farms_with PPI Pol'!$H1284&lt;&gt;'RICE_Insured Farms_with PPI Pol'!$G1284,18,0)</f>
        <v>60</v>
      </c>
      <c r="W1284" s="3" t="str">
        <f t="array" ref="W1284">IFS(V1284&gt;120, "Harvested", V1284&gt;=113, "Yellow Ripening", V1284&gt;=101, "Dough Stage", V1284&gt;=93, "Milking Stage", V1284&gt;=86, "Flowering", V1284&gt;=56, "Panicle Initiation/Booting", V1284&lt;56, "Vegetative/Tillering")</f>
        <v>Panicle Initiation/Booting</v>
      </c>
    </row>
    <row r="1285" ht="15.75" customHeight="1">
      <c r="A1285" s="3">
        <v>1284.0</v>
      </c>
      <c r="B1285" s="3" t="s">
        <v>23</v>
      </c>
      <c r="C1285" s="3" t="s">
        <v>68</v>
      </c>
      <c r="D1285" s="3" t="s">
        <v>289</v>
      </c>
      <c r="E1285" s="3" t="s">
        <v>895</v>
      </c>
      <c r="F1285" s="3">
        <v>1760019.0</v>
      </c>
      <c r="G1285" s="4">
        <v>46018.0</v>
      </c>
      <c r="H1285" s="4">
        <v>46120.0</v>
      </c>
      <c r="I1285" s="3" t="s">
        <v>3311</v>
      </c>
      <c r="J1285" s="3" t="s">
        <v>397</v>
      </c>
      <c r="K1285" s="3" t="s">
        <v>3312</v>
      </c>
      <c r="L1285" s="3">
        <v>2.0388</v>
      </c>
      <c r="M1285" s="3">
        <v>50970.0</v>
      </c>
      <c r="N1285" s="3">
        <v>3.0</v>
      </c>
      <c r="O1285" s="3">
        <v>308403.0</v>
      </c>
      <c r="P1285" s="3" t="s">
        <v>3313</v>
      </c>
      <c r="Q1285" s="3">
        <v>1281104.0</v>
      </c>
      <c r="R1285" s="3"/>
      <c r="S1285" s="3">
        <v>40776.0</v>
      </c>
      <c r="T1285" s="3" t="s">
        <v>37</v>
      </c>
      <c r="U1285" s="3">
        <v>40776.0</v>
      </c>
      <c r="V1285" s="5">
        <f>(DATE(2026,2,3)-'RICE_Insured Farms_with PPI Pol'!$G1285)+IF('RICE_Insured Farms_with PPI Pol'!$H1285&lt;&gt;'RICE_Insured Farms_with PPI Pol'!$G1285,18,0)</f>
        <v>56</v>
      </c>
      <c r="W1285" s="3" t="str">
        <f t="array" ref="W1285">IFS(V1285&gt;120, "Harvested", V1285&gt;=113, "Yellow Ripening", V1285&gt;=101, "Dough Stage", V1285&gt;=93, "Milking Stage", V1285&gt;=86, "Flowering", V1285&gt;=56, "Panicle Initiation/Booting", V1285&lt;56, "Vegetative/Tillering")</f>
        <v>Panicle Initiation/Booting</v>
      </c>
    </row>
    <row r="1286" ht="15.75" customHeight="1">
      <c r="A1286" s="3">
        <v>1285.0</v>
      </c>
      <c r="B1286" s="3" t="s">
        <v>23</v>
      </c>
      <c r="C1286" s="3" t="s">
        <v>68</v>
      </c>
      <c r="D1286" s="3" t="s">
        <v>289</v>
      </c>
      <c r="E1286" s="3" t="s">
        <v>1535</v>
      </c>
      <c r="F1286" s="3">
        <v>1760015.0</v>
      </c>
      <c r="G1286" s="4">
        <v>46017.0</v>
      </c>
      <c r="H1286" s="4">
        <v>46119.0</v>
      </c>
      <c r="I1286" s="3" t="s">
        <v>3314</v>
      </c>
      <c r="J1286" s="3" t="s">
        <v>3315</v>
      </c>
      <c r="K1286" s="3" t="s">
        <v>3316</v>
      </c>
      <c r="L1286" s="3">
        <v>0.2815</v>
      </c>
      <c r="M1286" s="3">
        <v>7037.5</v>
      </c>
      <c r="N1286" s="3">
        <v>3.0</v>
      </c>
      <c r="O1286" s="3">
        <v>81962.0</v>
      </c>
      <c r="P1286" s="3" t="s">
        <v>3317</v>
      </c>
      <c r="Q1286" s="3">
        <v>1186481.0</v>
      </c>
      <c r="R1286" s="3"/>
      <c r="S1286" s="3">
        <v>5630.0</v>
      </c>
      <c r="T1286" s="3" t="s">
        <v>37</v>
      </c>
      <c r="U1286" s="3">
        <v>5630.0</v>
      </c>
      <c r="V1286" s="5">
        <f>(DATE(2026,2,3)-'RICE_Insured Farms_with PPI Pol'!$G1286)+IF('RICE_Insured Farms_with PPI Pol'!$H1286&lt;&gt;'RICE_Insured Farms_with PPI Pol'!$G1286,18,0)</f>
        <v>57</v>
      </c>
      <c r="W1286" s="3" t="str">
        <f t="array" ref="W1286">IFS(V1286&gt;120, "Harvested", V1286&gt;=113, "Yellow Ripening", V1286&gt;=101, "Dough Stage", V1286&gt;=93, "Milking Stage", V1286&gt;=86, "Flowering", V1286&gt;=56, "Panicle Initiation/Booting", V1286&lt;56, "Vegetative/Tillering")</f>
        <v>Panicle Initiation/Booting</v>
      </c>
    </row>
    <row r="1287" ht="15.75" hidden="1" customHeight="1">
      <c r="A1287" s="3">
        <v>445.0</v>
      </c>
      <c r="B1287" s="3" t="s">
        <v>23</v>
      </c>
      <c r="C1287" s="3" t="s">
        <v>3300</v>
      </c>
      <c r="D1287" s="3" t="s">
        <v>3301</v>
      </c>
      <c r="E1287" s="3" t="s">
        <v>3318</v>
      </c>
      <c r="F1287" s="3">
        <v>1760120.0</v>
      </c>
      <c r="G1287" s="4">
        <v>46014.0</v>
      </c>
      <c r="H1287" s="4">
        <v>46109.0</v>
      </c>
      <c r="I1287" s="3" t="s">
        <v>1441</v>
      </c>
      <c r="J1287" s="3" t="s">
        <v>1907</v>
      </c>
      <c r="K1287" s="3" t="s">
        <v>1200</v>
      </c>
      <c r="L1287" s="3">
        <v>0.15</v>
      </c>
      <c r="M1287" s="3">
        <v>3750.0</v>
      </c>
      <c r="N1287" s="3">
        <v>4.0</v>
      </c>
      <c r="O1287" s="3">
        <v>412933.0</v>
      </c>
      <c r="P1287" s="3" t="s">
        <v>3303</v>
      </c>
      <c r="Q1287" s="3">
        <v>1030486.0</v>
      </c>
      <c r="R1287" s="3"/>
      <c r="S1287" s="3">
        <v>3000.0</v>
      </c>
      <c r="T1287" s="3" t="s">
        <v>56</v>
      </c>
      <c r="U1287" s="3">
        <v>3000.0</v>
      </c>
      <c r="V1287" s="5">
        <f>(DATE(2026,2,3)-'RICE_Insured Farms_with PPI Pol'!$G1287)+IF('RICE_Insured Farms_with PPI Pol'!$H1287&lt;&gt;'RICE_Insured Farms_with PPI Pol'!$G1287,18,0)</f>
        <v>60</v>
      </c>
      <c r="W1287" s="3" t="str">
        <f t="array" ref="W1287">IFS(V1287&gt;120, "Harvested", V1287&gt;=113, "Yellow Ripening", V1287&gt;=101, "Dough Stage", V1287&gt;=93, "Milking Stage", V1287&gt;=86, "Flowering", V1287&gt;=56, "Panicle Initiation/Booting", V1287&lt;56, "Vegetative/Tillering")</f>
        <v>Panicle Initiation/Booting</v>
      </c>
    </row>
    <row r="1288" ht="15.75" hidden="1" customHeight="1">
      <c r="A1288" s="3">
        <v>1287.0</v>
      </c>
      <c r="B1288" s="3" t="s">
        <v>23</v>
      </c>
      <c r="C1288" s="3" t="s">
        <v>121</v>
      </c>
      <c r="D1288" s="3" t="s">
        <v>122</v>
      </c>
      <c r="E1288" s="3" t="s">
        <v>123</v>
      </c>
      <c r="F1288" s="3">
        <v>1760510.0</v>
      </c>
      <c r="G1288" s="4">
        <v>46036.0</v>
      </c>
      <c r="H1288" s="4">
        <v>46131.0</v>
      </c>
      <c r="I1288" s="3" t="s">
        <v>3319</v>
      </c>
      <c r="J1288" s="3" t="s">
        <v>989</v>
      </c>
      <c r="K1288" s="3" t="s">
        <v>3320</v>
      </c>
      <c r="L1288" s="3">
        <v>1.2957</v>
      </c>
      <c r="M1288" s="3">
        <v>32392.5</v>
      </c>
      <c r="N1288" s="3">
        <v>2.0</v>
      </c>
      <c r="O1288" s="3">
        <v>46155.0</v>
      </c>
      <c r="P1288" s="3" t="s">
        <v>3321</v>
      </c>
      <c r="Q1288" s="3">
        <v>1045410.0</v>
      </c>
      <c r="R1288" s="3"/>
      <c r="S1288" s="3">
        <v>22674.75</v>
      </c>
      <c r="T1288" s="3" t="s">
        <v>31</v>
      </c>
      <c r="U1288" s="3">
        <v>22674.75</v>
      </c>
      <c r="V1288" s="5">
        <f>(DATE(2026,2,3)-'RICE_Insured Farms_with PPI Pol'!$G1288)+IF('RICE_Insured Farms_with PPI Pol'!$H1288&lt;&gt;'RICE_Insured Farms_with PPI Pol'!$G1288,18,0)</f>
        <v>38</v>
      </c>
      <c r="W1288" s="3" t="str">
        <f t="array" ref="W1288">IFS(V1288&gt;120, "Harvested", V1288&gt;=113, "Yellow Ripening", V1288&gt;=101, "Dough Stage", V1288&gt;=93, "Milking Stage", V1288&gt;=86, "Flowering", V1288&gt;=56, "Panicle Initiation/Booting", V1288&lt;56, "Vegetative/Tillering")</f>
        <v>Vegetative/Tillering</v>
      </c>
    </row>
    <row r="1289" ht="15.75" hidden="1" customHeight="1">
      <c r="A1289" s="3">
        <v>1288.0</v>
      </c>
      <c r="B1289" s="3" t="s">
        <v>23</v>
      </c>
      <c r="C1289" s="3" t="s">
        <v>1453</v>
      </c>
      <c r="D1289" s="3" t="s">
        <v>1454</v>
      </c>
      <c r="E1289" s="3" t="s">
        <v>1455</v>
      </c>
      <c r="F1289" s="3">
        <v>1742045.0</v>
      </c>
      <c r="G1289" s="4">
        <v>46027.0</v>
      </c>
      <c r="H1289" s="4">
        <v>46129.0</v>
      </c>
      <c r="I1289" s="3" t="s">
        <v>3322</v>
      </c>
      <c r="J1289" s="3" t="s">
        <v>3323</v>
      </c>
      <c r="K1289" s="3" t="s">
        <v>3324</v>
      </c>
      <c r="L1289" s="3">
        <v>0.4065</v>
      </c>
      <c r="M1289" s="3">
        <v>10162.5</v>
      </c>
      <c r="N1289" s="3">
        <v>2.0</v>
      </c>
      <c r="O1289" s="3">
        <v>389006.0</v>
      </c>
      <c r="P1289" s="3" t="s">
        <v>3325</v>
      </c>
      <c r="Q1289" s="3">
        <v>1318578.0</v>
      </c>
      <c r="R1289" s="3"/>
      <c r="S1289" s="3">
        <v>7113.75</v>
      </c>
      <c r="T1289" s="3" t="s">
        <v>31</v>
      </c>
      <c r="U1289" s="3">
        <v>7113.75</v>
      </c>
      <c r="V1289" s="5">
        <f>(DATE(2026,2,3)-'RICE_Insured Farms_with PPI Pol'!$G1289)+IF('RICE_Insured Farms_with PPI Pol'!$H1289&lt;&gt;'RICE_Insured Farms_with PPI Pol'!$G1289,18,0)</f>
        <v>47</v>
      </c>
      <c r="W1289" s="3" t="str">
        <f t="array" ref="W1289">IFS(V1289&gt;120, "Harvested", V1289&gt;=113, "Yellow Ripening", V1289&gt;=101, "Dough Stage", V1289&gt;=93, "Milking Stage", V1289&gt;=86, "Flowering", V1289&gt;=56, "Panicle Initiation/Booting", V1289&lt;56, "Vegetative/Tillering")</f>
        <v>Vegetative/Tillering</v>
      </c>
    </row>
    <row r="1290" ht="15.75" hidden="1" customHeight="1">
      <c r="A1290" s="3">
        <v>1289.0</v>
      </c>
      <c r="B1290" s="3" t="s">
        <v>23</v>
      </c>
      <c r="C1290" s="3" t="s">
        <v>68</v>
      </c>
      <c r="D1290" s="3" t="s">
        <v>289</v>
      </c>
      <c r="E1290" s="3" t="s">
        <v>743</v>
      </c>
      <c r="F1290" s="3">
        <v>1760014.0</v>
      </c>
      <c r="G1290" s="4">
        <v>46028.0</v>
      </c>
      <c r="H1290" s="4">
        <v>46130.0</v>
      </c>
      <c r="I1290" s="3" t="s">
        <v>1443</v>
      </c>
      <c r="J1290" s="3" t="s">
        <v>3326</v>
      </c>
      <c r="K1290" s="3" t="s">
        <v>1548</v>
      </c>
      <c r="L1290" s="3">
        <v>0.535</v>
      </c>
      <c r="M1290" s="3">
        <v>13375.0</v>
      </c>
      <c r="N1290" s="3">
        <v>2.0</v>
      </c>
      <c r="O1290" s="3">
        <v>330243.0</v>
      </c>
      <c r="P1290" s="3" t="s">
        <v>3327</v>
      </c>
      <c r="Q1290" s="3">
        <v>1131789.0</v>
      </c>
      <c r="R1290" s="3"/>
      <c r="S1290" s="3">
        <v>9362.5</v>
      </c>
      <c r="T1290" s="3" t="s">
        <v>31</v>
      </c>
      <c r="U1290" s="3">
        <v>9362.5</v>
      </c>
      <c r="V1290" s="5">
        <f>(DATE(2026,2,3)-'RICE_Insured Farms_with PPI Pol'!$G1290)+IF('RICE_Insured Farms_with PPI Pol'!$H1290&lt;&gt;'RICE_Insured Farms_with PPI Pol'!$G1290,18,0)</f>
        <v>46</v>
      </c>
      <c r="W1290" s="3" t="str">
        <f t="array" ref="W1290">IFS(V1290&gt;120, "Harvested", V1290&gt;=113, "Yellow Ripening", V1290&gt;=101, "Dough Stage", V1290&gt;=93, "Milking Stage", V1290&gt;=86, "Flowering", V1290&gt;=56, "Panicle Initiation/Booting", V1290&lt;56, "Vegetative/Tillering")</f>
        <v>Vegetative/Tillering</v>
      </c>
    </row>
    <row r="1291" ht="15.75" customHeight="1">
      <c r="A1291" s="3">
        <v>1290.0</v>
      </c>
      <c r="B1291" s="3" t="s">
        <v>23</v>
      </c>
      <c r="C1291" s="3" t="s">
        <v>68</v>
      </c>
      <c r="D1291" s="3" t="s">
        <v>289</v>
      </c>
      <c r="E1291" s="3" t="s">
        <v>743</v>
      </c>
      <c r="F1291" s="3">
        <v>1760014.0</v>
      </c>
      <c r="G1291" s="4">
        <v>46019.0</v>
      </c>
      <c r="H1291" s="4">
        <v>46121.0</v>
      </c>
      <c r="I1291" s="3" t="s">
        <v>1443</v>
      </c>
      <c r="J1291" s="3" t="s">
        <v>3328</v>
      </c>
      <c r="K1291" s="3" t="s">
        <v>1548</v>
      </c>
      <c r="L1291" s="3">
        <v>0.7686</v>
      </c>
      <c r="M1291" s="3">
        <v>19215.0</v>
      </c>
      <c r="N1291" s="3">
        <v>3.0</v>
      </c>
      <c r="O1291" s="3">
        <v>8185.0</v>
      </c>
      <c r="P1291" s="3" t="s">
        <v>3329</v>
      </c>
      <c r="Q1291" s="3">
        <v>1028469.0</v>
      </c>
      <c r="R1291" s="3"/>
      <c r="S1291" s="3">
        <v>15372.0</v>
      </c>
      <c r="T1291" s="3" t="s">
        <v>37</v>
      </c>
      <c r="U1291" s="3">
        <v>15372.0</v>
      </c>
      <c r="V1291" s="5">
        <f>(DATE(2026,2,3)-'RICE_Insured Farms_with PPI Pol'!$G1291)+IF('RICE_Insured Farms_with PPI Pol'!$H1291&lt;&gt;'RICE_Insured Farms_with PPI Pol'!$G1291,18,0)</f>
        <v>55</v>
      </c>
      <c r="W1291" s="3" t="str">
        <f t="array" ref="W1291">IFS(V1291&gt;120, "Harvested", V1291&gt;=113, "Yellow Ripening", V1291&gt;=101, "Dough Stage", V1291&gt;=93, "Milking Stage", V1291&gt;=86, "Flowering", V1291&gt;=56, "Panicle Initiation/Booting", V1291&lt;56, "Vegetative/Tillering")</f>
        <v>Vegetative/Tillering</v>
      </c>
    </row>
    <row r="1292" ht="15.75" customHeight="1">
      <c r="A1292" s="3">
        <v>1291.0</v>
      </c>
      <c r="B1292" s="3" t="s">
        <v>23</v>
      </c>
      <c r="C1292" s="3" t="s">
        <v>68</v>
      </c>
      <c r="D1292" s="3" t="s">
        <v>289</v>
      </c>
      <c r="E1292" s="3" t="s">
        <v>743</v>
      </c>
      <c r="F1292" s="3">
        <v>1760014.0</v>
      </c>
      <c r="G1292" s="4">
        <v>46022.0</v>
      </c>
      <c r="H1292" s="4">
        <v>46124.0</v>
      </c>
      <c r="I1292" s="3" t="s">
        <v>1443</v>
      </c>
      <c r="J1292" s="3" t="s">
        <v>3328</v>
      </c>
      <c r="K1292" s="3" t="s">
        <v>1548</v>
      </c>
      <c r="L1292" s="3">
        <v>0.4804</v>
      </c>
      <c r="M1292" s="3">
        <v>12010.0</v>
      </c>
      <c r="N1292" s="3">
        <v>3.0</v>
      </c>
      <c r="O1292" s="3">
        <v>8185.0</v>
      </c>
      <c r="P1292" s="3" t="s">
        <v>3329</v>
      </c>
      <c r="Q1292" s="3">
        <v>1184169.0</v>
      </c>
      <c r="R1292" s="3"/>
      <c r="S1292" s="3">
        <v>9608.0</v>
      </c>
      <c r="T1292" s="3" t="s">
        <v>37</v>
      </c>
      <c r="U1292" s="3">
        <v>9608.0</v>
      </c>
      <c r="V1292" s="5">
        <f>(DATE(2026,2,3)-'RICE_Insured Farms_with PPI Pol'!$G1292)+IF('RICE_Insured Farms_with PPI Pol'!$H1292&lt;&gt;'RICE_Insured Farms_with PPI Pol'!$G1292,18,0)</f>
        <v>52</v>
      </c>
      <c r="W1292" s="3" t="str">
        <f t="array" ref="W1292">IFS(V1292&gt;120, "Harvested", V1292&gt;=113, "Yellow Ripening", V1292&gt;=101, "Dough Stage", V1292&gt;=93, "Milking Stage", V1292&gt;=86, "Flowering", V1292&gt;=56, "Panicle Initiation/Booting", V1292&lt;56, "Vegetative/Tillering")</f>
        <v>Vegetative/Tillering</v>
      </c>
    </row>
    <row r="1293" ht="15.75" hidden="1" customHeight="1">
      <c r="A1293" s="3">
        <v>1292.0</v>
      </c>
      <c r="B1293" s="3" t="s">
        <v>23</v>
      </c>
      <c r="C1293" s="3" t="s">
        <v>68</v>
      </c>
      <c r="D1293" s="3" t="s">
        <v>289</v>
      </c>
      <c r="E1293" s="3" t="s">
        <v>702</v>
      </c>
      <c r="F1293" s="3">
        <v>1760031.0</v>
      </c>
      <c r="G1293" s="4">
        <v>46032.0</v>
      </c>
      <c r="H1293" s="4">
        <v>46134.0</v>
      </c>
      <c r="I1293" s="3" t="s">
        <v>3330</v>
      </c>
      <c r="J1293" s="3" t="s">
        <v>3331</v>
      </c>
      <c r="K1293" s="3" t="s">
        <v>3332</v>
      </c>
      <c r="L1293" s="3">
        <v>0.1582</v>
      </c>
      <c r="M1293" s="3">
        <v>3955.0</v>
      </c>
      <c r="N1293" s="3">
        <v>2.0</v>
      </c>
      <c r="O1293" s="3">
        <v>61545.0</v>
      </c>
      <c r="P1293" s="3"/>
      <c r="Q1293" s="3">
        <v>1284342.0</v>
      </c>
      <c r="R1293" s="3"/>
      <c r="S1293" s="3">
        <v>2768.5</v>
      </c>
      <c r="T1293" s="3" t="s">
        <v>31</v>
      </c>
      <c r="U1293" s="3">
        <v>2768.5</v>
      </c>
      <c r="V1293" s="5">
        <f>(DATE(2026,2,3)-'RICE_Insured Farms_with PPI Pol'!$G1293)+IF('RICE_Insured Farms_with PPI Pol'!$H1293&lt;&gt;'RICE_Insured Farms_with PPI Pol'!$G1293,18,0)</f>
        <v>42</v>
      </c>
      <c r="W1293" s="3" t="str">
        <f t="array" ref="W1293">IFS(V1293&gt;120, "Harvested", V1293&gt;=113, "Yellow Ripening", V1293&gt;=101, "Dough Stage", V1293&gt;=93, "Milking Stage", V1293&gt;=86, "Flowering", V1293&gt;=56, "Panicle Initiation/Booting", V1293&lt;56, "Vegetative/Tillering")</f>
        <v>Vegetative/Tillering</v>
      </c>
    </row>
    <row r="1294" ht="15.75" hidden="1" customHeight="1">
      <c r="A1294" s="3">
        <v>1293.0</v>
      </c>
      <c r="B1294" s="3" t="s">
        <v>23</v>
      </c>
      <c r="C1294" s="3" t="s">
        <v>68</v>
      </c>
      <c r="D1294" s="3" t="s">
        <v>289</v>
      </c>
      <c r="E1294" s="3" t="s">
        <v>702</v>
      </c>
      <c r="F1294" s="3">
        <v>1760031.0</v>
      </c>
      <c r="G1294" s="4">
        <v>46032.0</v>
      </c>
      <c r="H1294" s="4">
        <v>46134.0</v>
      </c>
      <c r="I1294" s="3" t="s">
        <v>3330</v>
      </c>
      <c r="J1294" s="3" t="s">
        <v>3331</v>
      </c>
      <c r="K1294" s="3" t="s">
        <v>3332</v>
      </c>
      <c r="L1294" s="3">
        <v>0.2243</v>
      </c>
      <c r="M1294" s="3">
        <v>5607.5</v>
      </c>
      <c r="N1294" s="3">
        <v>2.0</v>
      </c>
      <c r="O1294" s="3">
        <v>61545.0</v>
      </c>
      <c r="P1294" s="3"/>
      <c r="Q1294" s="3">
        <v>1285146.0</v>
      </c>
      <c r="R1294" s="3"/>
      <c r="S1294" s="3">
        <v>3925.25</v>
      </c>
      <c r="T1294" s="3" t="s">
        <v>31</v>
      </c>
      <c r="U1294" s="3">
        <v>3925.25</v>
      </c>
      <c r="V1294" s="5">
        <f>(DATE(2026,2,3)-'RICE_Insured Farms_with PPI Pol'!$G1294)+IF('RICE_Insured Farms_with PPI Pol'!$H1294&lt;&gt;'RICE_Insured Farms_with PPI Pol'!$G1294,18,0)</f>
        <v>42</v>
      </c>
      <c r="W1294" s="3" t="str">
        <f t="array" ref="W1294">IFS(V1294&gt;120, "Harvested", V1294&gt;=113, "Yellow Ripening", V1294&gt;=101, "Dough Stage", V1294&gt;=93, "Milking Stage", V1294&gt;=86, "Flowering", V1294&gt;=56, "Panicle Initiation/Booting", V1294&lt;56, "Vegetative/Tillering")</f>
        <v>Vegetative/Tillering</v>
      </c>
    </row>
    <row r="1295" ht="15.75" hidden="1" customHeight="1">
      <c r="A1295" s="3">
        <v>1294.0</v>
      </c>
      <c r="B1295" s="3" t="s">
        <v>23</v>
      </c>
      <c r="C1295" s="3" t="s">
        <v>68</v>
      </c>
      <c r="D1295" s="3" t="s">
        <v>289</v>
      </c>
      <c r="E1295" s="3" t="s">
        <v>702</v>
      </c>
      <c r="F1295" s="3">
        <v>1760026.0</v>
      </c>
      <c r="G1295" s="4">
        <v>46029.0</v>
      </c>
      <c r="H1295" s="4">
        <v>46131.0</v>
      </c>
      <c r="I1295" s="3" t="s">
        <v>3330</v>
      </c>
      <c r="J1295" s="3" t="s">
        <v>3333</v>
      </c>
      <c r="K1295" s="3" t="s">
        <v>419</v>
      </c>
      <c r="L1295" s="3">
        <v>0.7781</v>
      </c>
      <c r="M1295" s="3">
        <v>19452.5</v>
      </c>
      <c r="N1295" s="3">
        <v>2.0</v>
      </c>
      <c r="O1295" s="3">
        <v>419651.0</v>
      </c>
      <c r="P1295" s="3" t="s">
        <v>3334</v>
      </c>
      <c r="Q1295" s="3">
        <v>1138790.0</v>
      </c>
      <c r="R1295" s="3"/>
      <c r="S1295" s="3">
        <v>13616.75</v>
      </c>
      <c r="T1295" s="3" t="s">
        <v>31</v>
      </c>
      <c r="U1295" s="3">
        <v>13616.75</v>
      </c>
      <c r="V1295" s="5">
        <f>(DATE(2026,2,3)-'RICE_Insured Farms_with PPI Pol'!$G1295)+IF('RICE_Insured Farms_with PPI Pol'!$H1295&lt;&gt;'RICE_Insured Farms_with PPI Pol'!$G1295,18,0)</f>
        <v>45</v>
      </c>
      <c r="W1295" s="3" t="str">
        <f t="array" ref="W1295">IFS(V1295&gt;120, "Harvested", V1295&gt;=113, "Yellow Ripening", V1295&gt;=101, "Dough Stage", V1295&gt;=93, "Milking Stage", V1295&gt;=86, "Flowering", V1295&gt;=56, "Panicle Initiation/Booting", V1295&lt;56, "Vegetative/Tillering")</f>
        <v>Vegetative/Tillering</v>
      </c>
    </row>
    <row r="1296" ht="15.75" hidden="1" customHeight="1">
      <c r="A1296" s="3">
        <v>1295.0</v>
      </c>
      <c r="B1296" s="3" t="s">
        <v>23</v>
      </c>
      <c r="C1296" s="3" t="s">
        <v>50</v>
      </c>
      <c r="D1296" s="3" t="s">
        <v>51</v>
      </c>
      <c r="E1296" s="3" t="s">
        <v>321</v>
      </c>
      <c r="F1296" s="3">
        <v>1741851.0</v>
      </c>
      <c r="G1296" s="4">
        <v>46034.0</v>
      </c>
      <c r="H1296" s="4">
        <v>46129.0</v>
      </c>
      <c r="I1296" s="3" t="s">
        <v>1725</v>
      </c>
      <c r="J1296" s="3" t="s">
        <v>3335</v>
      </c>
      <c r="K1296" s="3" t="s">
        <v>3336</v>
      </c>
      <c r="L1296" s="3">
        <v>0.5112</v>
      </c>
      <c r="M1296" s="3">
        <v>12780.0</v>
      </c>
      <c r="N1296" s="3">
        <v>2.0</v>
      </c>
      <c r="O1296" s="3">
        <v>423471.0</v>
      </c>
      <c r="P1296" s="3" t="s">
        <v>3337</v>
      </c>
      <c r="Q1296" s="3">
        <v>1294767.0</v>
      </c>
      <c r="R1296" s="3"/>
      <c r="S1296" s="3">
        <v>8946.0</v>
      </c>
      <c r="T1296" s="3" t="s">
        <v>31</v>
      </c>
      <c r="U1296" s="3">
        <v>8946.0</v>
      </c>
      <c r="V1296" s="5">
        <f>(DATE(2026,2,3)-'RICE_Insured Farms_with PPI Pol'!$G1296)+IF('RICE_Insured Farms_with PPI Pol'!$H1296&lt;&gt;'RICE_Insured Farms_with PPI Pol'!$G1296,18,0)</f>
        <v>40</v>
      </c>
      <c r="W1296" s="3" t="str">
        <f t="array" ref="W1296">IFS(V1296&gt;120, "Harvested", V1296&gt;=113, "Yellow Ripening", V1296&gt;=101, "Dough Stage", V1296&gt;=93, "Milking Stage", V1296&gt;=86, "Flowering", V1296&gt;=56, "Panicle Initiation/Booting", V1296&lt;56, "Vegetative/Tillering")</f>
        <v>Vegetative/Tillering</v>
      </c>
    </row>
    <row r="1297" ht="15.75" hidden="1" customHeight="1">
      <c r="A1297" s="3">
        <v>1296.0</v>
      </c>
      <c r="B1297" s="3" t="s">
        <v>23</v>
      </c>
      <c r="C1297" s="3" t="s">
        <v>50</v>
      </c>
      <c r="D1297" s="3" t="s">
        <v>51</v>
      </c>
      <c r="E1297" s="3" t="s">
        <v>321</v>
      </c>
      <c r="F1297" s="3">
        <v>1741851.0</v>
      </c>
      <c r="G1297" s="4">
        <v>46034.0</v>
      </c>
      <c r="H1297" s="4">
        <v>46129.0</v>
      </c>
      <c r="I1297" s="3" t="s">
        <v>1725</v>
      </c>
      <c r="J1297" s="3" t="s">
        <v>3338</v>
      </c>
      <c r="K1297" s="3" t="s">
        <v>2766</v>
      </c>
      <c r="L1297" s="3">
        <v>0.3426</v>
      </c>
      <c r="M1297" s="3">
        <v>8565.0</v>
      </c>
      <c r="N1297" s="3">
        <v>2.0</v>
      </c>
      <c r="O1297" s="3">
        <v>137855.0</v>
      </c>
      <c r="P1297" s="3" t="s">
        <v>3339</v>
      </c>
      <c r="Q1297" s="3">
        <v>1291432.0</v>
      </c>
      <c r="R1297" s="3"/>
      <c r="S1297" s="3">
        <v>5995.5</v>
      </c>
      <c r="T1297" s="3" t="s">
        <v>31</v>
      </c>
      <c r="U1297" s="3">
        <v>5995.5</v>
      </c>
      <c r="V1297" s="5">
        <f>(DATE(2026,2,3)-'RICE_Insured Farms_with PPI Pol'!$G1297)+IF('RICE_Insured Farms_with PPI Pol'!$H1297&lt;&gt;'RICE_Insured Farms_with PPI Pol'!$G1297,18,0)</f>
        <v>40</v>
      </c>
      <c r="W1297" s="3" t="str">
        <f t="array" ref="W1297">IFS(V1297&gt;120, "Harvested", V1297&gt;=113, "Yellow Ripening", V1297&gt;=101, "Dough Stage", V1297&gt;=93, "Milking Stage", V1297&gt;=86, "Flowering", V1297&gt;=56, "Panicle Initiation/Booting", V1297&lt;56, "Vegetative/Tillering")</f>
        <v>Vegetative/Tillering</v>
      </c>
    </row>
    <row r="1298" ht="15.75" hidden="1" customHeight="1">
      <c r="A1298" s="3">
        <v>1297.0</v>
      </c>
      <c r="B1298" s="3" t="s">
        <v>23</v>
      </c>
      <c r="C1298" s="3" t="s">
        <v>50</v>
      </c>
      <c r="D1298" s="3" t="s">
        <v>51</v>
      </c>
      <c r="E1298" s="3" t="s">
        <v>321</v>
      </c>
      <c r="F1298" s="3">
        <v>1741851.0</v>
      </c>
      <c r="G1298" s="4">
        <v>46034.0</v>
      </c>
      <c r="H1298" s="4">
        <v>46129.0</v>
      </c>
      <c r="I1298" s="3" t="s">
        <v>1725</v>
      </c>
      <c r="J1298" s="3" t="s">
        <v>3338</v>
      </c>
      <c r="K1298" s="3" t="s">
        <v>2766</v>
      </c>
      <c r="L1298" s="3">
        <v>0.1734</v>
      </c>
      <c r="M1298" s="3">
        <v>4335.0</v>
      </c>
      <c r="N1298" s="3">
        <v>2.0</v>
      </c>
      <c r="O1298" s="3">
        <v>137855.0</v>
      </c>
      <c r="P1298" s="3" t="s">
        <v>3339</v>
      </c>
      <c r="Q1298" s="3">
        <v>1302172.0</v>
      </c>
      <c r="R1298" s="3"/>
      <c r="S1298" s="3">
        <v>3034.5</v>
      </c>
      <c r="T1298" s="3" t="s">
        <v>31</v>
      </c>
      <c r="U1298" s="3">
        <v>3034.5</v>
      </c>
      <c r="V1298" s="5">
        <f>(DATE(2026,2,3)-'RICE_Insured Farms_with PPI Pol'!$G1298)+IF('RICE_Insured Farms_with PPI Pol'!$H1298&lt;&gt;'RICE_Insured Farms_with PPI Pol'!$G1298,18,0)</f>
        <v>40</v>
      </c>
      <c r="W1298" s="3" t="str">
        <f t="array" ref="W1298">IFS(V1298&gt;120, "Harvested", V1298&gt;=113, "Yellow Ripening", V1298&gt;=101, "Dough Stage", V1298&gt;=93, "Milking Stage", V1298&gt;=86, "Flowering", V1298&gt;=56, "Panicle Initiation/Booting", V1298&lt;56, "Vegetative/Tillering")</f>
        <v>Vegetative/Tillering</v>
      </c>
    </row>
    <row r="1299" ht="15.75" hidden="1" customHeight="1">
      <c r="A1299" s="3">
        <v>897.0</v>
      </c>
      <c r="B1299" s="3" t="s">
        <v>23</v>
      </c>
      <c r="C1299" s="3" t="s">
        <v>3300</v>
      </c>
      <c r="D1299" s="3" t="s">
        <v>3301</v>
      </c>
      <c r="E1299" s="3" t="s">
        <v>3302</v>
      </c>
      <c r="F1299" s="3">
        <v>1760120.0</v>
      </c>
      <c r="G1299" s="4">
        <v>46015.0</v>
      </c>
      <c r="H1299" s="4">
        <v>46110.0</v>
      </c>
      <c r="I1299" s="3" t="s">
        <v>129</v>
      </c>
      <c r="J1299" s="3" t="s">
        <v>1368</v>
      </c>
      <c r="K1299" s="3" t="s">
        <v>600</v>
      </c>
      <c r="L1299" s="3">
        <v>0.1</v>
      </c>
      <c r="M1299" s="3">
        <v>2500.0</v>
      </c>
      <c r="N1299" s="3">
        <v>4.0</v>
      </c>
      <c r="O1299" s="3">
        <v>133114.0</v>
      </c>
      <c r="P1299" s="3" t="s">
        <v>3340</v>
      </c>
      <c r="Q1299" s="3">
        <v>1023955.0</v>
      </c>
      <c r="R1299" s="3"/>
      <c r="S1299" s="3">
        <v>2000.0</v>
      </c>
      <c r="T1299" s="3" t="s">
        <v>56</v>
      </c>
      <c r="U1299" s="3">
        <v>2000.0</v>
      </c>
      <c r="V1299" s="5">
        <f>(DATE(2026,2,3)-'RICE_Insured Farms_with PPI Pol'!$G1299)+IF('RICE_Insured Farms_with PPI Pol'!$H1299&lt;&gt;'RICE_Insured Farms_with PPI Pol'!$G1299,18,0)</f>
        <v>59</v>
      </c>
      <c r="W1299" s="3" t="str">
        <f t="array" ref="W1299">IFS(V1299&gt;120, "Harvested", V1299&gt;=113, "Yellow Ripening", V1299&gt;=101, "Dough Stage", V1299&gt;=93, "Milking Stage", V1299&gt;=86, "Flowering", V1299&gt;=56, "Panicle Initiation/Booting", V1299&lt;56, "Vegetative/Tillering")</f>
        <v>Panicle Initiation/Booting</v>
      </c>
    </row>
    <row r="1300" ht="15.75" hidden="1" customHeight="1">
      <c r="A1300" s="3">
        <v>898.0</v>
      </c>
      <c r="B1300" s="3" t="s">
        <v>23</v>
      </c>
      <c r="C1300" s="3" t="s">
        <v>3300</v>
      </c>
      <c r="D1300" s="3" t="s">
        <v>3301</v>
      </c>
      <c r="E1300" s="3" t="s">
        <v>3302</v>
      </c>
      <c r="F1300" s="3">
        <v>1760120.0</v>
      </c>
      <c r="G1300" s="4">
        <v>46015.0</v>
      </c>
      <c r="H1300" s="4">
        <v>46110.0</v>
      </c>
      <c r="I1300" s="3" t="s">
        <v>129</v>
      </c>
      <c r="J1300" s="3" t="s">
        <v>1368</v>
      </c>
      <c r="K1300" s="3" t="s">
        <v>600</v>
      </c>
      <c r="L1300" s="3">
        <v>0.1</v>
      </c>
      <c r="M1300" s="3">
        <v>2500.0</v>
      </c>
      <c r="N1300" s="3">
        <v>4.0</v>
      </c>
      <c r="O1300" s="3">
        <v>133114.0</v>
      </c>
      <c r="P1300" s="3" t="s">
        <v>3340</v>
      </c>
      <c r="Q1300" s="3">
        <v>1023958.0</v>
      </c>
      <c r="R1300" s="3"/>
      <c r="S1300" s="3">
        <v>2000.0</v>
      </c>
      <c r="T1300" s="3" t="s">
        <v>56</v>
      </c>
      <c r="U1300" s="3">
        <v>2000.0</v>
      </c>
      <c r="V1300" s="5">
        <f>(DATE(2026,2,3)-'RICE_Insured Farms_with PPI Pol'!$G1300)+IF('RICE_Insured Farms_with PPI Pol'!$H1300&lt;&gt;'RICE_Insured Farms_with PPI Pol'!$G1300,18,0)</f>
        <v>59</v>
      </c>
      <c r="W1300" s="3" t="str">
        <f t="array" ref="W1300">IFS(V1300&gt;120, "Harvested", V1300&gt;=113, "Yellow Ripening", V1300&gt;=101, "Dough Stage", V1300&gt;=93, "Milking Stage", V1300&gt;=86, "Flowering", V1300&gt;=56, "Panicle Initiation/Booting", V1300&lt;56, "Vegetative/Tillering")</f>
        <v>Panicle Initiation/Booting</v>
      </c>
    </row>
    <row r="1301" ht="15.75" hidden="1" customHeight="1">
      <c r="A1301" s="3">
        <v>899.0</v>
      </c>
      <c r="B1301" s="3" t="s">
        <v>23</v>
      </c>
      <c r="C1301" s="3" t="s">
        <v>3300</v>
      </c>
      <c r="D1301" s="3" t="s">
        <v>3301</v>
      </c>
      <c r="E1301" s="3" t="s">
        <v>3302</v>
      </c>
      <c r="F1301" s="3">
        <v>1760120.0</v>
      </c>
      <c r="G1301" s="4">
        <v>46015.0</v>
      </c>
      <c r="H1301" s="4">
        <v>46110.0</v>
      </c>
      <c r="I1301" s="3" t="s">
        <v>129</v>
      </c>
      <c r="J1301" s="3" t="s">
        <v>1368</v>
      </c>
      <c r="K1301" s="3" t="s">
        <v>600</v>
      </c>
      <c r="L1301" s="3">
        <v>0.1</v>
      </c>
      <c r="M1301" s="3">
        <v>2500.0</v>
      </c>
      <c r="N1301" s="3">
        <v>4.0</v>
      </c>
      <c r="O1301" s="3">
        <v>133114.0</v>
      </c>
      <c r="P1301" s="3" t="s">
        <v>3340</v>
      </c>
      <c r="Q1301" s="3">
        <v>1023961.0</v>
      </c>
      <c r="R1301" s="3"/>
      <c r="S1301" s="3">
        <v>2000.0</v>
      </c>
      <c r="T1301" s="3" t="s">
        <v>56</v>
      </c>
      <c r="U1301" s="3">
        <v>2000.0</v>
      </c>
      <c r="V1301" s="5">
        <f>(DATE(2026,2,3)-'RICE_Insured Farms_with PPI Pol'!$G1301)+IF('RICE_Insured Farms_with PPI Pol'!$H1301&lt;&gt;'RICE_Insured Farms_with PPI Pol'!$G1301,18,0)</f>
        <v>59</v>
      </c>
      <c r="W1301" s="3" t="str">
        <f t="array" ref="W1301">IFS(V1301&gt;120, "Harvested", V1301&gt;=113, "Yellow Ripening", V1301&gt;=101, "Dough Stage", V1301&gt;=93, "Milking Stage", V1301&gt;=86, "Flowering", V1301&gt;=56, "Panicle Initiation/Booting", V1301&lt;56, "Vegetative/Tillering")</f>
        <v>Panicle Initiation/Booting</v>
      </c>
    </row>
    <row r="1302" ht="15.75" customHeight="1">
      <c r="A1302" s="3">
        <v>1301.0</v>
      </c>
      <c r="B1302" s="3" t="s">
        <v>23</v>
      </c>
      <c r="C1302" s="3" t="s">
        <v>68</v>
      </c>
      <c r="D1302" s="3" t="s">
        <v>69</v>
      </c>
      <c r="E1302" s="3" t="s">
        <v>131</v>
      </c>
      <c r="F1302" s="3">
        <v>1739649.0</v>
      </c>
      <c r="G1302" s="4">
        <v>46019.0</v>
      </c>
      <c r="H1302" s="4">
        <v>46121.0</v>
      </c>
      <c r="I1302" s="3" t="s">
        <v>610</v>
      </c>
      <c r="J1302" s="3" t="s">
        <v>3341</v>
      </c>
      <c r="K1302" s="3" t="s">
        <v>3342</v>
      </c>
      <c r="L1302" s="3">
        <v>0.4662</v>
      </c>
      <c r="M1302" s="3">
        <v>11655.0</v>
      </c>
      <c r="N1302" s="3">
        <v>3.0</v>
      </c>
      <c r="O1302" s="3">
        <v>335401.0</v>
      </c>
      <c r="P1302" s="3" t="s">
        <v>3343</v>
      </c>
      <c r="Q1302" s="3">
        <v>1138007.0</v>
      </c>
      <c r="R1302" s="3"/>
      <c r="S1302" s="3">
        <v>9324.0</v>
      </c>
      <c r="T1302" s="3" t="s">
        <v>37</v>
      </c>
      <c r="U1302" s="3">
        <v>9324.0</v>
      </c>
      <c r="V1302" s="5">
        <f>(DATE(2026,2,3)-'RICE_Insured Farms_with PPI Pol'!$G1302)+IF('RICE_Insured Farms_with PPI Pol'!$H1302&lt;&gt;'RICE_Insured Farms_with PPI Pol'!$G1302,18,0)</f>
        <v>55</v>
      </c>
      <c r="W1302" s="3" t="str">
        <f t="array" ref="W1302">IFS(V1302&gt;120, "Harvested", V1302&gt;=113, "Yellow Ripening", V1302&gt;=101, "Dough Stage", V1302&gt;=93, "Milking Stage", V1302&gt;=86, "Flowering", V1302&gt;=56, "Panicle Initiation/Booting", V1302&lt;56, "Vegetative/Tillering")</f>
        <v>Vegetative/Tillering</v>
      </c>
    </row>
    <row r="1303" ht="15.75" hidden="1" customHeight="1">
      <c r="A1303" s="3">
        <v>1302.0</v>
      </c>
      <c r="B1303" s="3" t="s">
        <v>23</v>
      </c>
      <c r="C1303" s="3" t="s">
        <v>24</v>
      </c>
      <c r="D1303" s="3" t="s">
        <v>25</v>
      </c>
      <c r="E1303" s="3" t="s">
        <v>1164</v>
      </c>
      <c r="F1303" s="3">
        <v>1760492.0</v>
      </c>
      <c r="G1303" s="4">
        <v>46013.0</v>
      </c>
      <c r="H1303" s="4">
        <v>46133.0</v>
      </c>
      <c r="I1303" s="3" t="s">
        <v>610</v>
      </c>
      <c r="J1303" s="3" t="s">
        <v>3344</v>
      </c>
      <c r="K1303" s="3" t="s">
        <v>2526</v>
      </c>
      <c r="L1303" s="3">
        <v>1.0964</v>
      </c>
      <c r="M1303" s="3">
        <v>27410.0</v>
      </c>
      <c r="N1303" s="3">
        <v>2.0</v>
      </c>
      <c r="O1303" s="3">
        <v>131782.0</v>
      </c>
      <c r="P1303" s="3"/>
      <c r="Q1303" s="3">
        <v>1277195.0</v>
      </c>
      <c r="R1303" s="3"/>
      <c r="S1303" s="3">
        <v>19187.0</v>
      </c>
      <c r="T1303" s="3" t="s">
        <v>31</v>
      </c>
      <c r="U1303" s="3">
        <v>19187.0</v>
      </c>
      <c r="V1303" s="5">
        <f>(DATE(2026,2,3)-'RICE_Insured Farms_with PPI Pol'!$G1303)+IF('RICE_Insured Farms_with PPI Pol'!$H1303&lt;&gt;'RICE_Insured Farms_with PPI Pol'!$G1303,18,0)</f>
        <v>61</v>
      </c>
      <c r="W1303" s="3" t="str">
        <f t="array" ref="W1303">IFS(V1303&gt;120, "Harvested", V1303&gt;=113, "Yellow Ripening", V1303&gt;=101, "Dough Stage", V1303&gt;=93, "Milking Stage", V1303&gt;=86, "Flowering", V1303&gt;=56, "Panicle Initiation/Booting", V1303&lt;56, "Vegetative/Tillering")</f>
        <v>Panicle Initiation/Booting</v>
      </c>
    </row>
    <row r="1304" ht="15.75" hidden="1" customHeight="1">
      <c r="A1304" s="3">
        <v>1303.0</v>
      </c>
      <c r="B1304" s="3" t="s">
        <v>23</v>
      </c>
      <c r="C1304" s="3" t="s">
        <v>24</v>
      </c>
      <c r="D1304" s="3" t="s">
        <v>25</v>
      </c>
      <c r="E1304" s="3" t="s">
        <v>1164</v>
      </c>
      <c r="F1304" s="3">
        <v>1760492.0</v>
      </c>
      <c r="G1304" s="4">
        <v>46013.0</v>
      </c>
      <c r="H1304" s="4">
        <v>46133.0</v>
      </c>
      <c r="I1304" s="3" t="s">
        <v>610</v>
      </c>
      <c r="J1304" s="3" t="s">
        <v>3344</v>
      </c>
      <c r="K1304" s="3" t="s">
        <v>2526</v>
      </c>
      <c r="L1304" s="3">
        <v>0.8574</v>
      </c>
      <c r="M1304" s="3">
        <v>21435.0</v>
      </c>
      <c r="N1304" s="3">
        <v>2.0</v>
      </c>
      <c r="O1304" s="3">
        <v>131782.0</v>
      </c>
      <c r="P1304" s="3"/>
      <c r="Q1304" s="3">
        <v>1329287.0</v>
      </c>
      <c r="R1304" s="3"/>
      <c r="S1304" s="3">
        <v>15004.5</v>
      </c>
      <c r="T1304" s="3" t="s">
        <v>31</v>
      </c>
      <c r="U1304" s="3">
        <v>15004.5</v>
      </c>
      <c r="V1304" s="5">
        <f>(DATE(2026,2,3)-'RICE_Insured Farms_with PPI Pol'!$G1304)+IF('RICE_Insured Farms_with PPI Pol'!$H1304&lt;&gt;'RICE_Insured Farms_with PPI Pol'!$G1304,18,0)</f>
        <v>61</v>
      </c>
      <c r="W1304" s="3" t="str">
        <f t="array" ref="W1304">IFS(V1304&gt;120, "Harvested", V1304&gt;=113, "Yellow Ripening", V1304&gt;=101, "Dough Stage", V1304&gt;=93, "Milking Stage", V1304&gt;=86, "Flowering", V1304&gt;=56, "Panicle Initiation/Booting", V1304&lt;56, "Vegetative/Tillering")</f>
        <v>Panicle Initiation/Booting</v>
      </c>
    </row>
    <row r="1305" ht="15.75" hidden="1" customHeight="1">
      <c r="A1305" s="3">
        <v>1304.0</v>
      </c>
      <c r="B1305" s="3" t="s">
        <v>23</v>
      </c>
      <c r="C1305" s="3" t="s">
        <v>24</v>
      </c>
      <c r="D1305" s="3" t="s">
        <v>25</v>
      </c>
      <c r="E1305" s="3" t="s">
        <v>1164</v>
      </c>
      <c r="F1305" s="3">
        <v>1760492.0</v>
      </c>
      <c r="G1305" s="4">
        <v>46013.0</v>
      </c>
      <c r="H1305" s="4">
        <v>46133.0</v>
      </c>
      <c r="I1305" s="3" t="s">
        <v>610</v>
      </c>
      <c r="J1305" s="3" t="s">
        <v>3344</v>
      </c>
      <c r="K1305" s="3" t="s">
        <v>2526</v>
      </c>
      <c r="L1305" s="3">
        <v>0.4117</v>
      </c>
      <c r="M1305" s="3">
        <v>10292.5</v>
      </c>
      <c r="N1305" s="3">
        <v>2.0</v>
      </c>
      <c r="O1305" s="3">
        <v>131782.0</v>
      </c>
      <c r="P1305" s="3"/>
      <c r="Q1305" s="3">
        <v>1329778.0</v>
      </c>
      <c r="R1305" s="3"/>
      <c r="S1305" s="3">
        <v>7204.75</v>
      </c>
      <c r="T1305" s="3" t="s">
        <v>31</v>
      </c>
      <c r="U1305" s="3">
        <v>7204.75</v>
      </c>
      <c r="V1305" s="5">
        <f>(DATE(2026,2,3)-'RICE_Insured Farms_with PPI Pol'!$G1305)+IF('RICE_Insured Farms_with PPI Pol'!$H1305&lt;&gt;'RICE_Insured Farms_with PPI Pol'!$G1305,18,0)</f>
        <v>61</v>
      </c>
      <c r="W1305" s="3" t="str">
        <f t="array" ref="W1305">IFS(V1305&gt;120, "Harvested", V1305&gt;=113, "Yellow Ripening", V1305&gt;=101, "Dough Stage", V1305&gt;=93, "Milking Stage", V1305&gt;=86, "Flowering", V1305&gt;=56, "Panicle Initiation/Booting", V1305&lt;56, "Vegetative/Tillering")</f>
        <v>Panicle Initiation/Booting</v>
      </c>
    </row>
    <row r="1306" ht="15.75" customHeight="1">
      <c r="A1306" s="3">
        <v>1305.0</v>
      </c>
      <c r="B1306" s="3" t="s">
        <v>756</v>
      </c>
      <c r="C1306" s="3" t="s">
        <v>919</v>
      </c>
      <c r="D1306" s="3" t="s">
        <v>1615</v>
      </c>
      <c r="E1306" s="3" t="s">
        <v>348</v>
      </c>
      <c r="F1306" s="3">
        <v>1760815.0</v>
      </c>
      <c r="G1306" s="4">
        <v>46019.0</v>
      </c>
      <c r="H1306" s="4">
        <v>46114.0</v>
      </c>
      <c r="I1306" s="3" t="s">
        <v>1813</v>
      </c>
      <c r="J1306" s="3" t="s">
        <v>3345</v>
      </c>
      <c r="K1306" s="3" t="s">
        <v>3346</v>
      </c>
      <c r="L1306" s="3">
        <v>2.2752</v>
      </c>
      <c r="M1306" s="3">
        <v>110545.34</v>
      </c>
      <c r="N1306" s="3">
        <v>3.0</v>
      </c>
      <c r="O1306" s="3">
        <v>7786.0</v>
      </c>
      <c r="P1306" s="3"/>
      <c r="Q1306" s="3">
        <v>1226505.0</v>
      </c>
      <c r="R1306" s="3"/>
      <c r="S1306" s="3">
        <v>88436.272</v>
      </c>
      <c r="T1306" s="3" t="s">
        <v>37</v>
      </c>
      <c r="U1306" s="3">
        <v>88436.272</v>
      </c>
      <c r="V1306" s="5">
        <f>(DATE(2026,2,3)-'RICE_Insured Farms_with PPI Pol'!$G1306)+IF('RICE_Insured Farms_with PPI Pol'!$H1306&lt;&gt;'RICE_Insured Farms_with PPI Pol'!$G1306,18,0)</f>
        <v>55</v>
      </c>
      <c r="W1306" s="3" t="str">
        <f t="array" ref="W1306">IFS(V1306&gt;120, "Harvested", V1306&gt;=113, "Yellow Ripening", V1306&gt;=101, "Dough Stage", V1306&gt;=93, "Milking Stage", V1306&gt;=86, "Flowering", V1306&gt;=56, "Panicle Initiation/Booting", V1306&lt;56, "Vegetative/Tillering")</f>
        <v>Vegetative/Tillering</v>
      </c>
    </row>
    <row r="1307" ht="15.75" customHeight="1">
      <c r="A1307" s="3">
        <v>1306.0</v>
      </c>
      <c r="B1307" s="3" t="s">
        <v>756</v>
      </c>
      <c r="C1307" s="3" t="s">
        <v>919</v>
      </c>
      <c r="D1307" s="3" t="s">
        <v>1615</v>
      </c>
      <c r="E1307" s="3" t="s">
        <v>348</v>
      </c>
      <c r="F1307" s="3">
        <v>1760815.0</v>
      </c>
      <c r="G1307" s="4">
        <v>46019.0</v>
      </c>
      <c r="H1307" s="4">
        <v>46114.0</v>
      </c>
      <c r="I1307" s="3" t="s">
        <v>1813</v>
      </c>
      <c r="J1307" s="3" t="s">
        <v>3345</v>
      </c>
      <c r="K1307" s="3" t="s">
        <v>3346</v>
      </c>
      <c r="L1307" s="3">
        <v>2.8702</v>
      </c>
      <c r="M1307" s="3">
        <v>139454.66</v>
      </c>
      <c r="N1307" s="3">
        <v>3.0</v>
      </c>
      <c r="O1307" s="3">
        <v>7786.0</v>
      </c>
      <c r="P1307" s="3"/>
      <c r="Q1307" s="3">
        <v>1226509.0</v>
      </c>
      <c r="R1307" s="3"/>
      <c r="S1307" s="3">
        <v>111563.728</v>
      </c>
      <c r="T1307" s="3" t="s">
        <v>37</v>
      </c>
      <c r="U1307" s="3">
        <v>111563.728</v>
      </c>
      <c r="V1307" s="5">
        <f>(DATE(2026,2,3)-'RICE_Insured Farms_with PPI Pol'!$G1307)+IF('RICE_Insured Farms_with PPI Pol'!$H1307&lt;&gt;'RICE_Insured Farms_with PPI Pol'!$G1307,18,0)</f>
        <v>55</v>
      </c>
      <c r="W1307" s="3" t="str">
        <f t="array" ref="W1307">IFS(V1307&gt;120, "Harvested", V1307&gt;=113, "Yellow Ripening", V1307&gt;=101, "Dough Stage", V1307&gt;=93, "Milking Stage", V1307&gt;=86, "Flowering", V1307&gt;=56, "Panicle Initiation/Booting", V1307&lt;56, "Vegetative/Tillering")</f>
        <v>Vegetative/Tillering</v>
      </c>
    </row>
    <row r="1308" ht="15.75" customHeight="1">
      <c r="A1308" s="3">
        <v>1307.0</v>
      </c>
      <c r="B1308" s="3" t="s">
        <v>23</v>
      </c>
      <c r="C1308" s="3" t="s">
        <v>68</v>
      </c>
      <c r="D1308" s="3" t="s">
        <v>289</v>
      </c>
      <c r="E1308" s="3" t="s">
        <v>431</v>
      </c>
      <c r="F1308" s="3">
        <v>1760019.0</v>
      </c>
      <c r="G1308" s="4">
        <v>46021.0</v>
      </c>
      <c r="H1308" s="4">
        <v>46123.0</v>
      </c>
      <c r="I1308" s="3" t="s">
        <v>3347</v>
      </c>
      <c r="J1308" s="3" t="s">
        <v>1301</v>
      </c>
      <c r="K1308" s="3" t="s">
        <v>1599</v>
      </c>
      <c r="L1308" s="3">
        <v>0.1562</v>
      </c>
      <c r="M1308" s="3">
        <v>3905.0</v>
      </c>
      <c r="N1308" s="3">
        <v>3.0</v>
      </c>
      <c r="O1308" s="3">
        <v>200668.0</v>
      </c>
      <c r="P1308" s="3" t="s">
        <v>3348</v>
      </c>
      <c r="Q1308" s="3">
        <v>1189459.0</v>
      </c>
      <c r="R1308" s="3"/>
      <c r="S1308" s="3">
        <v>3124.0</v>
      </c>
      <c r="T1308" s="3" t="s">
        <v>37</v>
      </c>
      <c r="U1308" s="3">
        <v>3124.0</v>
      </c>
      <c r="V1308" s="5">
        <f>(DATE(2026,2,3)-'RICE_Insured Farms_with PPI Pol'!$G1308)+IF('RICE_Insured Farms_with PPI Pol'!$H1308&lt;&gt;'RICE_Insured Farms_with PPI Pol'!$G1308,18,0)</f>
        <v>53</v>
      </c>
      <c r="W1308" s="3" t="str">
        <f t="array" ref="W1308">IFS(V1308&gt;120, "Harvested", V1308&gt;=113, "Yellow Ripening", V1308&gt;=101, "Dough Stage", V1308&gt;=93, "Milking Stage", V1308&gt;=86, "Flowering", V1308&gt;=56, "Panicle Initiation/Booting", V1308&lt;56, "Vegetative/Tillering")</f>
        <v>Vegetative/Tillering</v>
      </c>
    </row>
    <row r="1309" ht="15.75" hidden="1" customHeight="1">
      <c r="A1309" s="3">
        <v>1308.0</v>
      </c>
      <c r="B1309" s="3" t="s">
        <v>23</v>
      </c>
      <c r="C1309" s="3" t="s">
        <v>121</v>
      </c>
      <c r="D1309" s="3" t="s">
        <v>1492</v>
      </c>
      <c r="E1309" s="3" t="s">
        <v>1493</v>
      </c>
      <c r="F1309" s="3">
        <v>1740649.0</v>
      </c>
      <c r="G1309" s="4">
        <v>46024.0</v>
      </c>
      <c r="H1309" s="4">
        <v>46144.0</v>
      </c>
      <c r="I1309" s="3" t="s">
        <v>3349</v>
      </c>
      <c r="J1309" s="3" t="s">
        <v>3350</v>
      </c>
      <c r="K1309" s="3" t="s">
        <v>3351</v>
      </c>
      <c r="L1309" s="3">
        <v>2.2028</v>
      </c>
      <c r="M1309" s="3">
        <v>55070.0</v>
      </c>
      <c r="N1309" s="3">
        <v>2.0</v>
      </c>
      <c r="O1309" s="3">
        <v>233924.0</v>
      </c>
      <c r="P1309" s="3" t="s">
        <v>3352</v>
      </c>
      <c r="Q1309" s="3">
        <v>1282880.0</v>
      </c>
      <c r="R1309" s="3"/>
      <c r="S1309" s="3">
        <v>38549.0</v>
      </c>
      <c r="T1309" s="3" t="s">
        <v>31</v>
      </c>
      <c r="U1309" s="3">
        <v>38549.0</v>
      </c>
      <c r="V1309" s="5">
        <f>(DATE(2026,2,3)-'RICE_Insured Farms_with PPI Pol'!$G1309)+IF('RICE_Insured Farms_with PPI Pol'!$H1309&lt;&gt;'RICE_Insured Farms_with PPI Pol'!$G1309,18,0)</f>
        <v>50</v>
      </c>
      <c r="W1309" s="3" t="str">
        <f t="array" ref="W1309">IFS(V1309&gt;120, "Harvested", V1309&gt;=113, "Yellow Ripening", V1309&gt;=101, "Dough Stage", V1309&gt;=93, "Milking Stage", V1309&gt;=86, "Flowering", V1309&gt;=56, "Panicle Initiation/Booting", V1309&lt;56, "Vegetative/Tillering")</f>
        <v>Vegetative/Tillering</v>
      </c>
    </row>
    <row r="1310" ht="15.75" hidden="1" customHeight="1">
      <c r="A1310" s="3">
        <v>1309.0</v>
      </c>
      <c r="B1310" s="3" t="s">
        <v>23</v>
      </c>
      <c r="C1310" s="3" t="s">
        <v>121</v>
      </c>
      <c r="D1310" s="3" t="s">
        <v>399</v>
      </c>
      <c r="E1310" s="3" t="s">
        <v>400</v>
      </c>
      <c r="F1310" s="3">
        <v>1760154.0</v>
      </c>
      <c r="G1310" s="4">
        <v>46040.0</v>
      </c>
      <c r="H1310" s="4">
        <v>46135.0</v>
      </c>
      <c r="I1310" s="3" t="s">
        <v>3353</v>
      </c>
      <c r="J1310" s="3" t="s">
        <v>356</v>
      </c>
      <c r="K1310" s="3" t="s">
        <v>2013</v>
      </c>
      <c r="L1310" s="3">
        <v>1.0</v>
      </c>
      <c r="M1310" s="3">
        <v>25000.0</v>
      </c>
      <c r="N1310" s="3">
        <v>2.0</v>
      </c>
      <c r="O1310" s="3">
        <v>209476.0</v>
      </c>
      <c r="P1310" s="3" t="s">
        <v>3354</v>
      </c>
      <c r="Q1310" s="3">
        <v>1202938.0</v>
      </c>
      <c r="R1310" s="3"/>
      <c r="S1310" s="3">
        <v>17500.0</v>
      </c>
      <c r="T1310" s="3" t="s">
        <v>31</v>
      </c>
      <c r="U1310" s="3">
        <v>17500.0</v>
      </c>
      <c r="V1310" s="5">
        <f>(DATE(2026,2,3)-'RICE_Insured Farms_with PPI Pol'!$G1310)+IF('RICE_Insured Farms_with PPI Pol'!$H1310&lt;&gt;'RICE_Insured Farms_with PPI Pol'!$G1310,18,0)</f>
        <v>34</v>
      </c>
      <c r="W1310" s="3" t="str">
        <f t="array" ref="W1310">IFS(V1310&gt;120, "Harvested", V1310&gt;=113, "Yellow Ripening", V1310&gt;=101, "Dough Stage", V1310&gt;=93, "Milking Stage", V1310&gt;=86, "Flowering", V1310&gt;=56, "Panicle Initiation/Booting", V1310&lt;56, "Vegetative/Tillering")</f>
        <v>Vegetative/Tillering</v>
      </c>
    </row>
    <row r="1311" ht="15.75" hidden="1" customHeight="1">
      <c r="A1311" s="3">
        <v>1310.0</v>
      </c>
      <c r="B1311" s="3" t="s">
        <v>23</v>
      </c>
      <c r="C1311" s="3" t="s">
        <v>68</v>
      </c>
      <c r="D1311" s="3" t="s">
        <v>289</v>
      </c>
      <c r="E1311" s="3" t="s">
        <v>685</v>
      </c>
      <c r="F1311" s="3">
        <v>1760005.0</v>
      </c>
      <c r="G1311" s="4">
        <v>46027.0</v>
      </c>
      <c r="H1311" s="4">
        <v>46129.0</v>
      </c>
      <c r="I1311" s="3" t="s">
        <v>3355</v>
      </c>
      <c r="J1311" s="3" t="s">
        <v>3356</v>
      </c>
      <c r="K1311" s="3" t="s">
        <v>3357</v>
      </c>
      <c r="L1311" s="3">
        <v>0.72</v>
      </c>
      <c r="M1311" s="3">
        <v>18000.0</v>
      </c>
      <c r="N1311" s="3">
        <v>2.0</v>
      </c>
      <c r="O1311" s="3">
        <v>330985.0</v>
      </c>
      <c r="P1311" s="3"/>
      <c r="Q1311" s="3">
        <v>694503.0</v>
      </c>
      <c r="R1311" s="3"/>
      <c r="S1311" s="3">
        <v>12600.0</v>
      </c>
      <c r="T1311" s="3" t="s">
        <v>31</v>
      </c>
      <c r="U1311" s="3">
        <v>12600.0</v>
      </c>
      <c r="V1311" s="5">
        <f>(DATE(2026,2,3)-'RICE_Insured Farms_with PPI Pol'!$G1311)+IF('RICE_Insured Farms_with PPI Pol'!$H1311&lt;&gt;'RICE_Insured Farms_with PPI Pol'!$G1311,18,0)</f>
        <v>47</v>
      </c>
      <c r="W1311" s="3" t="str">
        <f t="array" ref="W1311">IFS(V1311&gt;120, "Harvested", V1311&gt;=113, "Yellow Ripening", V1311&gt;=101, "Dough Stage", V1311&gt;=93, "Milking Stage", V1311&gt;=86, "Flowering", V1311&gt;=56, "Panicle Initiation/Booting", V1311&lt;56, "Vegetative/Tillering")</f>
        <v>Vegetative/Tillering</v>
      </c>
    </row>
    <row r="1312" ht="15.75" customHeight="1">
      <c r="A1312" s="3">
        <v>1311.0</v>
      </c>
      <c r="B1312" s="3" t="s">
        <v>23</v>
      </c>
      <c r="C1312" s="3" t="s">
        <v>68</v>
      </c>
      <c r="D1312" s="3" t="s">
        <v>289</v>
      </c>
      <c r="E1312" s="3" t="s">
        <v>352</v>
      </c>
      <c r="F1312" s="3">
        <v>1760044.0</v>
      </c>
      <c r="G1312" s="4">
        <v>46022.0</v>
      </c>
      <c r="H1312" s="4">
        <v>46124.0</v>
      </c>
      <c r="I1312" s="3" t="s">
        <v>3358</v>
      </c>
      <c r="J1312" s="3" t="s">
        <v>3359</v>
      </c>
      <c r="K1312" s="3" t="s">
        <v>1944</v>
      </c>
      <c r="L1312" s="3">
        <v>0.2238</v>
      </c>
      <c r="M1312" s="3">
        <v>5595.0</v>
      </c>
      <c r="N1312" s="3">
        <v>3.0</v>
      </c>
      <c r="O1312" s="3">
        <v>169838.0</v>
      </c>
      <c r="P1312" s="3" t="s">
        <v>3360</v>
      </c>
      <c r="Q1312" s="3">
        <v>970757.0</v>
      </c>
      <c r="R1312" s="3"/>
      <c r="S1312" s="3">
        <v>4476.0</v>
      </c>
      <c r="T1312" s="3" t="s">
        <v>37</v>
      </c>
      <c r="U1312" s="3">
        <v>4476.0</v>
      </c>
      <c r="V1312" s="5">
        <f>(DATE(2026,2,3)-'RICE_Insured Farms_with PPI Pol'!$G1312)+IF('RICE_Insured Farms_with PPI Pol'!$H1312&lt;&gt;'RICE_Insured Farms_with PPI Pol'!$G1312,18,0)</f>
        <v>52</v>
      </c>
      <c r="W1312" s="3" t="str">
        <f t="array" ref="W1312">IFS(V1312&gt;120, "Harvested", V1312&gt;=113, "Yellow Ripening", V1312&gt;=101, "Dough Stage", V1312&gt;=93, "Milking Stage", V1312&gt;=86, "Flowering", V1312&gt;=56, "Panicle Initiation/Booting", V1312&lt;56, "Vegetative/Tillering")</f>
        <v>Vegetative/Tillering</v>
      </c>
    </row>
    <row r="1313" ht="15.75" hidden="1" customHeight="1">
      <c r="A1313" s="3">
        <v>1145.0</v>
      </c>
      <c r="B1313" s="3" t="s">
        <v>23</v>
      </c>
      <c r="C1313" s="3" t="s">
        <v>3300</v>
      </c>
      <c r="D1313" s="3" t="s">
        <v>3301</v>
      </c>
      <c r="E1313" s="3" t="s">
        <v>3302</v>
      </c>
      <c r="F1313" s="3">
        <v>1760120.0</v>
      </c>
      <c r="G1313" s="4">
        <v>46014.0</v>
      </c>
      <c r="H1313" s="4">
        <v>46109.0</v>
      </c>
      <c r="I1313" s="3" t="s">
        <v>3361</v>
      </c>
      <c r="J1313" s="3" t="s">
        <v>3362</v>
      </c>
      <c r="K1313" s="3" t="s">
        <v>211</v>
      </c>
      <c r="L1313" s="3">
        <v>0.25</v>
      </c>
      <c r="M1313" s="3">
        <v>6250.0</v>
      </c>
      <c r="N1313" s="3">
        <v>4.0</v>
      </c>
      <c r="O1313" s="3">
        <v>133126.0</v>
      </c>
      <c r="P1313" s="3" t="s">
        <v>3363</v>
      </c>
      <c r="Q1313" s="3">
        <v>1023976.0</v>
      </c>
      <c r="R1313" s="3"/>
      <c r="S1313" s="3">
        <v>5000.0</v>
      </c>
      <c r="T1313" s="3" t="s">
        <v>56</v>
      </c>
      <c r="U1313" s="3">
        <v>5000.0</v>
      </c>
      <c r="V1313" s="5">
        <f>(DATE(2026,2,3)-'RICE_Insured Farms_with PPI Pol'!$G1313)+IF('RICE_Insured Farms_with PPI Pol'!$H1313&lt;&gt;'RICE_Insured Farms_with PPI Pol'!$G1313,18,0)</f>
        <v>60</v>
      </c>
      <c r="W1313" s="3" t="str">
        <f t="array" ref="W1313">IFS(V1313&gt;120, "Harvested", V1313&gt;=113, "Yellow Ripening", V1313&gt;=101, "Dough Stage", V1313&gt;=93, "Milking Stage", V1313&gt;=86, "Flowering", V1313&gt;=56, "Panicle Initiation/Booting", V1313&lt;56, "Vegetative/Tillering")</f>
        <v>Panicle Initiation/Booting</v>
      </c>
    </row>
    <row r="1314" ht="15.75" customHeight="1">
      <c r="A1314" s="3">
        <v>1313.0</v>
      </c>
      <c r="B1314" s="3" t="s">
        <v>23</v>
      </c>
      <c r="C1314" s="3" t="s">
        <v>68</v>
      </c>
      <c r="D1314" s="3" t="s">
        <v>289</v>
      </c>
      <c r="E1314" s="3" t="s">
        <v>1535</v>
      </c>
      <c r="F1314" s="3">
        <v>1760015.0</v>
      </c>
      <c r="G1314" s="4">
        <v>46014.0</v>
      </c>
      <c r="H1314" s="4">
        <v>46116.0</v>
      </c>
      <c r="I1314" s="3" t="s">
        <v>3151</v>
      </c>
      <c r="J1314" s="3" t="s">
        <v>3117</v>
      </c>
      <c r="K1314" s="3" t="s">
        <v>1990</v>
      </c>
      <c r="L1314" s="3">
        <v>0.6346</v>
      </c>
      <c r="M1314" s="3">
        <v>15865.0</v>
      </c>
      <c r="N1314" s="3">
        <v>3.0</v>
      </c>
      <c r="O1314" s="3">
        <v>31336.0</v>
      </c>
      <c r="P1314" s="3" t="s">
        <v>3364</v>
      </c>
      <c r="Q1314" s="3">
        <v>1269702.0</v>
      </c>
      <c r="R1314" s="3"/>
      <c r="S1314" s="3">
        <v>12692.0</v>
      </c>
      <c r="T1314" s="3" t="s">
        <v>37</v>
      </c>
      <c r="U1314" s="3">
        <v>12692.0</v>
      </c>
      <c r="V1314" s="5">
        <f>(DATE(2026,2,3)-'RICE_Insured Farms_with PPI Pol'!$G1314)+IF('RICE_Insured Farms_with PPI Pol'!$H1314&lt;&gt;'RICE_Insured Farms_with PPI Pol'!$G1314,18,0)</f>
        <v>60</v>
      </c>
      <c r="W1314" s="3" t="str">
        <f t="array" ref="W1314">IFS(V1314&gt;120, "Harvested", V1314&gt;=113, "Yellow Ripening", V1314&gt;=101, "Dough Stage", V1314&gt;=93, "Milking Stage", V1314&gt;=86, "Flowering", V1314&gt;=56, "Panicle Initiation/Booting", V1314&lt;56, "Vegetative/Tillering")</f>
        <v>Panicle Initiation/Booting</v>
      </c>
    </row>
    <row r="1315" ht="15.75" customHeight="1">
      <c r="A1315" s="3">
        <v>1314.0</v>
      </c>
      <c r="B1315" s="3" t="s">
        <v>23</v>
      </c>
      <c r="C1315" s="3" t="s">
        <v>68</v>
      </c>
      <c r="D1315" s="3" t="s">
        <v>289</v>
      </c>
      <c r="E1315" s="3" t="s">
        <v>1535</v>
      </c>
      <c r="F1315" s="3">
        <v>1760015.0</v>
      </c>
      <c r="G1315" s="4">
        <v>46019.0</v>
      </c>
      <c r="H1315" s="4">
        <v>46121.0</v>
      </c>
      <c r="I1315" s="3" t="s">
        <v>3151</v>
      </c>
      <c r="J1315" s="3" t="s">
        <v>3117</v>
      </c>
      <c r="K1315" s="3" t="s">
        <v>1990</v>
      </c>
      <c r="L1315" s="3">
        <v>0.8091</v>
      </c>
      <c r="M1315" s="3">
        <v>20227.5</v>
      </c>
      <c r="N1315" s="3">
        <v>3.0</v>
      </c>
      <c r="O1315" s="3">
        <v>31336.0</v>
      </c>
      <c r="P1315" s="3" t="s">
        <v>3364</v>
      </c>
      <c r="Q1315" s="3">
        <v>1309565.0</v>
      </c>
      <c r="R1315" s="3"/>
      <c r="S1315" s="3">
        <v>16182.0</v>
      </c>
      <c r="T1315" s="3" t="s">
        <v>37</v>
      </c>
      <c r="U1315" s="3">
        <v>16182.0</v>
      </c>
      <c r="V1315" s="5">
        <f>(DATE(2026,2,3)-'RICE_Insured Farms_with PPI Pol'!$G1315)+IF('RICE_Insured Farms_with PPI Pol'!$H1315&lt;&gt;'RICE_Insured Farms_with PPI Pol'!$G1315,18,0)</f>
        <v>55</v>
      </c>
      <c r="W1315" s="3" t="str">
        <f t="array" ref="W1315">IFS(V1315&gt;120, "Harvested", V1315&gt;=113, "Yellow Ripening", V1315&gt;=101, "Dough Stage", V1315&gt;=93, "Milking Stage", V1315&gt;=86, "Flowering", V1315&gt;=56, "Panicle Initiation/Booting", V1315&lt;56, "Vegetative/Tillering")</f>
        <v>Vegetative/Tillering</v>
      </c>
    </row>
    <row r="1316" ht="15.75" hidden="1" customHeight="1">
      <c r="A1316" s="3">
        <v>1258.0</v>
      </c>
      <c r="B1316" s="3" t="s">
        <v>23</v>
      </c>
      <c r="C1316" s="3" t="s">
        <v>3300</v>
      </c>
      <c r="D1316" s="3" t="s">
        <v>3301</v>
      </c>
      <c r="E1316" s="3" t="s">
        <v>3302</v>
      </c>
      <c r="F1316" s="3">
        <v>1760120.0</v>
      </c>
      <c r="G1316" s="4">
        <v>46015.0</v>
      </c>
      <c r="H1316" s="4">
        <v>46110.0</v>
      </c>
      <c r="I1316" s="3" t="s">
        <v>3365</v>
      </c>
      <c r="J1316" s="3" t="s">
        <v>3366</v>
      </c>
      <c r="K1316" s="3" t="s">
        <v>478</v>
      </c>
      <c r="L1316" s="3">
        <v>0.1</v>
      </c>
      <c r="M1316" s="3">
        <v>2500.0</v>
      </c>
      <c r="N1316" s="3">
        <v>4.0</v>
      </c>
      <c r="O1316" s="3">
        <v>442000.0</v>
      </c>
      <c r="P1316" s="3"/>
      <c r="Q1316" s="3">
        <v>1024016.0</v>
      </c>
      <c r="R1316" s="3"/>
      <c r="S1316" s="3">
        <v>2000.0</v>
      </c>
      <c r="T1316" s="3" t="s">
        <v>56</v>
      </c>
      <c r="U1316" s="3">
        <v>2000.0</v>
      </c>
      <c r="V1316" s="5">
        <f>(DATE(2026,2,3)-'RICE_Insured Farms_with PPI Pol'!$G1316)+IF('RICE_Insured Farms_with PPI Pol'!$H1316&lt;&gt;'RICE_Insured Farms_with PPI Pol'!$G1316,18,0)</f>
        <v>59</v>
      </c>
      <c r="W1316" s="3" t="str">
        <f t="array" ref="W1316">IFS(V1316&gt;120, "Harvested", V1316&gt;=113, "Yellow Ripening", V1316&gt;=101, "Dough Stage", V1316&gt;=93, "Milking Stage", V1316&gt;=86, "Flowering", V1316&gt;=56, "Panicle Initiation/Booting", V1316&lt;56, "Vegetative/Tillering")</f>
        <v>Panicle Initiation/Booting</v>
      </c>
    </row>
    <row r="1317" ht="15.75" hidden="1" customHeight="1">
      <c r="A1317" s="3">
        <v>1316.0</v>
      </c>
      <c r="B1317" s="3" t="s">
        <v>23</v>
      </c>
      <c r="C1317" s="3" t="s">
        <v>68</v>
      </c>
      <c r="D1317" s="3" t="s">
        <v>420</v>
      </c>
      <c r="E1317" s="3" t="s">
        <v>421</v>
      </c>
      <c r="F1317" s="3">
        <v>1197003.0</v>
      </c>
      <c r="G1317" s="4">
        <v>46047.0</v>
      </c>
      <c r="H1317" s="4">
        <v>46149.0</v>
      </c>
      <c r="I1317" s="3" t="s">
        <v>3367</v>
      </c>
      <c r="J1317" s="3" t="s">
        <v>2077</v>
      </c>
      <c r="K1317" s="3" t="s">
        <v>3368</v>
      </c>
      <c r="L1317" s="3">
        <v>1.8338</v>
      </c>
      <c r="M1317" s="3">
        <v>45845.0</v>
      </c>
      <c r="N1317" s="3">
        <v>1.0</v>
      </c>
      <c r="O1317" s="3">
        <v>16071.0</v>
      </c>
      <c r="P1317" s="3" t="s">
        <v>3369</v>
      </c>
      <c r="Q1317" s="3">
        <v>1289339.0</v>
      </c>
      <c r="R1317" s="3"/>
      <c r="S1317" s="3">
        <v>27507.0</v>
      </c>
      <c r="T1317" s="3" t="s">
        <v>62</v>
      </c>
      <c r="U1317" s="3">
        <v>27507.0</v>
      </c>
      <c r="V1317" s="5">
        <f>(DATE(2026,2,3)-'RICE_Insured Farms_with PPI Pol'!$G1317)+IF('RICE_Insured Farms_with PPI Pol'!$H1317&lt;&gt;'RICE_Insured Farms_with PPI Pol'!$G1317,18,0)</f>
        <v>27</v>
      </c>
      <c r="W1317" s="3" t="str">
        <f t="array" ref="W1317">IFS(V1317&gt;120, "Harvested", V1317&gt;=113, "Yellow Ripening", V1317&gt;=101, "Dough Stage", V1317&gt;=93, "Milking Stage", V1317&gt;=86, "Flowering", V1317&gt;=56, "Panicle Initiation/Booting", V1317&lt;56, "Vegetative/Tillering")</f>
        <v>Vegetative/Tillering</v>
      </c>
    </row>
    <row r="1318" ht="15.75" hidden="1" customHeight="1">
      <c r="A1318" s="3">
        <v>1317.0</v>
      </c>
      <c r="B1318" s="3" t="s">
        <v>23</v>
      </c>
      <c r="C1318" s="3" t="s">
        <v>68</v>
      </c>
      <c r="D1318" s="3" t="s">
        <v>420</v>
      </c>
      <c r="E1318" s="3" t="s">
        <v>421</v>
      </c>
      <c r="F1318" s="3">
        <v>1196999.0</v>
      </c>
      <c r="G1318" s="4">
        <v>46063.0</v>
      </c>
      <c r="H1318" s="4">
        <v>46165.0</v>
      </c>
      <c r="I1318" s="3" t="s">
        <v>3367</v>
      </c>
      <c r="J1318" s="3" t="s">
        <v>3370</v>
      </c>
      <c r="K1318" s="3" t="s">
        <v>3371</v>
      </c>
      <c r="L1318" s="3">
        <v>0.2206</v>
      </c>
      <c r="M1318" s="3">
        <v>5515.0</v>
      </c>
      <c r="N1318" s="3">
        <v>1.0</v>
      </c>
      <c r="O1318" s="3">
        <v>16073.0</v>
      </c>
      <c r="P1318" s="3" t="s">
        <v>3372</v>
      </c>
      <c r="Q1318" s="3">
        <v>1287726.0</v>
      </c>
      <c r="R1318" s="3"/>
      <c r="S1318" s="3">
        <v>3309.0</v>
      </c>
      <c r="T1318" s="3" t="s">
        <v>62</v>
      </c>
      <c r="U1318" s="3">
        <v>3309.0</v>
      </c>
      <c r="V1318" s="5">
        <f>(DATE(2026,2,3)-'RICE_Insured Farms_with PPI Pol'!$G1318)+IF('RICE_Insured Farms_with PPI Pol'!$H1318&lt;&gt;'RICE_Insured Farms_with PPI Pol'!$G1318,18,0)</f>
        <v>11</v>
      </c>
      <c r="W1318" s="3" t="str">
        <f t="array" ref="W1318">IFS(V1318&gt;120, "Harvested", V1318&gt;=113, "Yellow Ripening", V1318&gt;=101, "Dough Stage", V1318&gt;=93, "Milking Stage", V1318&gt;=86, "Flowering", V1318&gt;=56, "Panicle Initiation/Booting", V1318&lt;56, "Vegetative/Tillering")</f>
        <v>Vegetative/Tillering</v>
      </c>
    </row>
    <row r="1319" ht="15.75" hidden="1" customHeight="1">
      <c r="A1319" s="3">
        <v>1318.0</v>
      </c>
      <c r="B1319" s="3" t="s">
        <v>23</v>
      </c>
      <c r="C1319" s="3" t="s">
        <v>68</v>
      </c>
      <c r="D1319" s="3" t="s">
        <v>289</v>
      </c>
      <c r="E1319" s="3" t="s">
        <v>3373</v>
      </c>
      <c r="F1319" s="3">
        <v>1760031.0</v>
      </c>
      <c r="G1319" s="4">
        <v>46027.0</v>
      </c>
      <c r="H1319" s="4">
        <v>46129.0</v>
      </c>
      <c r="I1319" s="3" t="s">
        <v>3374</v>
      </c>
      <c r="J1319" s="3" t="s">
        <v>3375</v>
      </c>
      <c r="K1319" s="3" t="s">
        <v>1862</v>
      </c>
      <c r="L1319" s="3">
        <v>0.616</v>
      </c>
      <c r="M1319" s="3">
        <v>15400.0</v>
      </c>
      <c r="N1319" s="3">
        <v>2.0</v>
      </c>
      <c r="O1319" s="3">
        <v>479502.0</v>
      </c>
      <c r="P1319" s="3"/>
      <c r="Q1319" s="3">
        <v>1283099.0</v>
      </c>
      <c r="R1319" s="3"/>
      <c r="S1319" s="3">
        <v>10780.0</v>
      </c>
      <c r="T1319" s="3" t="s">
        <v>31</v>
      </c>
      <c r="U1319" s="3">
        <v>10780.0</v>
      </c>
      <c r="V1319" s="5">
        <f>(DATE(2026,2,3)-'RICE_Insured Farms_with PPI Pol'!$G1319)+IF('RICE_Insured Farms_with PPI Pol'!$H1319&lt;&gt;'RICE_Insured Farms_with PPI Pol'!$G1319,18,0)</f>
        <v>47</v>
      </c>
      <c r="W1319" s="3" t="str">
        <f t="array" ref="W1319">IFS(V1319&gt;120, "Harvested", V1319&gt;=113, "Yellow Ripening", V1319&gt;=101, "Dough Stage", V1319&gt;=93, "Milking Stage", V1319&gt;=86, "Flowering", V1319&gt;=56, "Panicle Initiation/Booting", V1319&lt;56, "Vegetative/Tillering")</f>
        <v>Vegetative/Tillering</v>
      </c>
    </row>
    <row r="1320" ht="15.75" customHeight="1">
      <c r="A1320" s="3">
        <v>1319.0</v>
      </c>
      <c r="B1320" s="3" t="s">
        <v>23</v>
      </c>
      <c r="C1320" s="3" t="s">
        <v>68</v>
      </c>
      <c r="D1320" s="3" t="s">
        <v>289</v>
      </c>
      <c r="E1320" s="3" t="s">
        <v>774</v>
      </c>
      <c r="F1320" s="3">
        <v>1760012.0</v>
      </c>
      <c r="G1320" s="4">
        <v>46018.0</v>
      </c>
      <c r="H1320" s="4">
        <v>46120.0</v>
      </c>
      <c r="I1320" s="3" t="s">
        <v>893</v>
      </c>
      <c r="J1320" s="3" t="s">
        <v>807</v>
      </c>
      <c r="K1320" s="3" t="s">
        <v>3087</v>
      </c>
      <c r="L1320" s="3">
        <v>0.603</v>
      </c>
      <c r="M1320" s="3">
        <v>15075.0</v>
      </c>
      <c r="N1320" s="3">
        <v>3.0</v>
      </c>
      <c r="O1320" s="3">
        <v>119848.0</v>
      </c>
      <c r="P1320" s="3" t="s">
        <v>3376</v>
      </c>
      <c r="Q1320" s="3">
        <v>1280446.0</v>
      </c>
      <c r="R1320" s="3"/>
      <c r="S1320" s="3">
        <v>12060.0</v>
      </c>
      <c r="T1320" s="3" t="s">
        <v>37</v>
      </c>
      <c r="U1320" s="3">
        <v>12060.0</v>
      </c>
      <c r="V1320" s="5">
        <f>(DATE(2026,2,3)-'RICE_Insured Farms_with PPI Pol'!$G1320)+IF('RICE_Insured Farms_with PPI Pol'!$H1320&lt;&gt;'RICE_Insured Farms_with PPI Pol'!$G1320,18,0)</f>
        <v>56</v>
      </c>
      <c r="W1320" s="3" t="str">
        <f t="array" ref="W1320">IFS(V1320&gt;120, "Harvested", V1320&gt;=113, "Yellow Ripening", V1320&gt;=101, "Dough Stage", V1320&gt;=93, "Milking Stage", V1320&gt;=86, "Flowering", V1320&gt;=56, "Panicle Initiation/Booting", V1320&lt;56, "Vegetative/Tillering")</f>
        <v>Panicle Initiation/Booting</v>
      </c>
    </row>
    <row r="1321" ht="15.75" customHeight="1">
      <c r="A1321" s="3">
        <v>1320.0</v>
      </c>
      <c r="B1321" s="3" t="s">
        <v>23</v>
      </c>
      <c r="C1321" s="3" t="s">
        <v>68</v>
      </c>
      <c r="D1321" s="3" t="s">
        <v>122</v>
      </c>
      <c r="E1321" s="3" t="s">
        <v>1122</v>
      </c>
      <c r="F1321" s="3">
        <v>1196932.0</v>
      </c>
      <c r="G1321" s="4">
        <v>46022.0</v>
      </c>
      <c r="H1321" s="4">
        <v>46124.0</v>
      </c>
      <c r="I1321" s="3" t="s">
        <v>893</v>
      </c>
      <c r="J1321" s="3" t="s">
        <v>3377</v>
      </c>
      <c r="K1321" s="3" t="s">
        <v>376</v>
      </c>
      <c r="L1321" s="3">
        <v>0.3575</v>
      </c>
      <c r="M1321" s="3">
        <v>8937.5</v>
      </c>
      <c r="N1321" s="3">
        <v>3.0</v>
      </c>
      <c r="O1321" s="3">
        <v>480326.0</v>
      </c>
      <c r="P1321" s="3" t="s">
        <v>3378</v>
      </c>
      <c r="Q1321" s="3">
        <v>1271593.0</v>
      </c>
      <c r="R1321" s="3"/>
      <c r="S1321" s="3">
        <v>7150.0</v>
      </c>
      <c r="T1321" s="3" t="s">
        <v>37</v>
      </c>
      <c r="U1321" s="3">
        <v>7150.0</v>
      </c>
      <c r="V1321" s="5">
        <f>(DATE(2026,2,3)-'RICE_Insured Farms_with PPI Pol'!$G1321)+IF('RICE_Insured Farms_with PPI Pol'!$H1321&lt;&gt;'RICE_Insured Farms_with PPI Pol'!$G1321,18,0)</f>
        <v>52</v>
      </c>
      <c r="W1321" s="3" t="str">
        <f t="array" ref="W1321">IFS(V1321&gt;120, "Harvested", V1321&gt;=113, "Yellow Ripening", V1321&gt;=101, "Dough Stage", V1321&gt;=93, "Milking Stage", V1321&gt;=86, "Flowering", V1321&gt;=56, "Panicle Initiation/Booting", V1321&lt;56, "Vegetative/Tillering")</f>
        <v>Vegetative/Tillering</v>
      </c>
    </row>
    <row r="1322" ht="15.75" customHeight="1">
      <c r="A1322" s="3">
        <v>1321.0</v>
      </c>
      <c r="B1322" s="3" t="s">
        <v>23</v>
      </c>
      <c r="C1322" s="3" t="s">
        <v>68</v>
      </c>
      <c r="D1322" s="3" t="s">
        <v>122</v>
      </c>
      <c r="E1322" s="3" t="s">
        <v>1122</v>
      </c>
      <c r="F1322" s="3">
        <v>1196932.0</v>
      </c>
      <c r="G1322" s="4">
        <v>46022.0</v>
      </c>
      <c r="H1322" s="4">
        <v>46124.0</v>
      </c>
      <c r="I1322" s="3" t="s">
        <v>893</v>
      </c>
      <c r="J1322" s="3" t="s">
        <v>3377</v>
      </c>
      <c r="K1322" s="3" t="s">
        <v>376</v>
      </c>
      <c r="L1322" s="3">
        <v>0.3749</v>
      </c>
      <c r="M1322" s="3">
        <v>9372.5</v>
      </c>
      <c r="N1322" s="3">
        <v>3.0</v>
      </c>
      <c r="O1322" s="3">
        <v>480326.0</v>
      </c>
      <c r="P1322" s="3" t="s">
        <v>3378</v>
      </c>
      <c r="Q1322" s="3">
        <v>1271596.0</v>
      </c>
      <c r="R1322" s="3"/>
      <c r="S1322" s="3">
        <v>7498.0</v>
      </c>
      <c r="T1322" s="3" t="s">
        <v>37</v>
      </c>
      <c r="U1322" s="3">
        <v>7498.0</v>
      </c>
      <c r="V1322" s="5">
        <f>(DATE(2026,2,3)-'RICE_Insured Farms_with PPI Pol'!$G1322)+IF('RICE_Insured Farms_with PPI Pol'!$H1322&lt;&gt;'RICE_Insured Farms_with PPI Pol'!$G1322,18,0)</f>
        <v>52</v>
      </c>
      <c r="W1322" s="3" t="str">
        <f t="array" ref="W1322">IFS(V1322&gt;120, "Harvested", V1322&gt;=113, "Yellow Ripening", V1322&gt;=101, "Dough Stage", V1322&gt;=93, "Milking Stage", V1322&gt;=86, "Flowering", V1322&gt;=56, "Panicle Initiation/Booting", V1322&lt;56, "Vegetative/Tillering")</f>
        <v>Vegetative/Tillering</v>
      </c>
    </row>
    <row r="1323" ht="15.75" customHeight="1">
      <c r="A1323" s="3">
        <v>1322.0</v>
      </c>
      <c r="B1323" s="3" t="s">
        <v>23</v>
      </c>
      <c r="C1323" s="3" t="s">
        <v>68</v>
      </c>
      <c r="D1323" s="3" t="s">
        <v>122</v>
      </c>
      <c r="E1323" s="3" t="s">
        <v>1122</v>
      </c>
      <c r="F1323" s="3">
        <v>1196932.0</v>
      </c>
      <c r="G1323" s="4">
        <v>46022.0</v>
      </c>
      <c r="H1323" s="4">
        <v>46124.0</v>
      </c>
      <c r="I1323" s="3" t="s">
        <v>893</v>
      </c>
      <c r="J1323" s="3" t="s">
        <v>3377</v>
      </c>
      <c r="K1323" s="3" t="s">
        <v>376</v>
      </c>
      <c r="L1323" s="3">
        <v>0.6076</v>
      </c>
      <c r="M1323" s="3">
        <v>15190.0</v>
      </c>
      <c r="N1323" s="3">
        <v>3.0</v>
      </c>
      <c r="O1323" s="3">
        <v>480326.0</v>
      </c>
      <c r="P1323" s="3" t="s">
        <v>3378</v>
      </c>
      <c r="Q1323" s="3">
        <v>1310189.0</v>
      </c>
      <c r="R1323" s="3"/>
      <c r="S1323" s="3">
        <v>12152.0</v>
      </c>
      <c r="T1323" s="3" t="s">
        <v>37</v>
      </c>
      <c r="U1323" s="3">
        <v>12152.0</v>
      </c>
      <c r="V1323" s="5">
        <f>(DATE(2026,2,3)-'RICE_Insured Farms_with PPI Pol'!$G1323)+IF('RICE_Insured Farms_with PPI Pol'!$H1323&lt;&gt;'RICE_Insured Farms_with PPI Pol'!$G1323,18,0)</f>
        <v>52</v>
      </c>
      <c r="W1323" s="3" t="str">
        <f t="array" ref="W1323">IFS(V1323&gt;120, "Harvested", V1323&gt;=113, "Yellow Ripening", V1323&gt;=101, "Dough Stage", V1323&gt;=93, "Milking Stage", V1323&gt;=86, "Flowering", V1323&gt;=56, "Panicle Initiation/Booting", V1323&lt;56, "Vegetative/Tillering")</f>
        <v>Vegetative/Tillering</v>
      </c>
    </row>
    <row r="1324" ht="15.75" customHeight="1">
      <c r="A1324" s="3">
        <v>1323.0</v>
      </c>
      <c r="B1324" s="3" t="s">
        <v>23</v>
      </c>
      <c r="C1324" s="3" t="s">
        <v>24</v>
      </c>
      <c r="D1324" s="3" t="s">
        <v>25</v>
      </c>
      <c r="E1324" s="3" t="s">
        <v>1374</v>
      </c>
      <c r="F1324" s="3">
        <v>1760463.0</v>
      </c>
      <c r="G1324" s="4">
        <v>46001.0</v>
      </c>
      <c r="H1324" s="4">
        <v>46121.0</v>
      </c>
      <c r="I1324" s="3" t="s">
        <v>1206</v>
      </c>
      <c r="J1324" s="3" t="s">
        <v>2814</v>
      </c>
      <c r="K1324" s="3" t="s">
        <v>3379</v>
      </c>
      <c r="L1324" s="3">
        <v>1.0137</v>
      </c>
      <c r="M1324" s="3">
        <v>25342.5</v>
      </c>
      <c r="N1324" s="3">
        <v>3.0</v>
      </c>
      <c r="O1324" s="3">
        <v>243870.0</v>
      </c>
      <c r="P1324" s="3" t="s">
        <v>3380</v>
      </c>
      <c r="Q1324" s="3">
        <v>1319221.0</v>
      </c>
      <c r="R1324" s="3"/>
      <c r="S1324" s="3">
        <v>20274.0</v>
      </c>
      <c r="T1324" s="3" t="s">
        <v>37</v>
      </c>
      <c r="U1324" s="3">
        <v>20274.0</v>
      </c>
      <c r="V1324" s="5">
        <f>(DATE(2026,2,3)-'RICE_Insured Farms_with PPI Pol'!$G1324)+IF('RICE_Insured Farms_with PPI Pol'!$H1324&lt;&gt;'RICE_Insured Farms_with PPI Pol'!$G1324,18,0)</f>
        <v>73</v>
      </c>
      <c r="W1324" s="3" t="str">
        <f t="array" ref="W1324">IFS(V1324&gt;120, "Harvested", V1324&gt;=113, "Yellow Ripening", V1324&gt;=101, "Dough Stage", V1324&gt;=93, "Milking Stage", V1324&gt;=86, "Flowering", V1324&gt;=56, "Panicle Initiation/Booting", V1324&lt;56, "Vegetative/Tillering")</f>
        <v>Panicle Initiation/Booting</v>
      </c>
    </row>
    <row r="1325" ht="15.75" customHeight="1">
      <c r="A1325" s="3">
        <v>1324.0</v>
      </c>
      <c r="B1325" s="3" t="s">
        <v>23</v>
      </c>
      <c r="C1325" s="3" t="s">
        <v>68</v>
      </c>
      <c r="D1325" s="3" t="s">
        <v>289</v>
      </c>
      <c r="E1325" s="3" t="s">
        <v>507</v>
      </c>
      <c r="F1325" s="3">
        <v>1760034.0</v>
      </c>
      <c r="G1325" s="4">
        <v>46024.0</v>
      </c>
      <c r="H1325" s="4">
        <v>46126.0</v>
      </c>
      <c r="I1325" s="3" t="s">
        <v>3381</v>
      </c>
      <c r="J1325" s="3" t="s">
        <v>3382</v>
      </c>
      <c r="K1325" s="3" t="s">
        <v>1328</v>
      </c>
      <c r="L1325" s="3">
        <v>0.1863</v>
      </c>
      <c r="M1325" s="3">
        <v>4657.5</v>
      </c>
      <c r="N1325" s="3">
        <v>3.0</v>
      </c>
      <c r="O1325" s="3">
        <v>356050.0</v>
      </c>
      <c r="P1325" s="3"/>
      <c r="Q1325" s="3">
        <v>1286258.0</v>
      </c>
      <c r="R1325" s="3"/>
      <c r="S1325" s="3">
        <v>3726.0</v>
      </c>
      <c r="T1325" s="3" t="s">
        <v>37</v>
      </c>
      <c r="U1325" s="3">
        <v>3726.0</v>
      </c>
      <c r="V1325" s="5">
        <f>(DATE(2026,2,3)-'RICE_Insured Farms_with PPI Pol'!$G1325)+IF('RICE_Insured Farms_with PPI Pol'!$H1325&lt;&gt;'RICE_Insured Farms_with PPI Pol'!$G1325,18,0)</f>
        <v>50</v>
      </c>
      <c r="W1325" s="3" t="str">
        <f t="array" ref="W1325">IFS(V1325&gt;120, "Harvested", V1325&gt;=113, "Yellow Ripening", V1325&gt;=101, "Dough Stage", V1325&gt;=93, "Milking Stage", V1325&gt;=86, "Flowering", V1325&gt;=56, "Panicle Initiation/Booting", V1325&lt;56, "Vegetative/Tillering")</f>
        <v>Vegetative/Tillering</v>
      </c>
    </row>
    <row r="1326" ht="15.75" hidden="1" customHeight="1">
      <c r="A1326" s="3">
        <v>1325.0</v>
      </c>
      <c r="B1326" s="3" t="s">
        <v>23</v>
      </c>
      <c r="C1326" s="3" t="s">
        <v>68</v>
      </c>
      <c r="D1326" s="3" t="s">
        <v>289</v>
      </c>
      <c r="E1326" s="3" t="s">
        <v>507</v>
      </c>
      <c r="F1326" s="3">
        <v>1760034.0</v>
      </c>
      <c r="G1326" s="4">
        <v>46032.0</v>
      </c>
      <c r="H1326" s="4">
        <v>46134.0</v>
      </c>
      <c r="I1326" s="3" t="s">
        <v>3381</v>
      </c>
      <c r="J1326" s="3" t="s">
        <v>3382</v>
      </c>
      <c r="K1326" s="3" t="s">
        <v>1328</v>
      </c>
      <c r="L1326" s="3">
        <v>0.1987</v>
      </c>
      <c r="M1326" s="3">
        <v>4967.5</v>
      </c>
      <c r="N1326" s="3">
        <v>2.0</v>
      </c>
      <c r="O1326" s="3">
        <v>356050.0</v>
      </c>
      <c r="P1326" s="3"/>
      <c r="Q1326" s="3">
        <v>1286261.0</v>
      </c>
      <c r="R1326" s="3"/>
      <c r="S1326" s="3">
        <v>3477.25</v>
      </c>
      <c r="T1326" s="3" t="s">
        <v>31</v>
      </c>
      <c r="U1326" s="3">
        <v>3477.25</v>
      </c>
      <c r="V1326" s="5">
        <f>(DATE(2026,2,3)-'RICE_Insured Farms_with PPI Pol'!$G1326)+IF('RICE_Insured Farms_with PPI Pol'!$H1326&lt;&gt;'RICE_Insured Farms_with PPI Pol'!$G1326,18,0)</f>
        <v>42</v>
      </c>
      <c r="W1326" s="3" t="str">
        <f t="array" ref="W1326">IFS(V1326&gt;120, "Harvested", V1326&gt;=113, "Yellow Ripening", V1326&gt;=101, "Dough Stage", V1326&gt;=93, "Milking Stage", V1326&gt;=86, "Flowering", V1326&gt;=56, "Panicle Initiation/Booting", V1326&lt;56, "Vegetative/Tillering")</f>
        <v>Vegetative/Tillering</v>
      </c>
    </row>
    <row r="1327" ht="15.75" customHeight="1">
      <c r="A1327" s="3">
        <v>1326.0</v>
      </c>
      <c r="B1327" s="3" t="s">
        <v>23</v>
      </c>
      <c r="C1327" s="3" t="s">
        <v>68</v>
      </c>
      <c r="D1327" s="3" t="s">
        <v>289</v>
      </c>
      <c r="E1327" s="3" t="s">
        <v>507</v>
      </c>
      <c r="F1327" s="3">
        <v>1760034.0</v>
      </c>
      <c r="G1327" s="4">
        <v>46024.0</v>
      </c>
      <c r="H1327" s="4">
        <v>46126.0</v>
      </c>
      <c r="I1327" s="3" t="s">
        <v>3381</v>
      </c>
      <c r="J1327" s="3" t="s">
        <v>1128</v>
      </c>
      <c r="K1327" s="3" t="s">
        <v>3383</v>
      </c>
      <c r="L1327" s="3">
        <v>0.6537</v>
      </c>
      <c r="M1327" s="3">
        <v>16342.5</v>
      </c>
      <c r="N1327" s="3">
        <v>3.0</v>
      </c>
      <c r="O1327" s="3">
        <v>31486.0</v>
      </c>
      <c r="P1327" s="3" t="s">
        <v>3384</v>
      </c>
      <c r="Q1327" s="3">
        <v>1286250.0</v>
      </c>
      <c r="R1327" s="3"/>
      <c r="S1327" s="3">
        <v>13074.0</v>
      </c>
      <c r="T1327" s="3" t="s">
        <v>37</v>
      </c>
      <c r="U1327" s="3">
        <v>13074.0</v>
      </c>
      <c r="V1327" s="5">
        <f>(DATE(2026,2,3)-'RICE_Insured Farms_with PPI Pol'!$G1327)+IF('RICE_Insured Farms_with PPI Pol'!$H1327&lt;&gt;'RICE_Insured Farms_with PPI Pol'!$G1327,18,0)</f>
        <v>50</v>
      </c>
      <c r="W1327" s="3" t="str">
        <f t="array" ref="W1327">IFS(V1327&gt;120, "Harvested", V1327&gt;=113, "Yellow Ripening", V1327&gt;=101, "Dough Stage", V1327&gt;=93, "Milking Stage", V1327&gt;=86, "Flowering", V1327&gt;=56, "Panicle Initiation/Booting", V1327&lt;56, "Vegetative/Tillering")</f>
        <v>Vegetative/Tillering</v>
      </c>
    </row>
    <row r="1328" ht="15.75" customHeight="1">
      <c r="A1328" s="3">
        <v>1327.0</v>
      </c>
      <c r="B1328" s="3" t="s">
        <v>23</v>
      </c>
      <c r="C1328" s="3" t="s">
        <v>68</v>
      </c>
      <c r="D1328" s="3" t="s">
        <v>289</v>
      </c>
      <c r="E1328" s="3" t="s">
        <v>507</v>
      </c>
      <c r="F1328" s="3">
        <v>1760034.0</v>
      </c>
      <c r="G1328" s="4">
        <v>46024.0</v>
      </c>
      <c r="H1328" s="4">
        <v>46126.0</v>
      </c>
      <c r="I1328" s="3" t="s">
        <v>3381</v>
      </c>
      <c r="J1328" s="3" t="s">
        <v>1128</v>
      </c>
      <c r="K1328" s="3" t="s">
        <v>3383</v>
      </c>
      <c r="L1328" s="3">
        <v>0.3129</v>
      </c>
      <c r="M1328" s="3">
        <v>7822.5</v>
      </c>
      <c r="N1328" s="3">
        <v>3.0</v>
      </c>
      <c r="O1328" s="3">
        <v>31486.0</v>
      </c>
      <c r="P1328" s="3" t="s">
        <v>3384</v>
      </c>
      <c r="Q1328" s="3">
        <v>1286253.0</v>
      </c>
      <c r="R1328" s="3"/>
      <c r="S1328" s="3">
        <v>6258.0</v>
      </c>
      <c r="T1328" s="3" t="s">
        <v>37</v>
      </c>
      <c r="U1328" s="3">
        <v>6258.0</v>
      </c>
      <c r="V1328" s="5">
        <f>(DATE(2026,2,3)-'RICE_Insured Farms_with PPI Pol'!$G1328)+IF('RICE_Insured Farms_with PPI Pol'!$H1328&lt;&gt;'RICE_Insured Farms_with PPI Pol'!$G1328,18,0)</f>
        <v>50</v>
      </c>
      <c r="W1328" s="3" t="str">
        <f t="array" ref="W1328">IFS(V1328&gt;120, "Harvested", V1328&gt;=113, "Yellow Ripening", V1328&gt;=101, "Dough Stage", V1328&gt;=93, "Milking Stage", V1328&gt;=86, "Flowering", V1328&gt;=56, "Panicle Initiation/Booting", V1328&lt;56, "Vegetative/Tillering")</f>
        <v>Vegetative/Tillering</v>
      </c>
    </row>
    <row r="1329" ht="15.75" customHeight="1">
      <c r="A1329" s="3">
        <v>1328.0</v>
      </c>
      <c r="B1329" s="3" t="s">
        <v>23</v>
      </c>
      <c r="C1329" s="3" t="s">
        <v>50</v>
      </c>
      <c r="D1329" s="3" t="s">
        <v>51</v>
      </c>
      <c r="E1329" s="3" t="s">
        <v>321</v>
      </c>
      <c r="F1329" s="3">
        <v>1741851.0</v>
      </c>
      <c r="G1329" s="4">
        <v>46026.0</v>
      </c>
      <c r="H1329" s="4">
        <v>46121.0</v>
      </c>
      <c r="I1329" s="3" t="s">
        <v>3385</v>
      </c>
      <c r="J1329" s="3" t="s">
        <v>1363</v>
      </c>
      <c r="K1329" s="3" t="s">
        <v>3386</v>
      </c>
      <c r="L1329" s="3">
        <v>0.599</v>
      </c>
      <c r="M1329" s="3">
        <v>14975.0</v>
      </c>
      <c r="N1329" s="3">
        <v>3.0</v>
      </c>
      <c r="O1329" s="3">
        <v>485866.0</v>
      </c>
      <c r="P1329" s="3" t="s">
        <v>3387</v>
      </c>
      <c r="Q1329" s="3">
        <v>1294722.0</v>
      </c>
      <c r="R1329" s="3"/>
      <c r="S1329" s="3">
        <v>11980.0</v>
      </c>
      <c r="T1329" s="3" t="s">
        <v>37</v>
      </c>
      <c r="U1329" s="3">
        <v>11980.0</v>
      </c>
      <c r="V1329" s="5">
        <f>(DATE(2026,2,3)-'RICE_Insured Farms_with PPI Pol'!$G1329)+IF('RICE_Insured Farms_with PPI Pol'!$H1329&lt;&gt;'RICE_Insured Farms_with PPI Pol'!$G1329,18,0)</f>
        <v>48</v>
      </c>
      <c r="W1329" s="3" t="str">
        <f t="array" ref="W1329">IFS(V1329&gt;120, "Harvested", V1329&gt;=113, "Yellow Ripening", V1329&gt;=101, "Dough Stage", V1329&gt;=93, "Milking Stage", V1329&gt;=86, "Flowering", V1329&gt;=56, "Panicle Initiation/Booting", V1329&lt;56, "Vegetative/Tillering")</f>
        <v>Vegetative/Tillering</v>
      </c>
    </row>
    <row r="1330" ht="15.75" hidden="1" customHeight="1">
      <c r="A1330" s="3">
        <v>1329.0</v>
      </c>
      <c r="B1330" s="3" t="s">
        <v>23</v>
      </c>
      <c r="C1330" s="3" t="s">
        <v>121</v>
      </c>
      <c r="D1330" s="3" t="s">
        <v>399</v>
      </c>
      <c r="E1330" s="3" t="s">
        <v>849</v>
      </c>
      <c r="F1330" s="3">
        <v>1739692.0</v>
      </c>
      <c r="G1330" s="4">
        <v>46016.0</v>
      </c>
      <c r="H1330" s="4">
        <v>46136.0</v>
      </c>
      <c r="I1330" s="3" t="s">
        <v>3388</v>
      </c>
      <c r="J1330" s="3" t="s">
        <v>1171</v>
      </c>
      <c r="K1330" s="3" t="s">
        <v>3389</v>
      </c>
      <c r="L1330" s="3">
        <v>1.5</v>
      </c>
      <c r="M1330" s="3">
        <v>37500.0</v>
      </c>
      <c r="N1330" s="3">
        <v>2.0</v>
      </c>
      <c r="O1330" s="3">
        <v>437524.0</v>
      </c>
      <c r="P1330" s="3" t="s">
        <v>3390</v>
      </c>
      <c r="Q1330" s="3">
        <v>1194971.0</v>
      </c>
      <c r="R1330" s="3"/>
      <c r="S1330" s="3">
        <v>26250.0</v>
      </c>
      <c r="T1330" s="3" t="s">
        <v>31</v>
      </c>
      <c r="U1330" s="3">
        <v>26250.0</v>
      </c>
      <c r="V1330" s="5">
        <f>(DATE(2026,2,3)-'RICE_Insured Farms_with PPI Pol'!$G1330)+IF('RICE_Insured Farms_with PPI Pol'!$H1330&lt;&gt;'RICE_Insured Farms_with PPI Pol'!$G1330,18,0)</f>
        <v>58</v>
      </c>
      <c r="W1330" s="3" t="str">
        <f t="array" ref="W1330">IFS(V1330&gt;120, "Harvested", V1330&gt;=113, "Yellow Ripening", V1330&gt;=101, "Dough Stage", V1330&gt;=93, "Milking Stage", V1330&gt;=86, "Flowering", V1330&gt;=56, "Panicle Initiation/Booting", V1330&lt;56, "Vegetative/Tillering")</f>
        <v>Panicle Initiation/Booting</v>
      </c>
    </row>
    <row r="1331" ht="15.75" hidden="1" customHeight="1">
      <c r="A1331" s="3">
        <v>1330.0</v>
      </c>
      <c r="B1331" s="3" t="s">
        <v>23</v>
      </c>
      <c r="C1331" s="3" t="s">
        <v>68</v>
      </c>
      <c r="D1331" s="3" t="s">
        <v>289</v>
      </c>
      <c r="E1331" s="3" t="s">
        <v>290</v>
      </c>
      <c r="F1331" s="3">
        <v>1760036.0</v>
      </c>
      <c r="G1331" s="4">
        <v>46032.0</v>
      </c>
      <c r="H1331" s="4">
        <v>46134.0</v>
      </c>
      <c r="I1331" s="3" t="s">
        <v>1047</v>
      </c>
      <c r="J1331" s="3" t="s">
        <v>1644</v>
      </c>
      <c r="K1331" s="3" t="s">
        <v>1860</v>
      </c>
      <c r="L1331" s="3">
        <v>2.0292</v>
      </c>
      <c r="M1331" s="3">
        <v>50730.0</v>
      </c>
      <c r="N1331" s="3">
        <v>2.0</v>
      </c>
      <c r="O1331" s="3">
        <v>6501.0</v>
      </c>
      <c r="P1331" s="3" t="s">
        <v>3391</v>
      </c>
      <c r="Q1331" s="3">
        <v>1147465.0</v>
      </c>
      <c r="R1331" s="3"/>
      <c r="S1331" s="3">
        <v>35511.0</v>
      </c>
      <c r="T1331" s="3" t="s">
        <v>31</v>
      </c>
      <c r="U1331" s="3">
        <v>35511.0</v>
      </c>
      <c r="V1331" s="5">
        <f>(DATE(2026,2,3)-'RICE_Insured Farms_with PPI Pol'!$G1331)+IF('RICE_Insured Farms_with PPI Pol'!$H1331&lt;&gt;'RICE_Insured Farms_with PPI Pol'!$G1331,18,0)</f>
        <v>42</v>
      </c>
      <c r="W1331" s="3" t="str">
        <f t="array" ref="W1331">IFS(V1331&gt;120, "Harvested", V1331&gt;=113, "Yellow Ripening", V1331&gt;=101, "Dough Stage", V1331&gt;=93, "Milking Stage", V1331&gt;=86, "Flowering", V1331&gt;=56, "Panicle Initiation/Booting", V1331&lt;56, "Vegetative/Tillering")</f>
        <v>Vegetative/Tillering</v>
      </c>
    </row>
    <row r="1332" ht="15.75" hidden="1" customHeight="1">
      <c r="A1332" s="3">
        <v>1331.0</v>
      </c>
      <c r="B1332" s="3" t="s">
        <v>23</v>
      </c>
      <c r="C1332" s="3" t="s">
        <v>68</v>
      </c>
      <c r="D1332" s="3" t="s">
        <v>289</v>
      </c>
      <c r="E1332" s="3" t="s">
        <v>290</v>
      </c>
      <c r="F1332" s="3">
        <v>1760035.0</v>
      </c>
      <c r="G1332" s="4">
        <v>46026.0</v>
      </c>
      <c r="H1332" s="4">
        <v>46128.0</v>
      </c>
      <c r="I1332" s="3" t="s">
        <v>1047</v>
      </c>
      <c r="J1332" s="3" t="s">
        <v>3392</v>
      </c>
      <c r="K1332" s="3" t="s">
        <v>3393</v>
      </c>
      <c r="L1332" s="3">
        <v>0.8773</v>
      </c>
      <c r="M1332" s="3">
        <v>21932.5</v>
      </c>
      <c r="N1332" s="3">
        <v>2.0</v>
      </c>
      <c r="O1332" s="3">
        <v>151029.0</v>
      </c>
      <c r="P1332" s="3" t="s">
        <v>3394</v>
      </c>
      <c r="Q1332" s="3">
        <v>1283789.0</v>
      </c>
      <c r="R1332" s="3"/>
      <c r="S1332" s="3">
        <v>15352.75</v>
      </c>
      <c r="T1332" s="3" t="s">
        <v>31</v>
      </c>
      <c r="U1332" s="3">
        <v>15352.75</v>
      </c>
      <c r="V1332" s="5">
        <f>(DATE(2026,2,3)-'RICE_Insured Farms_with PPI Pol'!$G1332)+IF('RICE_Insured Farms_with PPI Pol'!$H1332&lt;&gt;'RICE_Insured Farms_with PPI Pol'!$G1332,18,0)</f>
        <v>48</v>
      </c>
      <c r="W1332" s="3" t="str">
        <f t="array" ref="W1332">IFS(V1332&gt;120, "Harvested", V1332&gt;=113, "Yellow Ripening", V1332&gt;=101, "Dough Stage", V1332&gt;=93, "Milking Stage", V1332&gt;=86, "Flowering", V1332&gt;=56, "Panicle Initiation/Booting", V1332&lt;56, "Vegetative/Tillering")</f>
        <v>Vegetative/Tillering</v>
      </c>
    </row>
    <row r="1333" ht="15.75" hidden="1" customHeight="1">
      <c r="A1333" s="3">
        <v>1332.0</v>
      </c>
      <c r="B1333" s="3" t="s">
        <v>23</v>
      </c>
      <c r="C1333" s="3" t="s">
        <v>68</v>
      </c>
      <c r="D1333" s="3" t="s">
        <v>289</v>
      </c>
      <c r="E1333" s="3" t="s">
        <v>290</v>
      </c>
      <c r="F1333" s="3">
        <v>1760035.0</v>
      </c>
      <c r="G1333" s="4">
        <v>46039.0</v>
      </c>
      <c r="H1333" s="4">
        <v>46141.0</v>
      </c>
      <c r="I1333" s="3" t="s">
        <v>1047</v>
      </c>
      <c r="J1333" s="3" t="s">
        <v>2292</v>
      </c>
      <c r="K1333" s="3" t="s">
        <v>1860</v>
      </c>
      <c r="L1333" s="3">
        <v>1.0233</v>
      </c>
      <c r="M1333" s="3">
        <v>25582.5</v>
      </c>
      <c r="N1333" s="3">
        <v>2.0</v>
      </c>
      <c r="O1333" s="3">
        <v>119567.0</v>
      </c>
      <c r="P1333" s="3" t="s">
        <v>3395</v>
      </c>
      <c r="Q1333" s="3">
        <v>1147462.0</v>
      </c>
      <c r="R1333" s="3"/>
      <c r="S1333" s="3">
        <v>17907.75</v>
      </c>
      <c r="T1333" s="3" t="s">
        <v>31</v>
      </c>
      <c r="U1333" s="3">
        <v>17907.75</v>
      </c>
      <c r="V1333" s="5">
        <f>(DATE(2026,2,3)-'RICE_Insured Farms_with PPI Pol'!$G1333)+IF('RICE_Insured Farms_with PPI Pol'!$H1333&lt;&gt;'RICE_Insured Farms_with PPI Pol'!$G1333,18,0)</f>
        <v>35</v>
      </c>
      <c r="W1333" s="3" t="str">
        <f t="array" ref="W1333">IFS(V1333&gt;120, "Harvested", V1333&gt;=113, "Yellow Ripening", V1333&gt;=101, "Dough Stage", V1333&gt;=93, "Milking Stage", V1333&gt;=86, "Flowering", V1333&gt;=56, "Panicle Initiation/Booting", V1333&lt;56, "Vegetative/Tillering")</f>
        <v>Vegetative/Tillering</v>
      </c>
    </row>
    <row r="1334" ht="15.75" hidden="1" customHeight="1">
      <c r="A1334" s="3">
        <v>1333.0</v>
      </c>
      <c r="B1334" s="3" t="s">
        <v>23</v>
      </c>
      <c r="C1334" s="3" t="s">
        <v>68</v>
      </c>
      <c r="D1334" s="3" t="s">
        <v>289</v>
      </c>
      <c r="E1334" s="3" t="s">
        <v>290</v>
      </c>
      <c r="F1334" s="3">
        <v>1760035.0</v>
      </c>
      <c r="G1334" s="4">
        <v>46039.0</v>
      </c>
      <c r="H1334" s="4">
        <v>46141.0</v>
      </c>
      <c r="I1334" s="3" t="s">
        <v>1047</v>
      </c>
      <c r="J1334" s="3" t="s">
        <v>2292</v>
      </c>
      <c r="K1334" s="3" t="s">
        <v>1860</v>
      </c>
      <c r="L1334" s="3">
        <v>0.555</v>
      </c>
      <c r="M1334" s="3">
        <v>13875.0</v>
      </c>
      <c r="N1334" s="3">
        <v>2.0</v>
      </c>
      <c r="O1334" s="3">
        <v>119567.0</v>
      </c>
      <c r="P1334" s="3" t="s">
        <v>3395</v>
      </c>
      <c r="Q1334" s="3">
        <v>1147464.0</v>
      </c>
      <c r="R1334" s="3"/>
      <c r="S1334" s="3">
        <v>9712.5</v>
      </c>
      <c r="T1334" s="3" t="s">
        <v>31</v>
      </c>
      <c r="U1334" s="3">
        <v>9712.5</v>
      </c>
      <c r="V1334" s="5">
        <f>(DATE(2026,2,3)-'RICE_Insured Farms_with PPI Pol'!$G1334)+IF('RICE_Insured Farms_with PPI Pol'!$H1334&lt;&gt;'RICE_Insured Farms_with PPI Pol'!$G1334,18,0)</f>
        <v>35</v>
      </c>
      <c r="W1334" s="3" t="str">
        <f t="array" ref="W1334">IFS(V1334&gt;120, "Harvested", V1334&gt;=113, "Yellow Ripening", V1334&gt;=101, "Dough Stage", V1334&gt;=93, "Milking Stage", V1334&gt;=86, "Flowering", V1334&gt;=56, "Panicle Initiation/Booting", V1334&lt;56, "Vegetative/Tillering")</f>
        <v>Vegetative/Tillering</v>
      </c>
    </row>
    <row r="1335" ht="15.75" hidden="1" customHeight="1">
      <c r="A1335" s="3">
        <v>1334.0</v>
      </c>
      <c r="B1335" s="3" t="s">
        <v>23</v>
      </c>
      <c r="C1335" s="3" t="s">
        <v>919</v>
      </c>
      <c r="D1335" s="3" t="s">
        <v>2558</v>
      </c>
      <c r="E1335" s="3" t="s">
        <v>3396</v>
      </c>
      <c r="F1335" s="3">
        <v>1184076.0</v>
      </c>
      <c r="G1335" s="4">
        <v>46034.0</v>
      </c>
      <c r="H1335" s="4">
        <v>46154.0</v>
      </c>
      <c r="I1335" s="3" t="s">
        <v>3397</v>
      </c>
      <c r="J1335" s="3" t="s">
        <v>3026</v>
      </c>
      <c r="K1335" s="3" t="s">
        <v>3398</v>
      </c>
      <c r="L1335" s="3">
        <v>1.0</v>
      </c>
      <c r="M1335" s="3">
        <v>25000.0</v>
      </c>
      <c r="N1335" s="3">
        <v>1.0</v>
      </c>
      <c r="O1335" s="3">
        <v>294106.0</v>
      </c>
      <c r="P1335" s="3" t="s">
        <v>3399</v>
      </c>
      <c r="Q1335" s="3">
        <v>1258973.0</v>
      </c>
      <c r="R1335" s="3"/>
      <c r="S1335" s="3">
        <v>15000.0</v>
      </c>
      <c r="T1335" s="3" t="s">
        <v>62</v>
      </c>
      <c r="U1335" s="3">
        <v>15000.0</v>
      </c>
      <c r="V1335" s="5">
        <f>(DATE(2026,2,3)-'RICE_Insured Farms_with PPI Pol'!$G1335)+IF('RICE_Insured Farms_with PPI Pol'!$H1335&lt;&gt;'RICE_Insured Farms_with PPI Pol'!$G1335,18,0)</f>
        <v>40</v>
      </c>
      <c r="W1335" s="3" t="str">
        <f t="array" ref="W1335">IFS(V1335&gt;120, "Harvested", V1335&gt;=113, "Yellow Ripening", V1335&gt;=101, "Dough Stage", V1335&gt;=93, "Milking Stage", V1335&gt;=86, "Flowering", V1335&gt;=56, "Panicle Initiation/Booting", V1335&lt;56, "Vegetative/Tillering")</f>
        <v>Vegetative/Tillering</v>
      </c>
    </row>
    <row r="1336" ht="15.75" customHeight="1">
      <c r="A1336" s="3">
        <v>1335.0</v>
      </c>
      <c r="B1336" s="3" t="s">
        <v>23</v>
      </c>
      <c r="C1336" s="3" t="s">
        <v>24</v>
      </c>
      <c r="D1336" s="3" t="s">
        <v>25</v>
      </c>
      <c r="E1336" s="3" t="s">
        <v>1164</v>
      </c>
      <c r="F1336" s="3">
        <v>1761008.0</v>
      </c>
      <c r="G1336" s="4">
        <v>46018.0</v>
      </c>
      <c r="H1336" s="4">
        <v>46112.0</v>
      </c>
      <c r="I1336" s="3" t="s">
        <v>2213</v>
      </c>
      <c r="J1336" s="3" t="s">
        <v>3400</v>
      </c>
      <c r="K1336" s="3" t="s">
        <v>3401</v>
      </c>
      <c r="L1336" s="3">
        <v>2.2755</v>
      </c>
      <c r="M1336" s="3">
        <v>56887.5</v>
      </c>
      <c r="N1336" s="3">
        <v>3.0</v>
      </c>
      <c r="O1336" s="3">
        <v>349889.0</v>
      </c>
      <c r="P1336" s="3" t="s">
        <v>3402</v>
      </c>
      <c r="Q1336" s="3">
        <v>1329143.0</v>
      </c>
      <c r="R1336" s="3"/>
      <c r="S1336" s="3">
        <v>45510.0</v>
      </c>
      <c r="T1336" s="3" t="s">
        <v>37</v>
      </c>
      <c r="U1336" s="3">
        <v>45510.0</v>
      </c>
      <c r="V1336" s="5">
        <f>(DATE(2026,2,3)-'RICE_Insured Farms_with PPI Pol'!$G1336)+IF('RICE_Insured Farms_with PPI Pol'!$H1336&lt;&gt;'RICE_Insured Farms_with PPI Pol'!$G1336,18,0)</f>
        <v>56</v>
      </c>
      <c r="W1336" s="3" t="str">
        <f t="array" ref="W1336">IFS(V1336&gt;120, "Harvested", V1336&gt;=113, "Yellow Ripening", V1336&gt;=101, "Dough Stage", V1336&gt;=93, "Milking Stage", V1336&gt;=86, "Flowering", V1336&gt;=56, "Panicle Initiation/Booting", V1336&lt;56, "Vegetative/Tillering")</f>
        <v>Panicle Initiation/Booting</v>
      </c>
    </row>
    <row r="1337" ht="15.75" hidden="1" customHeight="1">
      <c r="A1337" s="3">
        <v>1280.0</v>
      </c>
      <c r="B1337" s="3" t="s">
        <v>23</v>
      </c>
      <c r="C1337" s="3" t="s">
        <v>3300</v>
      </c>
      <c r="D1337" s="3" t="s">
        <v>3301</v>
      </c>
      <c r="E1337" s="3" t="s">
        <v>3302</v>
      </c>
      <c r="F1337" s="3">
        <v>1760120.0</v>
      </c>
      <c r="G1337" s="4">
        <v>46014.0</v>
      </c>
      <c r="H1337" s="4">
        <v>46109.0</v>
      </c>
      <c r="I1337" s="3" t="s">
        <v>3403</v>
      </c>
      <c r="J1337" s="3" t="s">
        <v>3404</v>
      </c>
      <c r="K1337" s="3" t="s">
        <v>3405</v>
      </c>
      <c r="L1337" s="3">
        <v>0.1</v>
      </c>
      <c r="M1337" s="3">
        <v>2500.0</v>
      </c>
      <c r="N1337" s="3">
        <v>4.0</v>
      </c>
      <c r="O1337" s="3">
        <v>247583.0</v>
      </c>
      <c r="P1337" s="3" t="s">
        <v>3406</v>
      </c>
      <c r="Q1337" s="3">
        <v>1024006.0</v>
      </c>
      <c r="R1337" s="3"/>
      <c r="S1337" s="3">
        <v>2000.0</v>
      </c>
      <c r="T1337" s="3" t="s">
        <v>56</v>
      </c>
      <c r="U1337" s="3">
        <v>2000.0</v>
      </c>
      <c r="V1337" s="5">
        <f>(DATE(2026,2,3)-'RICE_Insured Farms_with PPI Pol'!$G1337)+IF('RICE_Insured Farms_with PPI Pol'!$H1337&lt;&gt;'RICE_Insured Farms_with PPI Pol'!$G1337,18,0)</f>
        <v>60</v>
      </c>
      <c r="W1337" s="3" t="str">
        <f t="array" ref="W1337">IFS(V1337&gt;120, "Harvested", V1337&gt;=113, "Yellow Ripening", V1337&gt;=101, "Dough Stage", V1337&gt;=93, "Milking Stage", V1337&gt;=86, "Flowering", V1337&gt;=56, "Panicle Initiation/Booting", V1337&lt;56, "Vegetative/Tillering")</f>
        <v>Panicle Initiation/Booting</v>
      </c>
    </row>
    <row r="1338" ht="15.75" hidden="1" customHeight="1">
      <c r="A1338" s="3">
        <v>1456.0</v>
      </c>
      <c r="B1338" s="3" t="s">
        <v>23</v>
      </c>
      <c r="C1338" s="3" t="s">
        <v>3300</v>
      </c>
      <c r="D1338" s="3" t="s">
        <v>3301</v>
      </c>
      <c r="E1338" s="3" t="s">
        <v>3302</v>
      </c>
      <c r="F1338" s="3">
        <v>1760120.0</v>
      </c>
      <c r="G1338" s="4">
        <v>46015.0</v>
      </c>
      <c r="H1338" s="4">
        <v>46110.0</v>
      </c>
      <c r="I1338" s="3" t="s">
        <v>3407</v>
      </c>
      <c r="J1338" s="3" t="s">
        <v>3156</v>
      </c>
      <c r="K1338" s="3" t="s">
        <v>968</v>
      </c>
      <c r="L1338" s="3">
        <v>0.25</v>
      </c>
      <c r="M1338" s="3">
        <v>6250.0</v>
      </c>
      <c r="N1338" s="3">
        <v>4.0</v>
      </c>
      <c r="O1338" s="3">
        <v>219733.0</v>
      </c>
      <c r="P1338" s="3" t="s">
        <v>3408</v>
      </c>
      <c r="Q1338" s="3">
        <v>1024040.0</v>
      </c>
      <c r="R1338" s="3"/>
      <c r="S1338" s="3">
        <v>5000.0</v>
      </c>
      <c r="T1338" s="3" t="s">
        <v>56</v>
      </c>
      <c r="U1338" s="3">
        <v>5000.0</v>
      </c>
      <c r="V1338" s="5">
        <f>(DATE(2026,2,3)-'RICE_Insured Farms_with PPI Pol'!$G1338)+IF('RICE_Insured Farms_with PPI Pol'!$H1338&lt;&gt;'RICE_Insured Farms_with PPI Pol'!$G1338,18,0)</f>
        <v>59</v>
      </c>
      <c r="W1338" s="3" t="str">
        <f t="array" ref="W1338">IFS(V1338&gt;120, "Harvested", V1338&gt;=113, "Yellow Ripening", V1338&gt;=101, "Dough Stage", V1338&gt;=93, "Milking Stage", V1338&gt;=86, "Flowering", V1338&gt;=56, "Panicle Initiation/Booting", V1338&lt;56, "Vegetative/Tillering")</f>
        <v>Panicle Initiation/Booting</v>
      </c>
    </row>
    <row r="1339" ht="15.75" hidden="1" customHeight="1">
      <c r="A1339" s="3">
        <v>45.0</v>
      </c>
      <c r="B1339" s="3" t="s">
        <v>756</v>
      </c>
      <c r="C1339" s="3" t="s">
        <v>919</v>
      </c>
      <c r="D1339" s="3" t="s">
        <v>1615</v>
      </c>
      <c r="E1339" s="3" t="s">
        <v>3409</v>
      </c>
      <c r="F1339" s="3">
        <v>1760808.0</v>
      </c>
      <c r="G1339" s="4">
        <v>46009.0</v>
      </c>
      <c r="H1339" s="4">
        <v>46104.0</v>
      </c>
      <c r="I1339" s="3" t="s">
        <v>3410</v>
      </c>
      <c r="J1339" s="3" t="s">
        <v>1162</v>
      </c>
      <c r="K1339" s="3" t="s">
        <v>3411</v>
      </c>
      <c r="L1339" s="3">
        <v>1.1253</v>
      </c>
      <c r="M1339" s="3">
        <v>50000.0</v>
      </c>
      <c r="N1339" s="3">
        <v>4.0</v>
      </c>
      <c r="O1339" s="3">
        <v>34684.0</v>
      </c>
      <c r="P1339" s="3"/>
      <c r="Q1339" s="3">
        <v>149303.0</v>
      </c>
      <c r="R1339" s="3"/>
      <c r="S1339" s="3">
        <v>40000.0</v>
      </c>
      <c r="T1339" s="3" t="s">
        <v>56</v>
      </c>
      <c r="U1339" s="3">
        <v>40000.0</v>
      </c>
      <c r="V1339" s="5">
        <f>(DATE(2026,2,3)-'RICE_Insured Farms_with PPI Pol'!$G1339)+IF('RICE_Insured Farms_with PPI Pol'!$H1339&lt;&gt;'RICE_Insured Farms_with PPI Pol'!$G1339,18,0)</f>
        <v>65</v>
      </c>
      <c r="W1339" s="3" t="str">
        <f t="array" ref="W1339">IFS(V1339&gt;120, "Harvested", V1339&gt;=113, "Yellow Ripening", V1339&gt;=101, "Dough Stage", V1339&gt;=93, "Milking Stage", V1339&gt;=86, "Flowering", V1339&gt;=56, "Panicle Initiation/Booting", V1339&lt;56, "Vegetative/Tillering")</f>
        <v>Panicle Initiation/Booting</v>
      </c>
    </row>
    <row r="1340" ht="15.75" hidden="1" customHeight="1">
      <c r="A1340" s="3">
        <v>741.0</v>
      </c>
      <c r="B1340" s="3" t="s">
        <v>756</v>
      </c>
      <c r="C1340" s="3" t="s">
        <v>919</v>
      </c>
      <c r="D1340" s="3" t="s">
        <v>1615</v>
      </c>
      <c r="E1340" s="3" t="s">
        <v>3412</v>
      </c>
      <c r="F1340" s="3">
        <v>1760812.0</v>
      </c>
      <c r="G1340" s="4">
        <v>46009.0</v>
      </c>
      <c r="H1340" s="4">
        <v>46104.0</v>
      </c>
      <c r="I1340" s="3" t="s">
        <v>3413</v>
      </c>
      <c r="J1340" s="3" t="s">
        <v>3414</v>
      </c>
      <c r="K1340" s="3" t="s">
        <v>3415</v>
      </c>
      <c r="L1340" s="3">
        <v>5.0</v>
      </c>
      <c r="M1340" s="3">
        <v>300000.0</v>
      </c>
      <c r="N1340" s="3">
        <v>4.0</v>
      </c>
      <c r="O1340" s="3">
        <v>60834.0</v>
      </c>
      <c r="P1340" s="3" t="s">
        <v>3416</v>
      </c>
      <c r="Q1340" s="3">
        <v>1027642.0</v>
      </c>
      <c r="R1340" s="3"/>
      <c r="S1340" s="3">
        <v>240000.0</v>
      </c>
      <c r="T1340" s="3" t="s">
        <v>56</v>
      </c>
      <c r="U1340" s="3">
        <v>240000.0</v>
      </c>
      <c r="V1340" s="5">
        <f>(DATE(2026,2,3)-'RICE_Insured Farms_with PPI Pol'!$G1340)+IF('RICE_Insured Farms_with PPI Pol'!$H1340&lt;&gt;'RICE_Insured Farms_with PPI Pol'!$G1340,18,0)</f>
        <v>65</v>
      </c>
      <c r="W1340" s="3" t="str">
        <f t="array" ref="W1340">IFS(V1340&gt;120, "Harvested", V1340&gt;=113, "Yellow Ripening", V1340&gt;=101, "Dough Stage", V1340&gt;=93, "Milking Stage", V1340&gt;=86, "Flowering", V1340&gt;=56, "Panicle Initiation/Booting", V1340&lt;56, "Vegetative/Tillering")</f>
        <v>Panicle Initiation/Booting</v>
      </c>
    </row>
    <row r="1341" ht="15.75" hidden="1" customHeight="1">
      <c r="A1341" s="3">
        <v>853.0</v>
      </c>
      <c r="B1341" s="3" t="s">
        <v>756</v>
      </c>
      <c r="C1341" s="3" t="s">
        <v>919</v>
      </c>
      <c r="D1341" s="3" t="s">
        <v>1615</v>
      </c>
      <c r="E1341" s="3" t="s">
        <v>3412</v>
      </c>
      <c r="F1341" s="3">
        <v>1760815.0</v>
      </c>
      <c r="G1341" s="4">
        <v>45986.0</v>
      </c>
      <c r="H1341" s="4">
        <v>46081.0</v>
      </c>
      <c r="I1341" s="3" t="s">
        <v>3417</v>
      </c>
      <c r="J1341" s="3" t="s">
        <v>1461</v>
      </c>
      <c r="K1341" s="3" t="s">
        <v>3418</v>
      </c>
      <c r="L1341" s="3">
        <v>1.0</v>
      </c>
      <c r="M1341" s="3">
        <v>60000.0</v>
      </c>
      <c r="N1341" s="3">
        <v>7.0</v>
      </c>
      <c r="O1341" s="3">
        <v>8018.0</v>
      </c>
      <c r="P1341" s="3"/>
      <c r="Q1341" s="3">
        <v>1226376.0</v>
      </c>
      <c r="R1341" s="3"/>
      <c r="S1341" s="3">
        <v>60000.0</v>
      </c>
      <c r="T1341" s="3" t="s">
        <v>3419</v>
      </c>
      <c r="U1341" s="3">
        <v>60000.0</v>
      </c>
      <c r="V1341" s="5">
        <f>(DATE(2026,2,3)-'RICE_Insured Farms_with PPI Pol'!$G1341)+IF('RICE_Insured Farms_with PPI Pol'!$H1341&lt;&gt;'RICE_Insured Farms_with PPI Pol'!$G1341,18,0)</f>
        <v>88</v>
      </c>
      <c r="W1341" s="3" t="str">
        <f t="array" ref="W1341">IFS(V1341&gt;120, "Harvested", V1341&gt;=113, "Yellow Ripening", V1341&gt;=101, "Dough Stage", V1341&gt;=93, "Milking Stage", V1341&gt;=86, "Flowering", V1341&gt;=56, "Panicle Initiation/Booting", V1341&lt;56, "Vegetative/Tillering")</f>
        <v>Flowering</v>
      </c>
    </row>
    <row r="1342" ht="15.75" hidden="1" customHeight="1">
      <c r="A1342" s="3">
        <v>1341.0</v>
      </c>
      <c r="B1342" s="3" t="s">
        <v>23</v>
      </c>
      <c r="C1342" s="3" t="s">
        <v>1453</v>
      </c>
      <c r="D1342" s="3" t="s">
        <v>1454</v>
      </c>
      <c r="E1342" s="3" t="s">
        <v>1246</v>
      </c>
      <c r="F1342" s="3">
        <v>1742043.0</v>
      </c>
      <c r="G1342" s="4">
        <v>46032.0</v>
      </c>
      <c r="H1342" s="4">
        <v>46134.0</v>
      </c>
      <c r="I1342" s="3" t="s">
        <v>3032</v>
      </c>
      <c r="J1342" s="3" t="s">
        <v>3420</v>
      </c>
      <c r="K1342" s="3" t="s">
        <v>2575</v>
      </c>
      <c r="L1342" s="3">
        <v>0.4677</v>
      </c>
      <c r="M1342" s="3">
        <v>11692.5</v>
      </c>
      <c r="N1342" s="3">
        <v>2.0</v>
      </c>
      <c r="O1342" s="3">
        <v>459651.0</v>
      </c>
      <c r="P1342" s="3" t="s">
        <v>3421</v>
      </c>
      <c r="Q1342" s="3">
        <v>1317633.0</v>
      </c>
      <c r="R1342" s="3"/>
      <c r="S1342" s="3">
        <v>8184.75</v>
      </c>
      <c r="T1342" s="3" t="s">
        <v>31</v>
      </c>
      <c r="U1342" s="3">
        <v>8184.75</v>
      </c>
      <c r="V1342" s="5">
        <f>(DATE(2026,2,3)-'RICE_Insured Farms_with PPI Pol'!$G1342)+IF('RICE_Insured Farms_with PPI Pol'!$H1342&lt;&gt;'RICE_Insured Farms_with PPI Pol'!$G1342,18,0)</f>
        <v>42</v>
      </c>
      <c r="W1342" s="3" t="str">
        <f t="array" ref="W1342">IFS(V1342&gt;120, "Harvested", V1342&gt;=113, "Yellow Ripening", V1342&gt;=101, "Dough Stage", V1342&gt;=93, "Milking Stage", V1342&gt;=86, "Flowering", V1342&gt;=56, "Panicle Initiation/Booting", V1342&lt;56, "Vegetative/Tillering")</f>
        <v>Vegetative/Tillering</v>
      </c>
    </row>
    <row r="1343" ht="15.75" hidden="1" customHeight="1">
      <c r="A1343" s="3">
        <v>1342.0</v>
      </c>
      <c r="B1343" s="3" t="s">
        <v>23</v>
      </c>
      <c r="C1343" s="3" t="s">
        <v>68</v>
      </c>
      <c r="D1343" s="3" t="s">
        <v>289</v>
      </c>
      <c r="E1343" s="3" t="s">
        <v>290</v>
      </c>
      <c r="F1343" s="3">
        <v>1760041.0</v>
      </c>
      <c r="G1343" s="4">
        <v>46034.0</v>
      </c>
      <c r="H1343" s="4">
        <v>46136.0</v>
      </c>
      <c r="I1343" s="3" t="s">
        <v>3032</v>
      </c>
      <c r="J1343" s="3" t="s">
        <v>3422</v>
      </c>
      <c r="K1343" s="3" t="s">
        <v>3423</v>
      </c>
      <c r="L1343" s="3">
        <v>0.4847</v>
      </c>
      <c r="M1343" s="3">
        <v>12117.5</v>
      </c>
      <c r="N1343" s="3">
        <v>2.0</v>
      </c>
      <c r="O1343" s="3">
        <v>315263.0</v>
      </c>
      <c r="P1343" s="3" t="s">
        <v>3424</v>
      </c>
      <c r="Q1343" s="3">
        <v>1143610.0</v>
      </c>
      <c r="R1343" s="3"/>
      <c r="S1343" s="3">
        <v>8482.25</v>
      </c>
      <c r="T1343" s="3" t="s">
        <v>31</v>
      </c>
      <c r="U1343" s="3">
        <v>8482.25</v>
      </c>
      <c r="V1343" s="5">
        <f>(DATE(2026,2,3)-'RICE_Insured Farms_with PPI Pol'!$G1343)+IF('RICE_Insured Farms_with PPI Pol'!$H1343&lt;&gt;'RICE_Insured Farms_with PPI Pol'!$G1343,18,0)</f>
        <v>40</v>
      </c>
      <c r="W1343" s="3" t="str">
        <f t="array" ref="W1343">IFS(V1343&gt;120, "Harvested", V1343&gt;=113, "Yellow Ripening", V1343&gt;=101, "Dough Stage", V1343&gt;=93, "Milking Stage", V1343&gt;=86, "Flowering", V1343&gt;=56, "Panicle Initiation/Booting", V1343&lt;56, "Vegetative/Tillering")</f>
        <v>Vegetative/Tillering</v>
      </c>
    </row>
    <row r="1344" ht="15.75" hidden="1" customHeight="1">
      <c r="A1344" s="3">
        <v>1343.0</v>
      </c>
      <c r="B1344" s="3" t="s">
        <v>23</v>
      </c>
      <c r="C1344" s="3" t="s">
        <v>68</v>
      </c>
      <c r="D1344" s="3" t="s">
        <v>289</v>
      </c>
      <c r="E1344" s="3" t="s">
        <v>290</v>
      </c>
      <c r="F1344" s="3">
        <v>1760041.0</v>
      </c>
      <c r="G1344" s="4">
        <v>46034.0</v>
      </c>
      <c r="H1344" s="4">
        <v>46136.0</v>
      </c>
      <c r="I1344" s="3" t="s">
        <v>3032</v>
      </c>
      <c r="J1344" s="3" t="s">
        <v>3425</v>
      </c>
      <c r="K1344" s="3" t="s">
        <v>3423</v>
      </c>
      <c r="L1344" s="3">
        <v>1.0559</v>
      </c>
      <c r="M1344" s="3">
        <v>26397.5</v>
      </c>
      <c r="N1344" s="3">
        <v>2.0</v>
      </c>
      <c r="O1344" s="3">
        <v>192751.0</v>
      </c>
      <c r="P1344" s="3" t="s">
        <v>3426</v>
      </c>
      <c r="Q1344" s="3">
        <v>973022.0</v>
      </c>
      <c r="R1344" s="3"/>
      <c r="S1344" s="3">
        <v>18478.25</v>
      </c>
      <c r="T1344" s="3" t="s">
        <v>31</v>
      </c>
      <c r="U1344" s="3">
        <v>18478.25</v>
      </c>
      <c r="V1344" s="5">
        <f>(DATE(2026,2,3)-'RICE_Insured Farms_with PPI Pol'!$G1344)+IF('RICE_Insured Farms_with PPI Pol'!$H1344&lt;&gt;'RICE_Insured Farms_with PPI Pol'!$G1344,18,0)</f>
        <v>40</v>
      </c>
      <c r="W1344" s="3" t="str">
        <f t="array" ref="W1344">IFS(V1344&gt;120, "Harvested", V1344&gt;=113, "Yellow Ripening", V1344&gt;=101, "Dough Stage", V1344&gt;=93, "Milking Stage", V1344&gt;=86, "Flowering", V1344&gt;=56, "Panicle Initiation/Booting", V1344&lt;56, "Vegetative/Tillering")</f>
        <v>Vegetative/Tillering</v>
      </c>
    </row>
    <row r="1345" ht="15.75" hidden="1" customHeight="1">
      <c r="A1345" s="3">
        <v>963.0</v>
      </c>
      <c r="B1345" s="3" t="s">
        <v>756</v>
      </c>
      <c r="C1345" s="3" t="s">
        <v>919</v>
      </c>
      <c r="D1345" s="3" t="s">
        <v>1615</v>
      </c>
      <c r="E1345" s="3" t="s">
        <v>1616</v>
      </c>
      <c r="F1345" s="3">
        <v>1760802.0</v>
      </c>
      <c r="G1345" s="4">
        <v>45995.0</v>
      </c>
      <c r="H1345" s="4">
        <v>46090.0</v>
      </c>
      <c r="I1345" s="3" t="s">
        <v>3427</v>
      </c>
      <c r="J1345" s="3" t="s">
        <v>1014</v>
      </c>
      <c r="K1345" s="3" t="s">
        <v>3428</v>
      </c>
      <c r="L1345" s="3">
        <v>1.1352</v>
      </c>
      <c r="M1345" s="3">
        <v>88545.6</v>
      </c>
      <c r="N1345" s="3">
        <v>6.0</v>
      </c>
      <c r="O1345" s="3">
        <v>193732.0</v>
      </c>
      <c r="P1345" s="3"/>
      <c r="Q1345" s="3">
        <v>1035696.0</v>
      </c>
      <c r="R1345" s="3"/>
      <c r="S1345" s="3">
        <v>79691.04</v>
      </c>
      <c r="T1345" s="3" t="s">
        <v>2930</v>
      </c>
      <c r="U1345" s="3">
        <v>79691.04</v>
      </c>
      <c r="V1345" s="5">
        <f>(DATE(2026,2,3)-'RICE_Insured Farms_with PPI Pol'!$G1345)+IF('RICE_Insured Farms_with PPI Pol'!$H1345&lt;&gt;'RICE_Insured Farms_with PPI Pol'!$G1345,18,0)</f>
        <v>79</v>
      </c>
      <c r="W1345" s="3" t="str">
        <f t="array" ref="W1345">IFS(V1345&gt;120, "Harvested", V1345&gt;=113, "Yellow Ripening", V1345&gt;=101, "Dough Stage", V1345&gt;=93, "Milking Stage", V1345&gt;=86, "Flowering", V1345&gt;=56, "Panicle Initiation/Booting", V1345&lt;56, "Vegetative/Tillering")</f>
        <v>Panicle Initiation/Booting</v>
      </c>
    </row>
    <row r="1346" ht="15.75" hidden="1" customHeight="1">
      <c r="A1346" s="3">
        <v>1345.0</v>
      </c>
      <c r="B1346" s="3" t="s">
        <v>23</v>
      </c>
      <c r="C1346" s="3" t="s">
        <v>68</v>
      </c>
      <c r="D1346" s="3" t="s">
        <v>289</v>
      </c>
      <c r="E1346" s="3" t="s">
        <v>848</v>
      </c>
      <c r="F1346" s="3">
        <v>1760003.0</v>
      </c>
      <c r="G1346" s="4">
        <v>46032.0</v>
      </c>
      <c r="H1346" s="4">
        <v>46134.0</v>
      </c>
      <c r="I1346" s="3" t="s">
        <v>3429</v>
      </c>
      <c r="J1346" s="3" t="s">
        <v>3430</v>
      </c>
      <c r="K1346" s="3" t="s">
        <v>458</v>
      </c>
      <c r="L1346" s="3">
        <v>0.5523</v>
      </c>
      <c r="M1346" s="3">
        <v>13807.5</v>
      </c>
      <c r="N1346" s="3">
        <v>2.0</v>
      </c>
      <c r="O1346" s="3">
        <v>469451.0</v>
      </c>
      <c r="P1346" s="3" t="s">
        <v>3431</v>
      </c>
      <c r="Q1346" s="3">
        <v>1283880.0</v>
      </c>
      <c r="R1346" s="3"/>
      <c r="S1346" s="3">
        <v>9665.25</v>
      </c>
      <c r="T1346" s="3" t="s">
        <v>31</v>
      </c>
      <c r="U1346" s="3">
        <v>9665.25</v>
      </c>
      <c r="V1346" s="5">
        <f>(DATE(2026,2,3)-'RICE_Insured Farms_with PPI Pol'!$G1346)+IF('RICE_Insured Farms_with PPI Pol'!$H1346&lt;&gt;'RICE_Insured Farms_with PPI Pol'!$G1346,18,0)</f>
        <v>42</v>
      </c>
      <c r="W1346" s="3" t="str">
        <f t="array" ref="W1346">IFS(V1346&gt;120, "Harvested", V1346&gt;=113, "Yellow Ripening", V1346&gt;=101, "Dough Stage", V1346&gt;=93, "Milking Stage", V1346&gt;=86, "Flowering", V1346&gt;=56, "Panicle Initiation/Booting", V1346&lt;56, "Vegetative/Tillering")</f>
        <v>Vegetative/Tillering</v>
      </c>
    </row>
    <row r="1347" ht="15.75" hidden="1" customHeight="1">
      <c r="A1347" s="3">
        <v>1346.0</v>
      </c>
      <c r="B1347" s="3" t="s">
        <v>23</v>
      </c>
      <c r="C1347" s="3" t="s">
        <v>1453</v>
      </c>
      <c r="D1347" s="3" t="s">
        <v>1454</v>
      </c>
      <c r="E1347" s="3" t="s">
        <v>1455</v>
      </c>
      <c r="F1347" s="3">
        <v>1742045.0</v>
      </c>
      <c r="G1347" s="4">
        <v>46039.0</v>
      </c>
      <c r="H1347" s="4">
        <v>46141.0</v>
      </c>
      <c r="I1347" s="3" t="s">
        <v>3324</v>
      </c>
      <c r="J1347" s="3" t="s">
        <v>3432</v>
      </c>
      <c r="K1347" s="3" t="s">
        <v>3433</v>
      </c>
      <c r="L1347" s="3">
        <v>0.25</v>
      </c>
      <c r="M1347" s="3">
        <v>6250.0</v>
      </c>
      <c r="N1347" s="3">
        <v>2.0</v>
      </c>
      <c r="O1347" s="3">
        <v>478071.0</v>
      </c>
      <c r="P1347" s="3" t="s">
        <v>3434</v>
      </c>
      <c r="Q1347" s="3">
        <v>1318684.0</v>
      </c>
      <c r="R1347" s="3"/>
      <c r="S1347" s="3">
        <v>4375.0</v>
      </c>
      <c r="T1347" s="3" t="s">
        <v>31</v>
      </c>
      <c r="U1347" s="3">
        <v>4375.0</v>
      </c>
      <c r="V1347" s="5">
        <f>(DATE(2026,2,3)-'RICE_Insured Farms_with PPI Pol'!$G1347)+IF('RICE_Insured Farms_with PPI Pol'!$H1347&lt;&gt;'RICE_Insured Farms_with PPI Pol'!$G1347,18,0)</f>
        <v>35</v>
      </c>
      <c r="W1347" s="3" t="str">
        <f t="array" ref="W1347">IFS(V1347&gt;120, "Harvested", V1347&gt;=113, "Yellow Ripening", V1347&gt;=101, "Dough Stage", V1347&gt;=93, "Milking Stage", V1347&gt;=86, "Flowering", V1347&gt;=56, "Panicle Initiation/Booting", V1347&lt;56, "Vegetative/Tillering")</f>
        <v>Vegetative/Tillering</v>
      </c>
    </row>
    <row r="1348" ht="15.75" customHeight="1">
      <c r="A1348" s="3">
        <v>1347.0</v>
      </c>
      <c r="B1348" s="3" t="s">
        <v>23</v>
      </c>
      <c r="C1348" s="3" t="s">
        <v>1453</v>
      </c>
      <c r="D1348" s="3" t="s">
        <v>1454</v>
      </c>
      <c r="E1348" s="3" t="s">
        <v>1455</v>
      </c>
      <c r="F1348" s="3">
        <v>1742045.0</v>
      </c>
      <c r="G1348" s="4">
        <v>46019.0</v>
      </c>
      <c r="H1348" s="4">
        <v>46121.0</v>
      </c>
      <c r="I1348" s="3" t="s">
        <v>3324</v>
      </c>
      <c r="J1348" s="3" t="s">
        <v>3435</v>
      </c>
      <c r="K1348" s="3" t="s">
        <v>1639</v>
      </c>
      <c r="L1348" s="3">
        <v>0.7518</v>
      </c>
      <c r="M1348" s="3">
        <v>18795.0</v>
      </c>
      <c r="N1348" s="3">
        <v>3.0</v>
      </c>
      <c r="O1348" s="3">
        <v>17023.0</v>
      </c>
      <c r="P1348" s="3" t="s">
        <v>3436</v>
      </c>
      <c r="Q1348" s="3">
        <v>1318500.0</v>
      </c>
      <c r="R1348" s="3"/>
      <c r="S1348" s="3">
        <v>15036.0</v>
      </c>
      <c r="T1348" s="3" t="s">
        <v>37</v>
      </c>
      <c r="U1348" s="3">
        <v>15036.0</v>
      </c>
      <c r="V1348" s="5">
        <f>(DATE(2026,2,3)-'RICE_Insured Farms_with PPI Pol'!$G1348)+IF('RICE_Insured Farms_with PPI Pol'!$H1348&lt;&gt;'RICE_Insured Farms_with PPI Pol'!$G1348,18,0)</f>
        <v>55</v>
      </c>
      <c r="W1348" s="3" t="str">
        <f t="array" ref="W1348">IFS(V1348&gt;120, "Harvested", V1348&gt;=113, "Yellow Ripening", V1348&gt;=101, "Dough Stage", V1348&gt;=93, "Milking Stage", V1348&gt;=86, "Flowering", V1348&gt;=56, "Panicle Initiation/Booting", V1348&lt;56, "Vegetative/Tillering")</f>
        <v>Vegetative/Tillering</v>
      </c>
    </row>
    <row r="1349" ht="15.75" customHeight="1">
      <c r="A1349" s="3">
        <v>1348.0</v>
      </c>
      <c r="B1349" s="3" t="s">
        <v>23</v>
      </c>
      <c r="C1349" s="3" t="s">
        <v>1453</v>
      </c>
      <c r="D1349" s="3" t="s">
        <v>1454</v>
      </c>
      <c r="E1349" s="3" t="s">
        <v>1455</v>
      </c>
      <c r="F1349" s="3">
        <v>1742045.0</v>
      </c>
      <c r="G1349" s="4">
        <v>46019.0</v>
      </c>
      <c r="H1349" s="4">
        <v>46121.0</v>
      </c>
      <c r="I1349" s="3" t="s">
        <v>3324</v>
      </c>
      <c r="J1349" s="3" t="s">
        <v>3435</v>
      </c>
      <c r="K1349" s="3" t="s">
        <v>1639</v>
      </c>
      <c r="L1349" s="3">
        <v>0.1591</v>
      </c>
      <c r="M1349" s="3">
        <v>3977.5</v>
      </c>
      <c r="N1349" s="3">
        <v>3.0</v>
      </c>
      <c r="O1349" s="3">
        <v>17023.0</v>
      </c>
      <c r="P1349" s="3" t="s">
        <v>3436</v>
      </c>
      <c r="Q1349" s="3">
        <v>1318503.0</v>
      </c>
      <c r="R1349" s="3"/>
      <c r="S1349" s="3">
        <v>3182.0</v>
      </c>
      <c r="T1349" s="3" t="s">
        <v>37</v>
      </c>
      <c r="U1349" s="3">
        <v>3182.0</v>
      </c>
      <c r="V1349" s="5">
        <f>(DATE(2026,2,3)-'RICE_Insured Farms_with PPI Pol'!$G1349)+IF('RICE_Insured Farms_with PPI Pol'!$H1349&lt;&gt;'RICE_Insured Farms_with PPI Pol'!$G1349,18,0)</f>
        <v>55</v>
      </c>
      <c r="W1349" s="3" t="str">
        <f t="array" ref="W1349">IFS(V1349&gt;120, "Harvested", V1349&gt;=113, "Yellow Ripening", V1349&gt;=101, "Dough Stage", V1349&gt;=93, "Milking Stage", V1349&gt;=86, "Flowering", V1349&gt;=56, "Panicle Initiation/Booting", V1349&lt;56, "Vegetative/Tillering")</f>
        <v>Vegetative/Tillering</v>
      </c>
    </row>
    <row r="1350" ht="15.75" customHeight="1">
      <c r="A1350" s="3">
        <v>1349.0</v>
      </c>
      <c r="B1350" s="3" t="s">
        <v>23</v>
      </c>
      <c r="C1350" s="3" t="s">
        <v>1453</v>
      </c>
      <c r="D1350" s="3" t="s">
        <v>1454</v>
      </c>
      <c r="E1350" s="3" t="s">
        <v>1455</v>
      </c>
      <c r="F1350" s="3">
        <v>1742045.0</v>
      </c>
      <c r="G1350" s="4">
        <v>46019.0</v>
      </c>
      <c r="H1350" s="4">
        <v>46121.0</v>
      </c>
      <c r="I1350" s="3" t="s">
        <v>3324</v>
      </c>
      <c r="J1350" s="3" t="s">
        <v>3435</v>
      </c>
      <c r="K1350" s="3" t="s">
        <v>1639</v>
      </c>
      <c r="L1350" s="3">
        <v>0.152</v>
      </c>
      <c r="M1350" s="3">
        <v>3800.0</v>
      </c>
      <c r="N1350" s="3">
        <v>3.0</v>
      </c>
      <c r="O1350" s="3">
        <v>17023.0</v>
      </c>
      <c r="P1350" s="3" t="s">
        <v>3436</v>
      </c>
      <c r="Q1350" s="3">
        <v>1318507.0</v>
      </c>
      <c r="R1350" s="3"/>
      <c r="S1350" s="3">
        <v>3040.0</v>
      </c>
      <c r="T1350" s="3" t="s">
        <v>37</v>
      </c>
      <c r="U1350" s="3">
        <v>3040.0</v>
      </c>
      <c r="V1350" s="5">
        <f>(DATE(2026,2,3)-'RICE_Insured Farms_with PPI Pol'!$G1350)+IF('RICE_Insured Farms_with PPI Pol'!$H1350&lt;&gt;'RICE_Insured Farms_with PPI Pol'!$G1350,18,0)</f>
        <v>55</v>
      </c>
      <c r="W1350" s="3" t="str">
        <f t="array" ref="W1350">IFS(V1350&gt;120, "Harvested", V1350&gt;=113, "Yellow Ripening", V1350&gt;=101, "Dough Stage", V1350&gt;=93, "Milking Stage", V1350&gt;=86, "Flowering", V1350&gt;=56, "Panicle Initiation/Booting", V1350&lt;56, "Vegetative/Tillering")</f>
        <v>Vegetative/Tillering</v>
      </c>
    </row>
    <row r="1351" ht="15.75" customHeight="1">
      <c r="A1351" s="3">
        <v>1350.0</v>
      </c>
      <c r="B1351" s="3" t="s">
        <v>23</v>
      </c>
      <c r="C1351" s="3" t="s">
        <v>1453</v>
      </c>
      <c r="D1351" s="3" t="s">
        <v>1454</v>
      </c>
      <c r="E1351" s="3" t="s">
        <v>1455</v>
      </c>
      <c r="F1351" s="3">
        <v>1742045.0</v>
      </c>
      <c r="G1351" s="4">
        <v>46021.0</v>
      </c>
      <c r="H1351" s="4">
        <v>46123.0</v>
      </c>
      <c r="I1351" s="3" t="s">
        <v>3324</v>
      </c>
      <c r="J1351" s="3" t="s">
        <v>1690</v>
      </c>
      <c r="K1351" s="3" t="s">
        <v>1154</v>
      </c>
      <c r="L1351" s="3">
        <v>0.5</v>
      </c>
      <c r="M1351" s="3">
        <v>12500.0</v>
      </c>
      <c r="N1351" s="3">
        <v>3.0</v>
      </c>
      <c r="O1351" s="3">
        <v>180947.0</v>
      </c>
      <c r="P1351" s="3" t="s">
        <v>3437</v>
      </c>
      <c r="Q1351" s="3">
        <v>1318697.0</v>
      </c>
      <c r="R1351" s="3"/>
      <c r="S1351" s="3">
        <v>10000.0</v>
      </c>
      <c r="T1351" s="3" t="s">
        <v>37</v>
      </c>
      <c r="U1351" s="3">
        <v>10000.0</v>
      </c>
      <c r="V1351" s="5">
        <f>(DATE(2026,2,3)-'RICE_Insured Farms_with PPI Pol'!$G1351)+IF('RICE_Insured Farms_with PPI Pol'!$H1351&lt;&gt;'RICE_Insured Farms_with PPI Pol'!$G1351,18,0)</f>
        <v>53</v>
      </c>
      <c r="W1351" s="3" t="str">
        <f t="array" ref="W1351">IFS(V1351&gt;120, "Harvested", V1351&gt;=113, "Yellow Ripening", V1351&gt;=101, "Dough Stage", V1351&gt;=93, "Milking Stage", V1351&gt;=86, "Flowering", V1351&gt;=56, "Panicle Initiation/Booting", V1351&lt;56, "Vegetative/Tillering")</f>
        <v>Vegetative/Tillering</v>
      </c>
    </row>
    <row r="1352" ht="15.75" hidden="1" customHeight="1">
      <c r="A1352" s="3">
        <v>1351.0</v>
      </c>
      <c r="B1352" s="3" t="s">
        <v>23</v>
      </c>
      <c r="C1352" s="3" t="s">
        <v>1453</v>
      </c>
      <c r="D1352" s="3" t="s">
        <v>1454</v>
      </c>
      <c r="E1352" s="3" t="s">
        <v>1455</v>
      </c>
      <c r="F1352" s="3">
        <v>1742042.0</v>
      </c>
      <c r="G1352" s="4">
        <v>46037.0</v>
      </c>
      <c r="H1352" s="4">
        <v>46139.0</v>
      </c>
      <c r="I1352" s="3" t="s">
        <v>3324</v>
      </c>
      <c r="J1352" s="3" t="s">
        <v>3438</v>
      </c>
      <c r="K1352" s="3" t="s">
        <v>3439</v>
      </c>
      <c r="L1352" s="3">
        <v>0.5</v>
      </c>
      <c r="M1352" s="3">
        <v>12500.0</v>
      </c>
      <c r="N1352" s="3">
        <v>2.0</v>
      </c>
      <c r="O1352" s="3">
        <v>84016.0</v>
      </c>
      <c r="P1352" s="3" t="s">
        <v>3440</v>
      </c>
      <c r="Q1352" s="3">
        <v>1318689.0</v>
      </c>
      <c r="R1352" s="3"/>
      <c r="S1352" s="3">
        <v>8750.0</v>
      </c>
      <c r="T1352" s="3" t="s">
        <v>31</v>
      </c>
      <c r="U1352" s="3">
        <v>8750.0</v>
      </c>
      <c r="V1352" s="5">
        <f>(DATE(2026,2,3)-'RICE_Insured Farms_with PPI Pol'!$G1352)+IF('RICE_Insured Farms_with PPI Pol'!$H1352&lt;&gt;'RICE_Insured Farms_with PPI Pol'!$G1352,18,0)</f>
        <v>37</v>
      </c>
      <c r="W1352" s="3" t="str">
        <f t="array" ref="W1352">IFS(V1352&gt;120, "Harvested", V1352&gt;=113, "Yellow Ripening", V1352&gt;=101, "Dough Stage", V1352&gt;=93, "Milking Stage", V1352&gt;=86, "Flowering", V1352&gt;=56, "Panicle Initiation/Booting", V1352&lt;56, "Vegetative/Tillering")</f>
        <v>Vegetative/Tillering</v>
      </c>
    </row>
    <row r="1353" ht="15.75" customHeight="1">
      <c r="A1353" s="3">
        <v>1352.0</v>
      </c>
      <c r="B1353" s="3" t="s">
        <v>23</v>
      </c>
      <c r="C1353" s="3" t="s">
        <v>1453</v>
      </c>
      <c r="D1353" s="3" t="s">
        <v>1454</v>
      </c>
      <c r="E1353" s="3" t="s">
        <v>1455</v>
      </c>
      <c r="F1353" s="3">
        <v>1742042.0</v>
      </c>
      <c r="G1353" s="4">
        <v>46024.0</v>
      </c>
      <c r="H1353" s="4">
        <v>46126.0</v>
      </c>
      <c r="I1353" s="3" t="s">
        <v>3324</v>
      </c>
      <c r="J1353" s="3" t="s">
        <v>3441</v>
      </c>
      <c r="K1353" s="3" t="s">
        <v>610</v>
      </c>
      <c r="L1353" s="3">
        <v>0.2046</v>
      </c>
      <c r="M1353" s="3">
        <v>5115.0</v>
      </c>
      <c r="N1353" s="3">
        <v>3.0</v>
      </c>
      <c r="O1353" s="3">
        <v>94236.0</v>
      </c>
      <c r="P1353" s="3" t="s">
        <v>3442</v>
      </c>
      <c r="Q1353" s="3">
        <v>1318494.0</v>
      </c>
      <c r="R1353" s="3"/>
      <c r="S1353" s="3">
        <v>4092.0</v>
      </c>
      <c r="T1353" s="3" t="s">
        <v>37</v>
      </c>
      <c r="U1353" s="3">
        <v>4092.0</v>
      </c>
      <c r="V1353" s="5">
        <f>(DATE(2026,2,3)-'RICE_Insured Farms_with PPI Pol'!$G1353)+IF('RICE_Insured Farms_with PPI Pol'!$H1353&lt;&gt;'RICE_Insured Farms_with PPI Pol'!$G1353,18,0)</f>
        <v>50</v>
      </c>
      <c r="W1353" s="3" t="str">
        <f t="array" ref="W1353">IFS(V1353&gt;120, "Harvested", V1353&gt;=113, "Yellow Ripening", V1353&gt;=101, "Dough Stage", V1353&gt;=93, "Milking Stage", V1353&gt;=86, "Flowering", V1353&gt;=56, "Panicle Initiation/Booting", V1353&lt;56, "Vegetative/Tillering")</f>
        <v>Vegetative/Tillering</v>
      </c>
    </row>
    <row r="1354" ht="15.75" customHeight="1">
      <c r="A1354" s="3">
        <v>1353.0</v>
      </c>
      <c r="B1354" s="3" t="s">
        <v>23</v>
      </c>
      <c r="C1354" s="3" t="s">
        <v>50</v>
      </c>
      <c r="D1354" s="3" t="s">
        <v>1484</v>
      </c>
      <c r="E1354" s="3" t="s">
        <v>1485</v>
      </c>
      <c r="F1354" s="3">
        <v>1741847.0</v>
      </c>
      <c r="G1354" s="4">
        <v>46025.0</v>
      </c>
      <c r="H1354" s="4">
        <v>46120.0</v>
      </c>
      <c r="I1354" s="3" t="s">
        <v>3443</v>
      </c>
      <c r="J1354" s="3" t="s">
        <v>3199</v>
      </c>
      <c r="K1354" s="3" t="s">
        <v>3444</v>
      </c>
      <c r="L1354" s="3">
        <v>0.6519</v>
      </c>
      <c r="M1354" s="3">
        <v>16297.5</v>
      </c>
      <c r="N1354" s="3">
        <v>3.0</v>
      </c>
      <c r="O1354" s="3">
        <v>453966.0</v>
      </c>
      <c r="P1354" s="3" t="s">
        <v>3445</v>
      </c>
      <c r="Q1354" s="3">
        <v>1280874.0</v>
      </c>
      <c r="R1354" s="3"/>
      <c r="S1354" s="3">
        <v>13038.0</v>
      </c>
      <c r="T1354" s="3" t="s">
        <v>37</v>
      </c>
      <c r="U1354" s="3">
        <v>13038.0</v>
      </c>
      <c r="V1354" s="5">
        <f>(DATE(2026,2,3)-'RICE_Insured Farms_with PPI Pol'!$G1354)+IF('RICE_Insured Farms_with PPI Pol'!$H1354&lt;&gt;'RICE_Insured Farms_with PPI Pol'!$G1354,18,0)</f>
        <v>49</v>
      </c>
      <c r="W1354" s="3" t="str">
        <f t="array" ref="W1354">IFS(V1354&gt;120, "Harvested", V1354&gt;=113, "Yellow Ripening", V1354&gt;=101, "Dough Stage", V1354&gt;=93, "Milking Stage", V1354&gt;=86, "Flowering", V1354&gt;=56, "Panicle Initiation/Booting", V1354&lt;56, "Vegetative/Tillering")</f>
        <v>Vegetative/Tillering</v>
      </c>
    </row>
    <row r="1355" ht="15.75" hidden="1" customHeight="1">
      <c r="A1355" s="3">
        <v>1354.0</v>
      </c>
      <c r="B1355" s="3" t="s">
        <v>23</v>
      </c>
      <c r="C1355" s="3" t="s">
        <v>1453</v>
      </c>
      <c r="D1355" s="3" t="s">
        <v>1454</v>
      </c>
      <c r="E1355" s="3" t="s">
        <v>1455</v>
      </c>
      <c r="F1355" s="3">
        <v>1742045.0</v>
      </c>
      <c r="G1355" s="4">
        <v>46025.0</v>
      </c>
      <c r="H1355" s="4">
        <v>46127.0</v>
      </c>
      <c r="I1355" s="3" t="s">
        <v>685</v>
      </c>
      <c r="J1355" s="3" t="s">
        <v>2233</v>
      </c>
      <c r="K1355" s="3" t="s">
        <v>2232</v>
      </c>
      <c r="L1355" s="3">
        <v>0.4933</v>
      </c>
      <c r="M1355" s="3">
        <v>12332.5</v>
      </c>
      <c r="N1355" s="3">
        <v>2.0</v>
      </c>
      <c r="O1355" s="3">
        <v>180937.0</v>
      </c>
      <c r="P1355" s="3"/>
      <c r="Q1355" s="3">
        <v>1318686.0</v>
      </c>
      <c r="R1355" s="3"/>
      <c r="S1355" s="3">
        <v>8632.75</v>
      </c>
      <c r="T1355" s="3" t="s">
        <v>31</v>
      </c>
      <c r="U1355" s="3">
        <v>8632.75</v>
      </c>
      <c r="V1355" s="5">
        <f>(DATE(2026,2,3)-'RICE_Insured Farms_with PPI Pol'!$G1355)+IF('RICE_Insured Farms_with PPI Pol'!$H1355&lt;&gt;'RICE_Insured Farms_with PPI Pol'!$G1355,18,0)</f>
        <v>49</v>
      </c>
      <c r="W1355" s="3" t="str">
        <f t="array" ref="W1355">IFS(V1355&gt;120, "Harvested", V1355&gt;=113, "Yellow Ripening", V1355&gt;=101, "Dough Stage", V1355&gt;=93, "Milking Stage", V1355&gt;=86, "Flowering", V1355&gt;=56, "Panicle Initiation/Booting", V1355&lt;56, "Vegetative/Tillering")</f>
        <v>Vegetative/Tillering</v>
      </c>
    </row>
    <row r="1356" ht="15.75" customHeight="1">
      <c r="A1356" s="3">
        <v>1355.0</v>
      </c>
      <c r="B1356" s="3" t="s">
        <v>23</v>
      </c>
      <c r="C1356" s="3" t="s">
        <v>68</v>
      </c>
      <c r="D1356" s="3" t="s">
        <v>289</v>
      </c>
      <c r="E1356" s="3" t="s">
        <v>685</v>
      </c>
      <c r="F1356" s="3">
        <v>1760004.0</v>
      </c>
      <c r="G1356" s="4">
        <v>46019.0</v>
      </c>
      <c r="H1356" s="4">
        <v>46121.0</v>
      </c>
      <c r="I1356" s="3" t="s">
        <v>685</v>
      </c>
      <c r="J1356" s="3" t="s">
        <v>3446</v>
      </c>
      <c r="K1356" s="3" t="s">
        <v>3447</v>
      </c>
      <c r="L1356" s="3">
        <v>0.6378</v>
      </c>
      <c r="M1356" s="3">
        <v>15945.0</v>
      </c>
      <c r="N1356" s="3">
        <v>3.0</v>
      </c>
      <c r="O1356" s="3">
        <v>417037.0</v>
      </c>
      <c r="P1356" s="3" t="s">
        <v>3448</v>
      </c>
      <c r="Q1356" s="3">
        <v>1140063.0</v>
      </c>
      <c r="R1356" s="3"/>
      <c r="S1356" s="3">
        <v>12756.0</v>
      </c>
      <c r="T1356" s="3" t="s">
        <v>37</v>
      </c>
      <c r="U1356" s="3">
        <v>12756.0</v>
      </c>
      <c r="V1356" s="5">
        <f>(DATE(2026,2,3)-'RICE_Insured Farms_with PPI Pol'!$G1356)+IF('RICE_Insured Farms_with PPI Pol'!$H1356&lt;&gt;'RICE_Insured Farms_with PPI Pol'!$G1356,18,0)</f>
        <v>55</v>
      </c>
      <c r="W1356" s="3" t="str">
        <f t="array" ref="W1356">IFS(V1356&gt;120, "Harvested", V1356&gt;=113, "Yellow Ripening", V1356&gt;=101, "Dough Stage", V1356&gt;=93, "Milking Stage", V1356&gt;=86, "Flowering", V1356&gt;=56, "Panicle Initiation/Booting", V1356&lt;56, "Vegetative/Tillering")</f>
        <v>Vegetative/Tillering</v>
      </c>
    </row>
    <row r="1357" ht="15.75" customHeight="1">
      <c r="A1357" s="3">
        <v>1356.0</v>
      </c>
      <c r="B1357" s="3" t="s">
        <v>23</v>
      </c>
      <c r="C1357" s="3" t="s">
        <v>68</v>
      </c>
      <c r="D1357" s="3" t="s">
        <v>289</v>
      </c>
      <c r="E1357" s="3" t="s">
        <v>685</v>
      </c>
      <c r="F1357" s="3">
        <v>1760005.0</v>
      </c>
      <c r="G1357" s="4">
        <v>46024.0</v>
      </c>
      <c r="H1357" s="4">
        <v>46126.0</v>
      </c>
      <c r="I1357" s="3" t="s">
        <v>685</v>
      </c>
      <c r="J1357" s="3" t="s">
        <v>933</v>
      </c>
      <c r="K1357" s="3" t="s">
        <v>3449</v>
      </c>
      <c r="L1357" s="3">
        <v>0.61</v>
      </c>
      <c r="M1357" s="3">
        <v>15250.0</v>
      </c>
      <c r="N1357" s="3">
        <v>3.0</v>
      </c>
      <c r="O1357" s="3">
        <v>84475.0</v>
      </c>
      <c r="P1357" s="3" t="s">
        <v>3450</v>
      </c>
      <c r="Q1357" s="3">
        <v>1282947.0</v>
      </c>
      <c r="R1357" s="3"/>
      <c r="S1357" s="3">
        <v>12200.0</v>
      </c>
      <c r="T1357" s="3" t="s">
        <v>37</v>
      </c>
      <c r="U1357" s="3">
        <v>12200.0</v>
      </c>
      <c r="V1357" s="5">
        <f>(DATE(2026,2,3)-'RICE_Insured Farms_with PPI Pol'!$G1357)+IF('RICE_Insured Farms_with PPI Pol'!$H1357&lt;&gt;'RICE_Insured Farms_with PPI Pol'!$G1357,18,0)</f>
        <v>50</v>
      </c>
      <c r="W1357" s="3" t="str">
        <f t="array" ref="W1357">IFS(V1357&gt;120, "Harvested", V1357&gt;=113, "Yellow Ripening", V1357&gt;=101, "Dough Stage", V1357&gt;=93, "Milking Stage", V1357&gt;=86, "Flowering", V1357&gt;=56, "Panicle Initiation/Booting", V1357&lt;56, "Vegetative/Tillering")</f>
        <v>Vegetative/Tillering</v>
      </c>
    </row>
    <row r="1358" ht="15.75" customHeight="1">
      <c r="A1358" s="3">
        <v>1357.0</v>
      </c>
      <c r="B1358" s="3" t="s">
        <v>23</v>
      </c>
      <c r="C1358" s="3" t="s">
        <v>68</v>
      </c>
      <c r="D1358" s="3" t="s">
        <v>289</v>
      </c>
      <c r="E1358" s="3" t="s">
        <v>685</v>
      </c>
      <c r="F1358" s="3">
        <v>1760004.0</v>
      </c>
      <c r="G1358" s="4">
        <v>46021.0</v>
      </c>
      <c r="H1358" s="4">
        <v>46123.0</v>
      </c>
      <c r="I1358" s="3" t="s">
        <v>685</v>
      </c>
      <c r="J1358" s="3" t="s">
        <v>958</v>
      </c>
      <c r="K1358" s="3" t="s">
        <v>3447</v>
      </c>
      <c r="L1358" s="3">
        <v>0.5906</v>
      </c>
      <c r="M1358" s="3">
        <v>14765.0</v>
      </c>
      <c r="N1358" s="3">
        <v>3.0</v>
      </c>
      <c r="O1358" s="3">
        <v>192692.0</v>
      </c>
      <c r="P1358" s="3" t="s">
        <v>3451</v>
      </c>
      <c r="Q1358" s="3">
        <v>619198.0</v>
      </c>
      <c r="R1358" s="3"/>
      <c r="S1358" s="3">
        <v>11812.0</v>
      </c>
      <c r="T1358" s="3" t="s">
        <v>37</v>
      </c>
      <c r="U1358" s="3">
        <v>11812.0</v>
      </c>
      <c r="V1358" s="5">
        <f>(DATE(2026,2,3)-'RICE_Insured Farms_with PPI Pol'!$G1358)+IF('RICE_Insured Farms_with PPI Pol'!$H1358&lt;&gt;'RICE_Insured Farms_with PPI Pol'!$G1358,18,0)</f>
        <v>53</v>
      </c>
      <c r="W1358" s="3" t="str">
        <f t="array" ref="W1358">IFS(V1358&gt;120, "Harvested", V1358&gt;=113, "Yellow Ripening", V1358&gt;=101, "Dough Stage", V1358&gt;=93, "Milking Stage", V1358&gt;=86, "Flowering", V1358&gt;=56, "Panicle Initiation/Booting", V1358&lt;56, "Vegetative/Tillering")</f>
        <v>Vegetative/Tillering</v>
      </c>
    </row>
    <row r="1359" ht="15.75" hidden="1" customHeight="1">
      <c r="A1359" s="3">
        <v>1358.0</v>
      </c>
      <c r="B1359" s="3" t="s">
        <v>23</v>
      </c>
      <c r="C1359" s="3" t="s">
        <v>68</v>
      </c>
      <c r="D1359" s="3" t="s">
        <v>289</v>
      </c>
      <c r="E1359" s="3" t="s">
        <v>685</v>
      </c>
      <c r="F1359" s="3">
        <v>1760005.0</v>
      </c>
      <c r="G1359" s="4">
        <v>46027.0</v>
      </c>
      <c r="H1359" s="4">
        <v>46129.0</v>
      </c>
      <c r="I1359" s="3" t="s">
        <v>685</v>
      </c>
      <c r="J1359" s="3" t="s">
        <v>3452</v>
      </c>
      <c r="K1359" s="3" t="s">
        <v>1186</v>
      </c>
      <c r="L1359" s="3">
        <v>0.5086</v>
      </c>
      <c r="M1359" s="3">
        <v>12715.0</v>
      </c>
      <c r="N1359" s="3">
        <v>2.0</v>
      </c>
      <c r="O1359" s="3">
        <v>31031.0</v>
      </c>
      <c r="P1359" s="3" t="s">
        <v>3453</v>
      </c>
      <c r="Q1359" s="3">
        <v>694450.0</v>
      </c>
      <c r="R1359" s="3"/>
      <c r="S1359" s="3">
        <v>8900.5</v>
      </c>
      <c r="T1359" s="3" t="s">
        <v>31</v>
      </c>
      <c r="U1359" s="3">
        <v>8900.5</v>
      </c>
      <c r="V1359" s="5">
        <f>(DATE(2026,2,3)-'RICE_Insured Farms_with PPI Pol'!$G1359)+IF('RICE_Insured Farms_with PPI Pol'!$H1359&lt;&gt;'RICE_Insured Farms_with PPI Pol'!$G1359,18,0)</f>
        <v>47</v>
      </c>
      <c r="W1359" s="3" t="str">
        <f t="array" ref="W1359">IFS(V1359&gt;120, "Harvested", V1359&gt;=113, "Yellow Ripening", V1359&gt;=101, "Dough Stage", V1359&gt;=93, "Milking Stage", V1359&gt;=86, "Flowering", V1359&gt;=56, "Panicle Initiation/Booting", V1359&lt;56, "Vegetative/Tillering")</f>
        <v>Vegetative/Tillering</v>
      </c>
    </row>
    <row r="1360" ht="15.75" customHeight="1">
      <c r="A1360" s="3">
        <v>1359.0</v>
      </c>
      <c r="B1360" s="3" t="s">
        <v>23</v>
      </c>
      <c r="C1360" s="3" t="s">
        <v>68</v>
      </c>
      <c r="D1360" s="3" t="s">
        <v>289</v>
      </c>
      <c r="E1360" s="3" t="s">
        <v>685</v>
      </c>
      <c r="F1360" s="3">
        <v>1760005.0</v>
      </c>
      <c r="G1360" s="4">
        <v>46021.0</v>
      </c>
      <c r="H1360" s="4">
        <v>46123.0</v>
      </c>
      <c r="I1360" s="3" t="s">
        <v>685</v>
      </c>
      <c r="J1360" s="3" t="s">
        <v>1690</v>
      </c>
      <c r="K1360" s="3" t="s">
        <v>600</v>
      </c>
      <c r="L1360" s="3">
        <v>0.37</v>
      </c>
      <c r="M1360" s="3">
        <v>9250.0</v>
      </c>
      <c r="N1360" s="3">
        <v>3.0</v>
      </c>
      <c r="O1360" s="3">
        <v>192682.0</v>
      </c>
      <c r="P1360" s="3" t="s">
        <v>3454</v>
      </c>
      <c r="Q1360" s="3">
        <v>513855.0</v>
      </c>
      <c r="R1360" s="3"/>
      <c r="S1360" s="3">
        <v>7400.0</v>
      </c>
      <c r="T1360" s="3" t="s">
        <v>37</v>
      </c>
      <c r="U1360" s="3">
        <v>7400.0</v>
      </c>
      <c r="V1360" s="5">
        <f>(DATE(2026,2,3)-'RICE_Insured Farms_with PPI Pol'!$G1360)+IF('RICE_Insured Farms_with PPI Pol'!$H1360&lt;&gt;'RICE_Insured Farms_with PPI Pol'!$G1360,18,0)</f>
        <v>53</v>
      </c>
      <c r="W1360" s="3" t="str">
        <f t="array" ref="W1360">IFS(V1360&gt;120, "Harvested", V1360&gt;=113, "Yellow Ripening", V1360&gt;=101, "Dough Stage", V1360&gt;=93, "Milking Stage", V1360&gt;=86, "Flowering", V1360&gt;=56, "Panicle Initiation/Booting", V1360&lt;56, "Vegetative/Tillering")</f>
        <v>Vegetative/Tillering</v>
      </c>
    </row>
    <row r="1361" ht="15.75" customHeight="1">
      <c r="A1361" s="3">
        <v>1360.0</v>
      </c>
      <c r="B1361" s="3" t="s">
        <v>23</v>
      </c>
      <c r="C1361" s="3" t="s">
        <v>1453</v>
      </c>
      <c r="D1361" s="3" t="s">
        <v>1454</v>
      </c>
      <c r="E1361" s="3" t="s">
        <v>1455</v>
      </c>
      <c r="F1361" s="3">
        <v>1742023.0</v>
      </c>
      <c r="G1361" s="4">
        <v>46019.0</v>
      </c>
      <c r="H1361" s="4">
        <v>46121.0</v>
      </c>
      <c r="I1361" s="3" t="s">
        <v>685</v>
      </c>
      <c r="J1361" s="3" t="s">
        <v>1267</v>
      </c>
      <c r="K1361" s="3" t="s">
        <v>2232</v>
      </c>
      <c r="L1361" s="3">
        <v>0.75</v>
      </c>
      <c r="M1361" s="3">
        <v>18750.0</v>
      </c>
      <c r="N1361" s="3">
        <v>3.0</v>
      </c>
      <c r="O1361" s="3">
        <v>84013.0</v>
      </c>
      <c r="P1361" s="3" t="s">
        <v>3455</v>
      </c>
      <c r="Q1361" s="3">
        <v>1143994.0</v>
      </c>
      <c r="R1361" s="3"/>
      <c r="S1361" s="3">
        <v>15000.0</v>
      </c>
      <c r="T1361" s="3" t="s">
        <v>37</v>
      </c>
      <c r="U1361" s="3">
        <v>15000.0</v>
      </c>
      <c r="V1361" s="5">
        <f>(DATE(2026,2,3)-'RICE_Insured Farms_with PPI Pol'!$G1361)+IF('RICE_Insured Farms_with PPI Pol'!$H1361&lt;&gt;'RICE_Insured Farms_with PPI Pol'!$G1361,18,0)</f>
        <v>55</v>
      </c>
      <c r="W1361" s="3" t="str">
        <f t="array" ref="W1361">IFS(V1361&gt;120, "Harvested", V1361&gt;=113, "Yellow Ripening", V1361&gt;=101, "Dough Stage", V1361&gt;=93, "Milking Stage", V1361&gt;=86, "Flowering", V1361&gt;=56, "Panicle Initiation/Booting", V1361&lt;56, "Vegetative/Tillering")</f>
        <v>Vegetative/Tillering</v>
      </c>
    </row>
    <row r="1362" ht="15.75" hidden="1" customHeight="1">
      <c r="A1362" s="3">
        <v>1361.0</v>
      </c>
      <c r="B1362" s="3" t="s">
        <v>23</v>
      </c>
      <c r="C1362" s="3" t="s">
        <v>1453</v>
      </c>
      <c r="D1362" s="3" t="s">
        <v>1454</v>
      </c>
      <c r="E1362" s="3" t="s">
        <v>1455</v>
      </c>
      <c r="F1362" s="3">
        <v>1742042.0</v>
      </c>
      <c r="G1362" s="4">
        <v>46037.0</v>
      </c>
      <c r="H1362" s="4">
        <v>46139.0</v>
      </c>
      <c r="I1362" s="3" t="s">
        <v>685</v>
      </c>
      <c r="J1362" s="3" t="s">
        <v>3456</v>
      </c>
      <c r="K1362" s="3" t="s">
        <v>1599</v>
      </c>
      <c r="L1362" s="3">
        <v>1.3051</v>
      </c>
      <c r="M1362" s="3">
        <v>32627.5</v>
      </c>
      <c r="N1362" s="3">
        <v>2.0</v>
      </c>
      <c r="O1362" s="3">
        <v>428262.0</v>
      </c>
      <c r="P1362" s="3"/>
      <c r="Q1362" s="3">
        <v>1251033.0</v>
      </c>
      <c r="R1362" s="3"/>
      <c r="S1362" s="3">
        <v>22839.25</v>
      </c>
      <c r="T1362" s="3" t="s">
        <v>31</v>
      </c>
      <c r="U1362" s="3">
        <v>22839.25</v>
      </c>
      <c r="V1362" s="5">
        <f>(DATE(2026,2,3)-'RICE_Insured Farms_with PPI Pol'!$G1362)+IF('RICE_Insured Farms_with PPI Pol'!$H1362&lt;&gt;'RICE_Insured Farms_with PPI Pol'!$G1362,18,0)</f>
        <v>37</v>
      </c>
      <c r="W1362" s="3" t="str">
        <f t="array" ref="W1362">IFS(V1362&gt;120, "Harvested", V1362&gt;=113, "Yellow Ripening", V1362&gt;=101, "Dough Stage", V1362&gt;=93, "Milking Stage", V1362&gt;=86, "Flowering", V1362&gt;=56, "Panicle Initiation/Booting", V1362&lt;56, "Vegetative/Tillering")</f>
        <v>Vegetative/Tillering</v>
      </c>
    </row>
    <row r="1363" ht="15.75" hidden="1" customHeight="1">
      <c r="A1363" s="3">
        <v>1362.0</v>
      </c>
      <c r="B1363" s="3" t="s">
        <v>23</v>
      </c>
      <c r="C1363" s="3" t="s">
        <v>1453</v>
      </c>
      <c r="D1363" s="3" t="s">
        <v>1454</v>
      </c>
      <c r="E1363" s="3" t="s">
        <v>1455</v>
      </c>
      <c r="F1363" s="3">
        <v>1742042.0</v>
      </c>
      <c r="G1363" s="4">
        <v>46027.0</v>
      </c>
      <c r="H1363" s="4">
        <v>46129.0</v>
      </c>
      <c r="I1363" s="3" t="s">
        <v>685</v>
      </c>
      <c r="J1363" s="3" t="s">
        <v>3457</v>
      </c>
      <c r="K1363" s="3" t="s">
        <v>2215</v>
      </c>
      <c r="L1363" s="3">
        <v>0.6096</v>
      </c>
      <c r="M1363" s="3">
        <v>15240.0</v>
      </c>
      <c r="N1363" s="3">
        <v>2.0</v>
      </c>
      <c r="O1363" s="3">
        <v>17026.0</v>
      </c>
      <c r="P1363" s="3"/>
      <c r="Q1363" s="3">
        <v>1318558.0</v>
      </c>
      <c r="R1363" s="3"/>
      <c r="S1363" s="3">
        <v>10668.0</v>
      </c>
      <c r="T1363" s="3" t="s">
        <v>31</v>
      </c>
      <c r="U1363" s="3">
        <v>10668.0</v>
      </c>
      <c r="V1363" s="5">
        <f>(DATE(2026,2,3)-'RICE_Insured Farms_with PPI Pol'!$G1363)+IF('RICE_Insured Farms_with PPI Pol'!$H1363&lt;&gt;'RICE_Insured Farms_with PPI Pol'!$G1363,18,0)</f>
        <v>47</v>
      </c>
      <c r="W1363" s="3" t="str">
        <f t="array" ref="W1363">IFS(V1363&gt;120, "Harvested", V1363&gt;=113, "Yellow Ripening", V1363&gt;=101, "Dough Stage", V1363&gt;=93, "Milking Stage", V1363&gt;=86, "Flowering", V1363&gt;=56, "Panicle Initiation/Booting", V1363&lt;56, "Vegetative/Tillering")</f>
        <v>Vegetative/Tillering</v>
      </c>
    </row>
    <row r="1364" ht="15.75" hidden="1" customHeight="1">
      <c r="A1364" s="3">
        <v>1363.0</v>
      </c>
      <c r="B1364" s="3" t="s">
        <v>23</v>
      </c>
      <c r="C1364" s="3" t="s">
        <v>1453</v>
      </c>
      <c r="D1364" s="3" t="s">
        <v>1454</v>
      </c>
      <c r="E1364" s="3" t="s">
        <v>1455</v>
      </c>
      <c r="F1364" s="3">
        <v>1742042.0</v>
      </c>
      <c r="G1364" s="4">
        <v>46032.0</v>
      </c>
      <c r="H1364" s="4">
        <v>46134.0</v>
      </c>
      <c r="I1364" s="3" t="s">
        <v>3458</v>
      </c>
      <c r="J1364" s="3" t="s">
        <v>3459</v>
      </c>
      <c r="K1364" s="3" t="s">
        <v>3460</v>
      </c>
      <c r="L1364" s="3">
        <v>0.4022</v>
      </c>
      <c r="M1364" s="3">
        <v>10055.0</v>
      </c>
      <c r="N1364" s="3">
        <v>2.0</v>
      </c>
      <c r="O1364" s="3">
        <v>314396.0</v>
      </c>
      <c r="P1364" s="3" t="s">
        <v>3461</v>
      </c>
      <c r="Q1364" s="3">
        <v>939088.0</v>
      </c>
      <c r="R1364" s="3"/>
      <c r="S1364" s="3">
        <v>7038.5</v>
      </c>
      <c r="T1364" s="3" t="s">
        <v>31</v>
      </c>
      <c r="U1364" s="3">
        <v>7038.5</v>
      </c>
      <c r="V1364" s="5">
        <f>(DATE(2026,2,3)-'RICE_Insured Farms_with PPI Pol'!$G1364)+IF('RICE_Insured Farms_with PPI Pol'!$H1364&lt;&gt;'RICE_Insured Farms_with PPI Pol'!$G1364,18,0)</f>
        <v>42</v>
      </c>
      <c r="W1364" s="3" t="str">
        <f t="array" ref="W1364">IFS(V1364&gt;120, "Harvested", V1364&gt;=113, "Yellow Ripening", V1364&gt;=101, "Dough Stage", V1364&gt;=93, "Milking Stage", V1364&gt;=86, "Flowering", V1364&gt;=56, "Panicle Initiation/Booting", V1364&lt;56, "Vegetative/Tillering")</f>
        <v>Vegetative/Tillering</v>
      </c>
    </row>
    <row r="1365" ht="15.75" hidden="1" customHeight="1">
      <c r="A1365" s="3">
        <v>1364.0</v>
      </c>
      <c r="B1365" s="3" t="s">
        <v>23</v>
      </c>
      <c r="C1365" s="3" t="s">
        <v>68</v>
      </c>
      <c r="D1365" s="3" t="s">
        <v>289</v>
      </c>
      <c r="E1365" s="3" t="s">
        <v>571</v>
      </c>
      <c r="F1365" s="3">
        <v>1760019.0</v>
      </c>
      <c r="G1365" s="4">
        <v>46029.0</v>
      </c>
      <c r="H1365" s="4">
        <v>46131.0</v>
      </c>
      <c r="I1365" s="3" t="s">
        <v>3462</v>
      </c>
      <c r="J1365" s="3" t="s">
        <v>34</v>
      </c>
      <c r="K1365" s="3" t="s">
        <v>3463</v>
      </c>
      <c r="L1365" s="3">
        <v>0.7921</v>
      </c>
      <c r="M1365" s="3">
        <v>19802.5</v>
      </c>
      <c r="N1365" s="3">
        <v>2.0</v>
      </c>
      <c r="O1365" s="3">
        <v>193067.0</v>
      </c>
      <c r="P1365" s="3"/>
      <c r="Q1365" s="3">
        <v>1280602.0</v>
      </c>
      <c r="R1365" s="3"/>
      <c r="S1365" s="3">
        <v>13861.75</v>
      </c>
      <c r="T1365" s="3" t="s">
        <v>31</v>
      </c>
      <c r="U1365" s="3">
        <v>13861.75</v>
      </c>
      <c r="V1365" s="5">
        <f>(DATE(2026,2,3)-'RICE_Insured Farms_with PPI Pol'!$G1365)+IF('RICE_Insured Farms_with PPI Pol'!$H1365&lt;&gt;'RICE_Insured Farms_with PPI Pol'!$G1365,18,0)</f>
        <v>45</v>
      </c>
      <c r="W1365" s="3" t="str">
        <f t="array" ref="W1365">IFS(V1365&gt;120, "Harvested", V1365&gt;=113, "Yellow Ripening", V1365&gt;=101, "Dough Stage", V1365&gt;=93, "Milking Stage", V1365&gt;=86, "Flowering", V1365&gt;=56, "Panicle Initiation/Booting", V1365&lt;56, "Vegetative/Tillering")</f>
        <v>Vegetative/Tillering</v>
      </c>
    </row>
    <row r="1366" ht="15.75" hidden="1" customHeight="1">
      <c r="A1366" s="3">
        <v>1365.0</v>
      </c>
      <c r="B1366" s="3" t="s">
        <v>23</v>
      </c>
      <c r="C1366" s="3" t="s">
        <v>121</v>
      </c>
      <c r="D1366" s="3" t="s">
        <v>1492</v>
      </c>
      <c r="E1366" s="3" t="s">
        <v>2306</v>
      </c>
      <c r="F1366" s="3">
        <v>1740642.0</v>
      </c>
      <c r="G1366" s="4">
        <v>46027.0</v>
      </c>
      <c r="H1366" s="4">
        <v>46147.0</v>
      </c>
      <c r="I1366" s="3" t="s">
        <v>3464</v>
      </c>
      <c r="J1366" s="3" t="s">
        <v>3465</v>
      </c>
      <c r="K1366" s="3" t="s">
        <v>3466</v>
      </c>
      <c r="L1366" s="3">
        <v>2.5815</v>
      </c>
      <c r="M1366" s="3">
        <v>64537.5</v>
      </c>
      <c r="N1366" s="3">
        <v>1.0</v>
      </c>
      <c r="O1366" s="3">
        <v>298587.0</v>
      </c>
      <c r="P1366" s="3" t="s">
        <v>3467</v>
      </c>
      <c r="Q1366" s="3">
        <v>1137359.0</v>
      </c>
      <c r="R1366" s="3"/>
      <c r="S1366" s="3">
        <v>38722.5</v>
      </c>
      <c r="T1366" s="3" t="s">
        <v>62</v>
      </c>
      <c r="U1366" s="3">
        <v>38722.5</v>
      </c>
      <c r="V1366" s="5">
        <f>(DATE(2026,2,3)-'RICE_Insured Farms_with PPI Pol'!$G1366)+IF('RICE_Insured Farms_with PPI Pol'!$H1366&lt;&gt;'RICE_Insured Farms_with PPI Pol'!$G1366,18,0)</f>
        <v>47</v>
      </c>
      <c r="W1366" s="3" t="str">
        <f t="array" ref="W1366">IFS(V1366&gt;120, "Harvested", V1366&gt;=113, "Yellow Ripening", V1366&gt;=101, "Dough Stage", V1366&gt;=93, "Milking Stage", V1366&gt;=86, "Flowering", V1366&gt;=56, "Panicle Initiation/Booting", V1366&lt;56, "Vegetative/Tillering")</f>
        <v>Vegetative/Tillering</v>
      </c>
    </row>
    <row r="1367" ht="15.75" hidden="1" customHeight="1">
      <c r="A1367" s="3">
        <v>679.0</v>
      </c>
      <c r="B1367" s="3" t="s">
        <v>756</v>
      </c>
      <c r="C1367" s="3" t="s">
        <v>919</v>
      </c>
      <c r="D1367" s="3" t="s">
        <v>2291</v>
      </c>
      <c r="E1367" s="3" t="s">
        <v>3468</v>
      </c>
      <c r="F1367" s="3">
        <v>1760810.0</v>
      </c>
      <c r="G1367" s="4">
        <v>46013.0</v>
      </c>
      <c r="H1367" s="4">
        <v>46108.0</v>
      </c>
      <c r="I1367" s="3" t="s">
        <v>3469</v>
      </c>
      <c r="J1367" s="3" t="s">
        <v>621</v>
      </c>
      <c r="K1367" s="3" t="s">
        <v>1349</v>
      </c>
      <c r="L1367" s="3">
        <v>5.0</v>
      </c>
      <c r="M1367" s="3">
        <v>300000.0</v>
      </c>
      <c r="N1367" s="3">
        <v>4.0</v>
      </c>
      <c r="O1367" s="3">
        <v>12857.0</v>
      </c>
      <c r="P1367" s="3" t="s">
        <v>3470</v>
      </c>
      <c r="Q1367" s="3">
        <v>1133904.0</v>
      </c>
      <c r="R1367" s="3"/>
      <c r="S1367" s="3">
        <v>240000.0</v>
      </c>
      <c r="T1367" s="3" t="s">
        <v>56</v>
      </c>
      <c r="U1367" s="3">
        <v>240000.0</v>
      </c>
      <c r="V1367" s="5">
        <f>(DATE(2026,2,3)-'RICE_Insured Farms_with PPI Pol'!$G1367)+IF('RICE_Insured Farms_with PPI Pol'!$H1367&lt;&gt;'RICE_Insured Farms_with PPI Pol'!$G1367,18,0)</f>
        <v>61</v>
      </c>
      <c r="W1367" s="3" t="str">
        <f t="array" ref="W1367">IFS(V1367&gt;120, "Harvested", V1367&gt;=113, "Yellow Ripening", V1367&gt;=101, "Dough Stage", V1367&gt;=93, "Milking Stage", V1367&gt;=86, "Flowering", V1367&gt;=56, "Panicle Initiation/Booting", V1367&lt;56, "Vegetative/Tillering")</f>
        <v>Panicle Initiation/Booting</v>
      </c>
    </row>
    <row r="1368" ht="15.75" hidden="1" customHeight="1">
      <c r="A1368" s="3">
        <v>723.0</v>
      </c>
      <c r="B1368" s="3" t="s">
        <v>756</v>
      </c>
      <c r="C1368" s="3" t="s">
        <v>919</v>
      </c>
      <c r="D1368" s="3" t="s">
        <v>2291</v>
      </c>
      <c r="E1368" s="3" t="s">
        <v>3468</v>
      </c>
      <c r="F1368" s="3">
        <v>1741924.0</v>
      </c>
      <c r="G1368" s="4">
        <v>46006.0</v>
      </c>
      <c r="H1368" s="4">
        <v>46101.0</v>
      </c>
      <c r="I1368" s="3" t="s">
        <v>227</v>
      </c>
      <c r="J1368" s="3" t="s">
        <v>3471</v>
      </c>
      <c r="K1368" s="3" t="s">
        <v>3472</v>
      </c>
      <c r="L1368" s="3">
        <v>3.0</v>
      </c>
      <c r="M1368" s="3">
        <v>234000.0</v>
      </c>
      <c r="N1368" s="3">
        <v>5.0</v>
      </c>
      <c r="O1368" s="3">
        <v>14821.0</v>
      </c>
      <c r="P1368" s="3"/>
      <c r="Q1368" s="3">
        <v>1027598.0</v>
      </c>
      <c r="R1368" s="3"/>
      <c r="S1368" s="3">
        <v>210600.0</v>
      </c>
      <c r="T1368" s="3" t="s">
        <v>1002</v>
      </c>
      <c r="U1368" s="3">
        <v>210600.0</v>
      </c>
      <c r="V1368" s="5">
        <f>(DATE(2026,2,3)-'RICE_Insured Farms_with PPI Pol'!$G1368)+IF('RICE_Insured Farms_with PPI Pol'!$H1368&lt;&gt;'RICE_Insured Farms_with PPI Pol'!$G1368,18,0)</f>
        <v>68</v>
      </c>
      <c r="W1368" s="3" t="str">
        <f t="array" ref="W1368">IFS(V1368&gt;120, "Harvested", V1368&gt;=113, "Yellow Ripening", V1368&gt;=101, "Dough Stage", V1368&gt;=93, "Milking Stage", V1368&gt;=86, "Flowering", V1368&gt;=56, "Panicle Initiation/Booting", V1368&lt;56, "Vegetative/Tillering")</f>
        <v>Panicle Initiation/Booting</v>
      </c>
    </row>
    <row r="1369" ht="15.75" hidden="1" customHeight="1">
      <c r="A1369" s="3">
        <v>930.0</v>
      </c>
      <c r="B1369" s="3" t="s">
        <v>756</v>
      </c>
      <c r="C1369" s="3" t="s">
        <v>919</v>
      </c>
      <c r="D1369" s="3" t="s">
        <v>2291</v>
      </c>
      <c r="E1369" s="3" t="s">
        <v>3468</v>
      </c>
      <c r="F1369" s="3">
        <v>1741924.0</v>
      </c>
      <c r="G1369" s="4">
        <v>45986.0</v>
      </c>
      <c r="H1369" s="4">
        <v>46106.0</v>
      </c>
      <c r="I1369" s="3" t="s">
        <v>3473</v>
      </c>
      <c r="J1369" s="3" t="s">
        <v>3474</v>
      </c>
      <c r="K1369" s="3" t="s">
        <v>3475</v>
      </c>
      <c r="L1369" s="3">
        <v>2.0</v>
      </c>
      <c r="M1369" s="3">
        <v>60000.0</v>
      </c>
      <c r="N1369" s="3">
        <v>4.0</v>
      </c>
      <c r="O1369" s="3">
        <v>12794.0</v>
      </c>
      <c r="P1369" s="3" t="s">
        <v>3476</v>
      </c>
      <c r="Q1369" s="3">
        <v>1220199.0</v>
      </c>
      <c r="R1369" s="3"/>
      <c r="S1369" s="3">
        <v>48000.0</v>
      </c>
      <c r="T1369" s="3" t="s">
        <v>56</v>
      </c>
      <c r="U1369" s="3">
        <v>48000.0</v>
      </c>
      <c r="V1369" s="5">
        <f>(DATE(2026,2,3)-'RICE_Insured Farms_with PPI Pol'!$G1369)+IF('RICE_Insured Farms_with PPI Pol'!$H1369&lt;&gt;'RICE_Insured Farms_with PPI Pol'!$G1369,18,0)</f>
        <v>88</v>
      </c>
      <c r="W1369" s="3" t="str">
        <f t="array" ref="W1369">IFS(V1369&gt;120, "Harvested", V1369&gt;=113, "Yellow Ripening", V1369&gt;=101, "Dough Stage", V1369&gt;=93, "Milking Stage", V1369&gt;=86, "Flowering", V1369&gt;=56, "Panicle Initiation/Booting", V1369&lt;56, "Vegetative/Tillering")</f>
        <v>Flowering</v>
      </c>
    </row>
    <row r="1370" ht="15.75" hidden="1" customHeight="1">
      <c r="A1370" s="3">
        <v>577.0</v>
      </c>
      <c r="B1370" s="3" t="s">
        <v>23</v>
      </c>
      <c r="C1370" s="3" t="s">
        <v>68</v>
      </c>
      <c r="D1370" s="3" t="s">
        <v>122</v>
      </c>
      <c r="E1370" s="3" t="s">
        <v>376</v>
      </c>
      <c r="F1370" s="3">
        <v>1196930.0</v>
      </c>
      <c r="G1370" s="4">
        <v>46007.0</v>
      </c>
      <c r="H1370" s="4">
        <v>46109.0</v>
      </c>
      <c r="I1370" s="3" t="s">
        <v>1790</v>
      </c>
      <c r="J1370" s="3" t="s">
        <v>3477</v>
      </c>
      <c r="K1370" s="3" t="s">
        <v>3478</v>
      </c>
      <c r="L1370" s="3">
        <v>0.295</v>
      </c>
      <c r="M1370" s="3">
        <v>7375.0</v>
      </c>
      <c r="N1370" s="3">
        <v>4.0</v>
      </c>
      <c r="O1370" s="3">
        <v>448497.0</v>
      </c>
      <c r="P1370" s="3"/>
      <c r="Q1370" s="3">
        <v>1192271.0</v>
      </c>
      <c r="R1370" s="3"/>
      <c r="S1370" s="3">
        <v>5900.0</v>
      </c>
      <c r="T1370" s="3" t="s">
        <v>56</v>
      </c>
      <c r="U1370" s="3">
        <v>5900.0</v>
      </c>
      <c r="V1370" s="5">
        <f>(DATE(2026,2,3)-'RICE_Insured Farms_with PPI Pol'!$G1370)+IF('RICE_Insured Farms_with PPI Pol'!$H1370&lt;&gt;'RICE_Insured Farms_with PPI Pol'!$G1370,18,0)</f>
        <v>67</v>
      </c>
      <c r="W1370" s="3" t="str">
        <f t="array" ref="W1370">IFS(V1370&gt;120, "Harvested", V1370&gt;=113, "Yellow Ripening", V1370&gt;=101, "Dough Stage", V1370&gt;=93, "Milking Stage", V1370&gt;=86, "Flowering", V1370&gt;=56, "Panicle Initiation/Booting", V1370&lt;56, "Vegetative/Tillering")</f>
        <v>Panicle Initiation/Booting</v>
      </c>
    </row>
    <row r="1371" ht="15.75" hidden="1" customHeight="1">
      <c r="A1371" s="3">
        <v>578.0</v>
      </c>
      <c r="B1371" s="3" t="s">
        <v>23</v>
      </c>
      <c r="C1371" s="3" t="s">
        <v>68</v>
      </c>
      <c r="D1371" s="3" t="s">
        <v>122</v>
      </c>
      <c r="E1371" s="3" t="s">
        <v>376</v>
      </c>
      <c r="F1371" s="3">
        <v>1196930.0</v>
      </c>
      <c r="G1371" s="4">
        <v>46007.0</v>
      </c>
      <c r="H1371" s="4">
        <v>46109.0</v>
      </c>
      <c r="I1371" s="3" t="s">
        <v>1790</v>
      </c>
      <c r="J1371" s="3" t="s">
        <v>3477</v>
      </c>
      <c r="K1371" s="3" t="s">
        <v>3478</v>
      </c>
      <c r="L1371" s="3">
        <v>0.5229</v>
      </c>
      <c r="M1371" s="3">
        <v>13072.5</v>
      </c>
      <c r="N1371" s="3">
        <v>4.0</v>
      </c>
      <c r="O1371" s="3">
        <v>448497.0</v>
      </c>
      <c r="P1371" s="3"/>
      <c r="Q1371" s="3">
        <v>1192272.0</v>
      </c>
      <c r="R1371" s="3"/>
      <c r="S1371" s="3">
        <v>10458.0</v>
      </c>
      <c r="T1371" s="3" t="s">
        <v>56</v>
      </c>
      <c r="U1371" s="3">
        <v>10458.0</v>
      </c>
      <c r="V1371" s="5">
        <f>(DATE(2026,2,3)-'RICE_Insured Farms_with PPI Pol'!$G1371)+IF('RICE_Insured Farms_with PPI Pol'!$H1371&lt;&gt;'RICE_Insured Farms_with PPI Pol'!$G1371,18,0)</f>
        <v>67</v>
      </c>
      <c r="W1371" s="3" t="str">
        <f t="array" ref="W1371">IFS(V1371&gt;120, "Harvested", V1371&gt;=113, "Yellow Ripening", V1371&gt;=101, "Dough Stage", V1371&gt;=93, "Milking Stage", V1371&gt;=86, "Flowering", V1371&gt;=56, "Panicle Initiation/Booting", V1371&lt;56, "Vegetative/Tillering")</f>
        <v>Panicle Initiation/Booting</v>
      </c>
    </row>
    <row r="1372" ht="15.75" hidden="1" customHeight="1">
      <c r="A1372" s="3">
        <v>579.0</v>
      </c>
      <c r="B1372" s="3" t="s">
        <v>23</v>
      </c>
      <c r="C1372" s="3" t="s">
        <v>68</v>
      </c>
      <c r="D1372" s="3" t="s">
        <v>122</v>
      </c>
      <c r="E1372" s="3" t="s">
        <v>376</v>
      </c>
      <c r="F1372" s="3">
        <v>1196930.0</v>
      </c>
      <c r="G1372" s="4">
        <v>46007.0</v>
      </c>
      <c r="H1372" s="4">
        <v>46109.0</v>
      </c>
      <c r="I1372" s="3" t="s">
        <v>1790</v>
      </c>
      <c r="J1372" s="3" t="s">
        <v>3477</v>
      </c>
      <c r="K1372" s="3" t="s">
        <v>3478</v>
      </c>
      <c r="L1372" s="3">
        <v>0.3681</v>
      </c>
      <c r="M1372" s="3">
        <v>9202.5</v>
      </c>
      <c r="N1372" s="3">
        <v>4.0</v>
      </c>
      <c r="O1372" s="3">
        <v>448497.0</v>
      </c>
      <c r="P1372" s="3"/>
      <c r="Q1372" s="3">
        <v>1319056.0</v>
      </c>
      <c r="R1372" s="3"/>
      <c r="S1372" s="3">
        <v>7362.0</v>
      </c>
      <c r="T1372" s="3" t="s">
        <v>56</v>
      </c>
      <c r="U1372" s="3">
        <v>7362.0</v>
      </c>
      <c r="V1372" s="5">
        <f>(DATE(2026,2,3)-'RICE_Insured Farms_with PPI Pol'!$G1372)+IF('RICE_Insured Farms_with PPI Pol'!$H1372&lt;&gt;'RICE_Insured Farms_with PPI Pol'!$G1372,18,0)</f>
        <v>67</v>
      </c>
      <c r="W1372" s="3" t="str">
        <f t="array" ref="W1372">IFS(V1372&gt;120, "Harvested", V1372&gt;=113, "Yellow Ripening", V1372&gt;=101, "Dough Stage", V1372&gt;=93, "Milking Stage", V1372&gt;=86, "Flowering", V1372&gt;=56, "Panicle Initiation/Booting", V1372&lt;56, "Vegetative/Tillering")</f>
        <v>Panicle Initiation/Booting</v>
      </c>
    </row>
    <row r="1373" ht="15.75" hidden="1" customHeight="1">
      <c r="A1373" s="3">
        <v>106.0</v>
      </c>
      <c r="B1373" s="3" t="s">
        <v>23</v>
      </c>
      <c r="C1373" s="3" t="s">
        <v>68</v>
      </c>
      <c r="D1373" s="3" t="s">
        <v>289</v>
      </c>
      <c r="E1373" s="3" t="s">
        <v>290</v>
      </c>
      <c r="F1373" s="3">
        <v>1760020.0</v>
      </c>
      <c r="G1373" s="4">
        <v>46006.0</v>
      </c>
      <c r="H1373" s="4">
        <v>46108.0</v>
      </c>
      <c r="I1373" s="3" t="s">
        <v>3479</v>
      </c>
      <c r="J1373" s="3" t="s">
        <v>3480</v>
      </c>
      <c r="K1373" s="3" t="s">
        <v>3481</v>
      </c>
      <c r="L1373" s="3">
        <v>1.8439</v>
      </c>
      <c r="M1373" s="3">
        <v>46097.5</v>
      </c>
      <c r="N1373" s="3">
        <v>4.0</v>
      </c>
      <c r="O1373" s="3">
        <v>351675.0</v>
      </c>
      <c r="P1373" s="3" t="s">
        <v>3482</v>
      </c>
      <c r="Q1373" s="3">
        <v>953286.0</v>
      </c>
      <c r="R1373" s="3"/>
      <c r="S1373" s="3">
        <v>36878.0</v>
      </c>
      <c r="T1373" s="3" t="s">
        <v>56</v>
      </c>
      <c r="U1373" s="3">
        <v>36878.0</v>
      </c>
      <c r="V1373" s="5">
        <f>(DATE(2026,2,3)-'RICE_Insured Farms_with PPI Pol'!$G1373)+IF('RICE_Insured Farms_with PPI Pol'!$H1373&lt;&gt;'RICE_Insured Farms_with PPI Pol'!$G1373,18,0)</f>
        <v>68</v>
      </c>
      <c r="W1373" s="3" t="str">
        <f t="array" ref="W1373">IFS(V1373&gt;120, "Harvested", V1373&gt;=113, "Yellow Ripening", V1373&gt;=101, "Dough Stage", V1373&gt;=93, "Milking Stage", V1373&gt;=86, "Flowering", V1373&gt;=56, "Panicle Initiation/Booting", V1373&lt;56, "Vegetative/Tillering")</f>
        <v>Panicle Initiation/Booting</v>
      </c>
    </row>
    <row r="1374" ht="15.75" hidden="1" customHeight="1">
      <c r="A1374" s="3">
        <v>162.0</v>
      </c>
      <c r="B1374" s="3" t="s">
        <v>23</v>
      </c>
      <c r="C1374" s="3" t="s">
        <v>68</v>
      </c>
      <c r="D1374" s="3" t="s">
        <v>289</v>
      </c>
      <c r="E1374" s="3" t="s">
        <v>290</v>
      </c>
      <c r="F1374" s="3">
        <v>1760020.0</v>
      </c>
      <c r="G1374" s="4">
        <v>46006.0</v>
      </c>
      <c r="H1374" s="4">
        <v>46108.0</v>
      </c>
      <c r="I1374" s="3" t="s">
        <v>3483</v>
      </c>
      <c r="J1374" s="3" t="s">
        <v>3484</v>
      </c>
      <c r="K1374" s="3" t="s">
        <v>3485</v>
      </c>
      <c r="L1374" s="3">
        <v>1.0</v>
      </c>
      <c r="M1374" s="3">
        <v>25000.0</v>
      </c>
      <c r="N1374" s="3">
        <v>4.0</v>
      </c>
      <c r="O1374" s="3">
        <v>199761.0</v>
      </c>
      <c r="P1374" s="3" t="s">
        <v>3486</v>
      </c>
      <c r="Q1374" s="3">
        <v>953291.0</v>
      </c>
      <c r="R1374" s="3"/>
      <c r="S1374" s="3">
        <v>20000.0</v>
      </c>
      <c r="T1374" s="3" t="s">
        <v>56</v>
      </c>
      <c r="U1374" s="3">
        <v>20000.0</v>
      </c>
      <c r="V1374" s="5">
        <f>(DATE(2026,2,3)-'RICE_Insured Farms_with PPI Pol'!$G1374)+IF('RICE_Insured Farms_with PPI Pol'!$H1374&lt;&gt;'RICE_Insured Farms_with PPI Pol'!$G1374,18,0)</f>
        <v>68</v>
      </c>
      <c r="W1374" s="3" t="str">
        <f t="array" ref="W1374">IFS(V1374&gt;120, "Harvested", V1374&gt;=113, "Yellow Ripening", V1374&gt;=101, "Dough Stage", V1374&gt;=93, "Milking Stage", V1374&gt;=86, "Flowering", V1374&gt;=56, "Panicle Initiation/Booting", V1374&lt;56, "Vegetative/Tillering")</f>
        <v>Panicle Initiation/Booting</v>
      </c>
    </row>
    <row r="1375" ht="15.75" hidden="1" customHeight="1">
      <c r="A1375" s="3">
        <v>1374.0</v>
      </c>
      <c r="B1375" s="3" t="s">
        <v>23</v>
      </c>
      <c r="C1375" s="3" t="s">
        <v>68</v>
      </c>
      <c r="D1375" s="3" t="s">
        <v>289</v>
      </c>
      <c r="E1375" s="3" t="s">
        <v>290</v>
      </c>
      <c r="F1375" s="3">
        <v>1760035.0</v>
      </c>
      <c r="G1375" s="4">
        <v>46027.0</v>
      </c>
      <c r="H1375" s="4">
        <v>46129.0</v>
      </c>
      <c r="I1375" s="3" t="s">
        <v>1315</v>
      </c>
      <c r="J1375" s="3" t="s">
        <v>1872</v>
      </c>
      <c r="K1375" s="3" t="s">
        <v>3487</v>
      </c>
      <c r="L1375" s="3">
        <v>0.2753</v>
      </c>
      <c r="M1375" s="3">
        <v>6882.5</v>
      </c>
      <c r="N1375" s="3">
        <v>2.0</v>
      </c>
      <c r="O1375" s="3">
        <v>306178.0</v>
      </c>
      <c r="P1375" s="3" t="s">
        <v>3488</v>
      </c>
      <c r="Q1375" s="3">
        <v>1280386.0</v>
      </c>
      <c r="R1375" s="3"/>
      <c r="S1375" s="3">
        <v>4817.75</v>
      </c>
      <c r="T1375" s="3" t="s">
        <v>31</v>
      </c>
      <c r="U1375" s="3">
        <v>4817.75</v>
      </c>
      <c r="V1375" s="5">
        <f>(DATE(2026,2,3)-'RICE_Insured Farms_with PPI Pol'!$G1375)+IF('RICE_Insured Farms_with PPI Pol'!$H1375&lt;&gt;'RICE_Insured Farms_with PPI Pol'!$G1375,18,0)</f>
        <v>47</v>
      </c>
      <c r="W1375" s="3" t="str">
        <f t="array" ref="W1375">IFS(V1375&gt;120, "Harvested", V1375&gt;=113, "Yellow Ripening", V1375&gt;=101, "Dough Stage", V1375&gt;=93, "Milking Stage", V1375&gt;=86, "Flowering", V1375&gt;=56, "Panicle Initiation/Booting", V1375&lt;56, "Vegetative/Tillering")</f>
        <v>Vegetative/Tillering</v>
      </c>
    </row>
    <row r="1376" ht="15.75" customHeight="1">
      <c r="A1376" s="3">
        <v>1375.0</v>
      </c>
      <c r="B1376" s="3" t="s">
        <v>23</v>
      </c>
      <c r="C1376" s="3" t="s">
        <v>68</v>
      </c>
      <c r="D1376" s="3" t="s">
        <v>289</v>
      </c>
      <c r="E1376" s="3" t="s">
        <v>290</v>
      </c>
      <c r="F1376" s="3">
        <v>1760036.0</v>
      </c>
      <c r="G1376" s="4">
        <v>46022.0</v>
      </c>
      <c r="H1376" s="4">
        <v>46124.0</v>
      </c>
      <c r="I1376" s="3" t="s">
        <v>1315</v>
      </c>
      <c r="J1376" s="3" t="s">
        <v>2039</v>
      </c>
      <c r="K1376" s="3" t="s">
        <v>3423</v>
      </c>
      <c r="L1376" s="3">
        <v>0.2409</v>
      </c>
      <c r="M1376" s="3">
        <v>6022.5</v>
      </c>
      <c r="N1376" s="3">
        <v>3.0</v>
      </c>
      <c r="O1376" s="3">
        <v>195126.0</v>
      </c>
      <c r="P1376" s="3" t="s">
        <v>3489</v>
      </c>
      <c r="Q1376" s="3">
        <v>1203482.0</v>
      </c>
      <c r="R1376" s="3"/>
      <c r="S1376" s="3">
        <v>4818.0</v>
      </c>
      <c r="T1376" s="3" t="s">
        <v>37</v>
      </c>
      <c r="U1376" s="3">
        <v>4818.0</v>
      </c>
      <c r="V1376" s="5">
        <f>(DATE(2026,2,3)-'RICE_Insured Farms_with PPI Pol'!$G1376)+IF('RICE_Insured Farms_with PPI Pol'!$H1376&lt;&gt;'RICE_Insured Farms_with PPI Pol'!$G1376,18,0)</f>
        <v>52</v>
      </c>
      <c r="W1376" s="3" t="str">
        <f t="array" ref="W1376">IFS(V1376&gt;120, "Harvested", V1376&gt;=113, "Yellow Ripening", V1376&gt;=101, "Dough Stage", V1376&gt;=93, "Milking Stage", V1376&gt;=86, "Flowering", V1376&gt;=56, "Panicle Initiation/Booting", V1376&lt;56, "Vegetative/Tillering")</f>
        <v>Vegetative/Tillering</v>
      </c>
    </row>
    <row r="1377" ht="15.75" hidden="1" customHeight="1">
      <c r="A1377" s="3">
        <v>1376.0</v>
      </c>
      <c r="B1377" s="3" t="s">
        <v>23</v>
      </c>
      <c r="C1377" s="3" t="s">
        <v>68</v>
      </c>
      <c r="D1377" s="3" t="s">
        <v>289</v>
      </c>
      <c r="E1377" s="3" t="s">
        <v>352</v>
      </c>
      <c r="F1377" s="3">
        <v>1760051.0</v>
      </c>
      <c r="G1377" s="4">
        <v>46031.0</v>
      </c>
      <c r="H1377" s="4">
        <v>46133.0</v>
      </c>
      <c r="I1377" s="3" t="s">
        <v>688</v>
      </c>
      <c r="J1377" s="3" t="s">
        <v>3490</v>
      </c>
      <c r="K1377" s="3" t="s">
        <v>3491</v>
      </c>
      <c r="L1377" s="3">
        <v>0.366</v>
      </c>
      <c r="M1377" s="3">
        <v>9150.0</v>
      </c>
      <c r="N1377" s="3">
        <v>2.0</v>
      </c>
      <c r="O1377" s="3">
        <v>304018.0</v>
      </c>
      <c r="P1377" s="3"/>
      <c r="Q1377" s="3">
        <v>1280414.0</v>
      </c>
      <c r="R1377" s="3"/>
      <c r="S1377" s="3">
        <v>6405.0</v>
      </c>
      <c r="T1377" s="3" t="s">
        <v>31</v>
      </c>
      <c r="U1377" s="3">
        <v>6405.0</v>
      </c>
      <c r="V1377" s="5">
        <f>(DATE(2026,2,3)-'RICE_Insured Farms_with PPI Pol'!$G1377)+IF('RICE_Insured Farms_with PPI Pol'!$H1377&lt;&gt;'RICE_Insured Farms_with PPI Pol'!$G1377,18,0)</f>
        <v>43</v>
      </c>
      <c r="W1377" s="3" t="str">
        <f t="array" ref="W1377">IFS(V1377&gt;120, "Harvested", V1377&gt;=113, "Yellow Ripening", V1377&gt;=101, "Dough Stage", V1377&gt;=93, "Milking Stage", V1377&gt;=86, "Flowering", V1377&gt;=56, "Panicle Initiation/Booting", V1377&lt;56, "Vegetative/Tillering")</f>
        <v>Vegetative/Tillering</v>
      </c>
    </row>
    <row r="1378" ht="15.75" hidden="1" customHeight="1">
      <c r="A1378" s="3">
        <v>1377.0</v>
      </c>
      <c r="B1378" s="3" t="s">
        <v>23</v>
      </c>
      <c r="C1378" s="3" t="s">
        <v>68</v>
      </c>
      <c r="D1378" s="3" t="s">
        <v>289</v>
      </c>
      <c r="E1378" s="3" t="s">
        <v>352</v>
      </c>
      <c r="F1378" s="3">
        <v>1760051.0</v>
      </c>
      <c r="G1378" s="4">
        <v>46031.0</v>
      </c>
      <c r="H1378" s="4">
        <v>46133.0</v>
      </c>
      <c r="I1378" s="3" t="s">
        <v>688</v>
      </c>
      <c r="J1378" s="3" t="s">
        <v>3490</v>
      </c>
      <c r="K1378" s="3" t="s">
        <v>3491</v>
      </c>
      <c r="L1378" s="3">
        <v>0.1495</v>
      </c>
      <c r="M1378" s="3">
        <v>3737.5</v>
      </c>
      <c r="N1378" s="3">
        <v>2.0</v>
      </c>
      <c r="O1378" s="3">
        <v>304018.0</v>
      </c>
      <c r="P1378" s="3"/>
      <c r="Q1378" s="3">
        <v>974436.0</v>
      </c>
      <c r="R1378" s="3"/>
      <c r="S1378" s="3">
        <v>2616.25</v>
      </c>
      <c r="T1378" s="3" t="s">
        <v>31</v>
      </c>
      <c r="U1378" s="3">
        <v>2616.25</v>
      </c>
      <c r="V1378" s="5">
        <f>(DATE(2026,2,3)-'RICE_Insured Farms_with PPI Pol'!$G1378)+IF('RICE_Insured Farms_with PPI Pol'!$H1378&lt;&gt;'RICE_Insured Farms_with PPI Pol'!$G1378,18,0)</f>
        <v>43</v>
      </c>
      <c r="W1378" s="3" t="str">
        <f t="array" ref="W1378">IFS(V1378&gt;120, "Harvested", V1378&gt;=113, "Yellow Ripening", V1378&gt;=101, "Dough Stage", V1378&gt;=93, "Milking Stage", V1378&gt;=86, "Flowering", V1378&gt;=56, "Panicle Initiation/Booting", V1378&lt;56, "Vegetative/Tillering")</f>
        <v>Vegetative/Tillering</v>
      </c>
    </row>
    <row r="1379" ht="15.75" hidden="1" customHeight="1">
      <c r="A1379" s="3">
        <v>1378.0</v>
      </c>
      <c r="B1379" s="3" t="s">
        <v>23</v>
      </c>
      <c r="C1379" s="3" t="s">
        <v>68</v>
      </c>
      <c r="D1379" s="3" t="s">
        <v>289</v>
      </c>
      <c r="E1379" s="3" t="s">
        <v>352</v>
      </c>
      <c r="F1379" s="3">
        <v>1760051.0</v>
      </c>
      <c r="G1379" s="4">
        <v>46031.0</v>
      </c>
      <c r="H1379" s="4">
        <v>46133.0</v>
      </c>
      <c r="I1379" s="3" t="s">
        <v>688</v>
      </c>
      <c r="J1379" s="3" t="s">
        <v>3490</v>
      </c>
      <c r="K1379" s="3" t="s">
        <v>3491</v>
      </c>
      <c r="L1379" s="3">
        <v>0.2823</v>
      </c>
      <c r="M1379" s="3">
        <v>7057.5</v>
      </c>
      <c r="N1379" s="3">
        <v>2.0</v>
      </c>
      <c r="O1379" s="3">
        <v>304018.0</v>
      </c>
      <c r="P1379" s="3"/>
      <c r="Q1379" s="3">
        <v>974438.0</v>
      </c>
      <c r="R1379" s="3"/>
      <c r="S1379" s="3">
        <v>4940.25</v>
      </c>
      <c r="T1379" s="3" t="s">
        <v>31</v>
      </c>
      <c r="U1379" s="3">
        <v>4940.25</v>
      </c>
      <c r="V1379" s="5">
        <f>(DATE(2026,2,3)-'RICE_Insured Farms_with PPI Pol'!$G1379)+IF('RICE_Insured Farms_with PPI Pol'!$H1379&lt;&gt;'RICE_Insured Farms_with PPI Pol'!$G1379,18,0)</f>
        <v>43</v>
      </c>
      <c r="W1379" s="3" t="str">
        <f t="array" ref="W1379">IFS(V1379&gt;120, "Harvested", V1379&gt;=113, "Yellow Ripening", V1379&gt;=101, "Dough Stage", V1379&gt;=93, "Milking Stage", V1379&gt;=86, "Flowering", V1379&gt;=56, "Panicle Initiation/Booting", V1379&lt;56, "Vegetative/Tillering")</f>
        <v>Vegetative/Tillering</v>
      </c>
    </row>
    <row r="1380" ht="15.75" hidden="1" customHeight="1">
      <c r="A1380" s="3">
        <v>1379.0</v>
      </c>
      <c r="B1380" s="3" t="s">
        <v>23</v>
      </c>
      <c r="C1380" s="3" t="s">
        <v>68</v>
      </c>
      <c r="D1380" s="3" t="s">
        <v>289</v>
      </c>
      <c r="E1380" s="3" t="s">
        <v>352</v>
      </c>
      <c r="F1380" s="3">
        <v>1760043.0</v>
      </c>
      <c r="G1380" s="4">
        <v>46041.0</v>
      </c>
      <c r="H1380" s="4">
        <v>46143.0</v>
      </c>
      <c r="I1380" s="3" t="s">
        <v>688</v>
      </c>
      <c r="J1380" s="3" t="s">
        <v>3492</v>
      </c>
      <c r="K1380" s="3" t="s">
        <v>3493</v>
      </c>
      <c r="L1380" s="3">
        <v>0.7943</v>
      </c>
      <c r="M1380" s="3">
        <v>19857.5</v>
      </c>
      <c r="N1380" s="3">
        <v>2.0</v>
      </c>
      <c r="O1380" s="3">
        <v>360866.0</v>
      </c>
      <c r="P1380" s="3"/>
      <c r="Q1380" s="3">
        <v>780956.0</v>
      </c>
      <c r="R1380" s="3"/>
      <c r="S1380" s="3">
        <v>13900.25</v>
      </c>
      <c r="T1380" s="3" t="s">
        <v>31</v>
      </c>
      <c r="U1380" s="3">
        <v>13900.25</v>
      </c>
      <c r="V1380" s="5">
        <f>(DATE(2026,2,3)-'RICE_Insured Farms_with PPI Pol'!$G1380)+IF('RICE_Insured Farms_with PPI Pol'!$H1380&lt;&gt;'RICE_Insured Farms_with PPI Pol'!$G1380,18,0)</f>
        <v>33</v>
      </c>
      <c r="W1380" s="3" t="str">
        <f t="array" ref="W1380">IFS(V1380&gt;120, "Harvested", V1380&gt;=113, "Yellow Ripening", V1380&gt;=101, "Dough Stage", V1380&gt;=93, "Milking Stage", V1380&gt;=86, "Flowering", V1380&gt;=56, "Panicle Initiation/Booting", V1380&lt;56, "Vegetative/Tillering")</f>
        <v>Vegetative/Tillering</v>
      </c>
    </row>
    <row r="1381" ht="15.75" hidden="1" customHeight="1">
      <c r="A1381" s="3">
        <v>1380.0</v>
      </c>
      <c r="B1381" s="3" t="s">
        <v>23</v>
      </c>
      <c r="C1381" s="3" t="s">
        <v>68</v>
      </c>
      <c r="D1381" s="3" t="s">
        <v>289</v>
      </c>
      <c r="E1381" s="3" t="s">
        <v>352</v>
      </c>
      <c r="F1381" s="3">
        <v>1760050.0</v>
      </c>
      <c r="G1381" s="4">
        <v>46035.0</v>
      </c>
      <c r="H1381" s="4">
        <v>46137.0</v>
      </c>
      <c r="I1381" s="3" t="s">
        <v>688</v>
      </c>
      <c r="J1381" s="3" t="s">
        <v>1322</v>
      </c>
      <c r="K1381" s="3" t="s">
        <v>1139</v>
      </c>
      <c r="L1381" s="3">
        <v>0.2713</v>
      </c>
      <c r="M1381" s="3">
        <v>6782.5</v>
      </c>
      <c r="N1381" s="3">
        <v>2.0</v>
      </c>
      <c r="O1381" s="3">
        <v>336179.0</v>
      </c>
      <c r="P1381" s="3"/>
      <c r="Q1381" s="3">
        <v>974238.0</v>
      </c>
      <c r="R1381" s="3"/>
      <c r="S1381" s="3">
        <v>4747.75</v>
      </c>
      <c r="T1381" s="3" t="s">
        <v>31</v>
      </c>
      <c r="U1381" s="3">
        <v>4747.75</v>
      </c>
      <c r="V1381" s="5">
        <f>(DATE(2026,2,3)-'RICE_Insured Farms_with PPI Pol'!$G1381)+IF('RICE_Insured Farms_with PPI Pol'!$H1381&lt;&gt;'RICE_Insured Farms_with PPI Pol'!$G1381,18,0)</f>
        <v>39</v>
      </c>
      <c r="W1381" s="3" t="str">
        <f t="array" ref="W1381">IFS(V1381&gt;120, "Harvested", V1381&gt;=113, "Yellow Ripening", V1381&gt;=101, "Dough Stage", V1381&gt;=93, "Milking Stage", V1381&gt;=86, "Flowering", V1381&gt;=56, "Panicle Initiation/Booting", V1381&lt;56, "Vegetative/Tillering")</f>
        <v>Vegetative/Tillering</v>
      </c>
    </row>
    <row r="1382" ht="15.75" hidden="1" customHeight="1">
      <c r="A1382" s="3">
        <v>1381.0</v>
      </c>
      <c r="B1382" s="3" t="s">
        <v>23</v>
      </c>
      <c r="C1382" s="3" t="s">
        <v>68</v>
      </c>
      <c r="D1382" s="3" t="s">
        <v>289</v>
      </c>
      <c r="E1382" s="3" t="s">
        <v>352</v>
      </c>
      <c r="F1382" s="3">
        <v>1760053.0</v>
      </c>
      <c r="G1382" s="4">
        <v>46027.0</v>
      </c>
      <c r="H1382" s="4">
        <v>46129.0</v>
      </c>
      <c r="I1382" s="3" t="s">
        <v>688</v>
      </c>
      <c r="J1382" s="3" t="s">
        <v>1014</v>
      </c>
      <c r="K1382" s="3" t="s">
        <v>1565</v>
      </c>
      <c r="L1382" s="3">
        <v>1.2263</v>
      </c>
      <c r="M1382" s="3">
        <v>30657.5</v>
      </c>
      <c r="N1382" s="3">
        <v>2.0</v>
      </c>
      <c r="O1382" s="3">
        <v>329744.0</v>
      </c>
      <c r="P1382" s="3" t="s">
        <v>3494</v>
      </c>
      <c r="Q1382" s="3">
        <v>1284320.0</v>
      </c>
      <c r="R1382" s="3"/>
      <c r="S1382" s="3">
        <v>21460.25</v>
      </c>
      <c r="T1382" s="3" t="s">
        <v>31</v>
      </c>
      <c r="U1382" s="3">
        <v>21460.25</v>
      </c>
      <c r="V1382" s="5">
        <f>(DATE(2026,2,3)-'RICE_Insured Farms_with PPI Pol'!$G1382)+IF('RICE_Insured Farms_with PPI Pol'!$H1382&lt;&gt;'RICE_Insured Farms_with PPI Pol'!$G1382,18,0)</f>
        <v>47</v>
      </c>
      <c r="W1382" s="3" t="str">
        <f t="array" ref="W1382">IFS(V1382&gt;120, "Harvested", V1382&gt;=113, "Yellow Ripening", V1382&gt;=101, "Dough Stage", V1382&gt;=93, "Milking Stage", V1382&gt;=86, "Flowering", V1382&gt;=56, "Panicle Initiation/Booting", V1382&lt;56, "Vegetative/Tillering")</f>
        <v>Vegetative/Tillering</v>
      </c>
    </row>
    <row r="1383" ht="15.75" customHeight="1">
      <c r="A1383" s="3">
        <v>1382.0</v>
      </c>
      <c r="B1383" s="3" t="s">
        <v>23</v>
      </c>
      <c r="C1383" s="3" t="s">
        <v>68</v>
      </c>
      <c r="D1383" s="3" t="s">
        <v>289</v>
      </c>
      <c r="E1383" s="3" t="s">
        <v>685</v>
      </c>
      <c r="F1383" s="3">
        <v>1760004.0</v>
      </c>
      <c r="G1383" s="4">
        <v>46019.0</v>
      </c>
      <c r="H1383" s="4">
        <v>46121.0</v>
      </c>
      <c r="I1383" s="3" t="s">
        <v>688</v>
      </c>
      <c r="J1383" s="3" t="s">
        <v>3495</v>
      </c>
      <c r="K1383" s="3" t="s">
        <v>1066</v>
      </c>
      <c r="L1383" s="3">
        <v>0.6269</v>
      </c>
      <c r="M1383" s="3">
        <v>15672.5</v>
      </c>
      <c r="N1383" s="3">
        <v>3.0</v>
      </c>
      <c r="O1383" s="3">
        <v>328466.0</v>
      </c>
      <c r="P1383" s="3" t="s">
        <v>3496</v>
      </c>
      <c r="Q1383" s="3">
        <v>619223.0</v>
      </c>
      <c r="R1383" s="3"/>
      <c r="S1383" s="3">
        <v>12538.0</v>
      </c>
      <c r="T1383" s="3" t="s">
        <v>37</v>
      </c>
      <c r="U1383" s="3">
        <v>12538.0</v>
      </c>
      <c r="V1383" s="5">
        <f>(DATE(2026,2,3)-'RICE_Insured Farms_with PPI Pol'!$G1383)+IF('RICE_Insured Farms_with PPI Pol'!$H1383&lt;&gt;'RICE_Insured Farms_with PPI Pol'!$G1383,18,0)</f>
        <v>55</v>
      </c>
      <c r="W1383" s="3" t="str">
        <f t="array" ref="W1383">IFS(V1383&gt;120, "Harvested", V1383&gt;=113, "Yellow Ripening", V1383&gt;=101, "Dough Stage", V1383&gt;=93, "Milking Stage", V1383&gt;=86, "Flowering", V1383&gt;=56, "Panicle Initiation/Booting", V1383&lt;56, "Vegetative/Tillering")</f>
        <v>Vegetative/Tillering</v>
      </c>
    </row>
    <row r="1384" ht="15.75" customHeight="1">
      <c r="A1384" s="3">
        <v>1383.0</v>
      </c>
      <c r="B1384" s="3" t="s">
        <v>23</v>
      </c>
      <c r="C1384" s="3" t="s">
        <v>68</v>
      </c>
      <c r="D1384" s="3" t="s">
        <v>289</v>
      </c>
      <c r="E1384" s="3" t="s">
        <v>352</v>
      </c>
      <c r="F1384" s="3">
        <v>1760048.0</v>
      </c>
      <c r="G1384" s="4">
        <v>46020.0</v>
      </c>
      <c r="H1384" s="4">
        <v>46122.0</v>
      </c>
      <c r="I1384" s="3" t="s">
        <v>688</v>
      </c>
      <c r="J1384" s="3" t="s">
        <v>3497</v>
      </c>
      <c r="K1384" s="3" t="s">
        <v>3498</v>
      </c>
      <c r="L1384" s="3">
        <v>0.7375</v>
      </c>
      <c r="M1384" s="3">
        <v>18437.5</v>
      </c>
      <c r="N1384" s="3">
        <v>3.0</v>
      </c>
      <c r="O1384" s="3">
        <v>307043.0</v>
      </c>
      <c r="P1384" s="3" t="s">
        <v>3499</v>
      </c>
      <c r="Q1384" s="3">
        <v>1284604.0</v>
      </c>
      <c r="R1384" s="3"/>
      <c r="S1384" s="3">
        <v>14750.0</v>
      </c>
      <c r="T1384" s="3" t="s">
        <v>37</v>
      </c>
      <c r="U1384" s="3">
        <v>14750.0</v>
      </c>
      <c r="V1384" s="5">
        <f>(DATE(2026,2,3)-'RICE_Insured Farms_with PPI Pol'!$G1384)+IF('RICE_Insured Farms_with PPI Pol'!$H1384&lt;&gt;'RICE_Insured Farms_with PPI Pol'!$G1384,18,0)</f>
        <v>54</v>
      </c>
      <c r="W1384" s="3" t="str">
        <f t="array" ref="W1384">IFS(V1384&gt;120, "Harvested", V1384&gt;=113, "Yellow Ripening", V1384&gt;=101, "Dough Stage", V1384&gt;=93, "Milking Stage", V1384&gt;=86, "Flowering", V1384&gt;=56, "Panicle Initiation/Booting", V1384&lt;56, "Vegetative/Tillering")</f>
        <v>Vegetative/Tillering</v>
      </c>
    </row>
    <row r="1385" ht="15.75" customHeight="1">
      <c r="A1385" s="3">
        <v>1384.0</v>
      </c>
      <c r="B1385" s="3" t="s">
        <v>23</v>
      </c>
      <c r="C1385" s="3" t="s">
        <v>24</v>
      </c>
      <c r="D1385" s="3" t="s">
        <v>25</v>
      </c>
      <c r="E1385" s="3" t="s">
        <v>1164</v>
      </c>
      <c r="F1385" s="3">
        <v>1761008.0</v>
      </c>
      <c r="G1385" s="4">
        <v>46019.0</v>
      </c>
      <c r="H1385" s="4">
        <v>46117.0</v>
      </c>
      <c r="I1385" s="3" t="s">
        <v>3500</v>
      </c>
      <c r="J1385" s="3" t="s">
        <v>3501</v>
      </c>
      <c r="K1385" s="3" t="s">
        <v>3502</v>
      </c>
      <c r="L1385" s="3">
        <v>0.9751</v>
      </c>
      <c r="M1385" s="3">
        <v>24377.5</v>
      </c>
      <c r="N1385" s="3">
        <v>3.0</v>
      </c>
      <c r="O1385" s="3">
        <v>511846.0</v>
      </c>
      <c r="P1385" s="3"/>
      <c r="Q1385" s="3">
        <v>1330775.0</v>
      </c>
      <c r="R1385" s="3"/>
      <c r="S1385" s="3">
        <v>19502.0</v>
      </c>
      <c r="T1385" s="3" t="s">
        <v>37</v>
      </c>
      <c r="U1385" s="3">
        <v>19502.0</v>
      </c>
      <c r="V1385" s="5">
        <f>(DATE(2026,2,3)-'RICE_Insured Farms_with PPI Pol'!$G1385)+IF('RICE_Insured Farms_with PPI Pol'!$H1385&lt;&gt;'RICE_Insured Farms_with PPI Pol'!$G1385,18,0)</f>
        <v>55</v>
      </c>
      <c r="W1385" s="3" t="str">
        <f t="array" ref="W1385">IFS(V1385&gt;120, "Harvested", V1385&gt;=113, "Yellow Ripening", V1385&gt;=101, "Dough Stage", V1385&gt;=93, "Milking Stage", V1385&gt;=86, "Flowering", V1385&gt;=56, "Panicle Initiation/Booting", V1385&lt;56, "Vegetative/Tillering")</f>
        <v>Vegetative/Tillering</v>
      </c>
    </row>
    <row r="1386" ht="15.75" hidden="1" customHeight="1">
      <c r="A1386" s="3">
        <v>1385.0</v>
      </c>
      <c r="B1386" s="3" t="s">
        <v>23</v>
      </c>
      <c r="C1386" s="3" t="s">
        <v>68</v>
      </c>
      <c r="D1386" s="3" t="s">
        <v>289</v>
      </c>
      <c r="E1386" s="3" t="s">
        <v>571</v>
      </c>
      <c r="F1386" s="3">
        <v>1760010.0</v>
      </c>
      <c r="G1386" s="4">
        <v>46029.0</v>
      </c>
      <c r="H1386" s="4">
        <v>46131.0</v>
      </c>
      <c r="I1386" s="3" t="s">
        <v>3503</v>
      </c>
      <c r="J1386" s="3" t="s">
        <v>3504</v>
      </c>
      <c r="K1386" s="3" t="s">
        <v>3505</v>
      </c>
      <c r="L1386" s="3">
        <v>0.5197</v>
      </c>
      <c r="M1386" s="3">
        <v>12992.5</v>
      </c>
      <c r="N1386" s="3">
        <v>2.0</v>
      </c>
      <c r="O1386" s="3">
        <v>293897.0</v>
      </c>
      <c r="P1386" s="3" t="s">
        <v>3506</v>
      </c>
      <c r="Q1386" s="3">
        <v>1140952.0</v>
      </c>
      <c r="R1386" s="3"/>
      <c r="S1386" s="3">
        <v>9094.75</v>
      </c>
      <c r="T1386" s="3" t="s">
        <v>31</v>
      </c>
      <c r="U1386" s="3">
        <v>9094.75</v>
      </c>
      <c r="V1386" s="5">
        <f>(DATE(2026,2,3)-'RICE_Insured Farms_with PPI Pol'!$G1386)+IF('RICE_Insured Farms_with PPI Pol'!$H1386&lt;&gt;'RICE_Insured Farms_with PPI Pol'!$G1386,18,0)</f>
        <v>45</v>
      </c>
      <c r="W1386" s="3" t="str">
        <f t="array" ref="W1386">IFS(V1386&gt;120, "Harvested", V1386&gt;=113, "Yellow Ripening", V1386&gt;=101, "Dough Stage", V1386&gt;=93, "Milking Stage", V1386&gt;=86, "Flowering", V1386&gt;=56, "Panicle Initiation/Booting", V1386&lt;56, "Vegetative/Tillering")</f>
        <v>Vegetative/Tillering</v>
      </c>
    </row>
    <row r="1387" ht="15.75" customHeight="1">
      <c r="A1387" s="3">
        <v>1386.0</v>
      </c>
      <c r="B1387" s="3" t="s">
        <v>23</v>
      </c>
      <c r="C1387" s="3" t="s">
        <v>68</v>
      </c>
      <c r="D1387" s="3" t="s">
        <v>289</v>
      </c>
      <c r="E1387" s="3" t="s">
        <v>2291</v>
      </c>
      <c r="F1387" s="3">
        <v>1760031.0</v>
      </c>
      <c r="G1387" s="4">
        <v>46032.0</v>
      </c>
      <c r="H1387" s="4">
        <v>46124.0</v>
      </c>
      <c r="I1387" s="3" t="s">
        <v>3507</v>
      </c>
      <c r="J1387" s="3" t="s">
        <v>3508</v>
      </c>
      <c r="K1387" s="3" t="s">
        <v>1967</v>
      </c>
      <c r="L1387" s="3">
        <v>1.6196</v>
      </c>
      <c r="M1387" s="3">
        <v>40490.0</v>
      </c>
      <c r="N1387" s="3">
        <v>3.0</v>
      </c>
      <c r="O1387" s="3">
        <v>418878.0</v>
      </c>
      <c r="P1387" s="3" t="s">
        <v>3509</v>
      </c>
      <c r="Q1387" s="3">
        <v>1278470.0</v>
      </c>
      <c r="R1387" s="3"/>
      <c r="S1387" s="3">
        <v>32392.0</v>
      </c>
      <c r="T1387" s="3" t="s">
        <v>37</v>
      </c>
      <c r="U1387" s="3">
        <v>32392.0</v>
      </c>
      <c r="V1387" s="5">
        <f>(DATE(2026,2,3)-'RICE_Insured Farms_with PPI Pol'!$G1387)+IF('RICE_Insured Farms_with PPI Pol'!$H1387&lt;&gt;'RICE_Insured Farms_with PPI Pol'!$G1387,18,0)</f>
        <v>42</v>
      </c>
      <c r="W1387" s="3" t="str">
        <f t="array" ref="W1387">IFS(V1387&gt;120, "Harvested", V1387&gt;=113, "Yellow Ripening", V1387&gt;=101, "Dough Stage", V1387&gt;=93, "Milking Stage", V1387&gt;=86, "Flowering", V1387&gt;=56, "Panicle Initiation/Booting", V1387&lt;56, "Vegetative/Tillering")</f>
        <v>Vegetative/Tillering</v>
      </c>
    </row>
    <row r="1388" ht="15.75" customHeight="1">
      <c r="A1388" s="3">
        <v>1387.0</v>
      </c>
      <c r="B1388" s="3" t="s">
        <v>1776</v>
      </c>
      <c r="C1388" s="3" t="s">
        <v>24</v>
      </c>
      <c r="D1388" s="3" t="s">
        <v>25</v>
      </c>
      <c r="E1388" s="3" t="s">
        <v>1374</v>
      </c>
      <c r="F1388" s="3">
        <v>1760471.0</v>
      </c>
      <c r="G1388" s="4">
        <v>46022.0</v>
      </c>
      <c r="H1388" s="4">
        <v>46117.0</v>
      </c>
      <c r="I1388" s="3" t="s">
        <v>3510</v>
      </c>
      <c r="J1388" s="3" t="s">
        <v>3511</v>
      </c>
      <c r="K1388" s="3" t="s">
        <v>211</v>
      </c>
      <c r="L1388" s="3">
        <v>0.5664</v>
      </c>
      <c r="M1388" s="3">
        <v>11328.0</v>
      </c>
      <c r="N1388" s="3">
        <v>3.0</v>
      </c>
      <c r="O1388" s="3">
        <v>514907.0</v>
      </c>
      <c r="P1388" s="3" t="s">
        <v>3512</v>
      </c>
      <c r="Q1388" s="3">
        <v>1321447.0</v>
      </c>
      <c r="R1388" s="3"/>
      <c r="S1388" s="3">
        <v>9062.4</v>
      </c>
      <c r="T1388" s="3" t="s">
        <v>37</v>
      </c>
      <c r="U1388" s="3">
        <v>9062.4</v>
      </c>
      <c r="V1388" s="5">
        <f>(DATE(2026,2,3)-'RICE_Insured Farms_with PPI Pol'!$G1388)+IF('RICE_Insured Farms_with PPI Pol'!$H1388&lt;&gt;'RICE_Insured Farms_with PPI Pol'!$G1388,18,0)</f>
        <v>52</v>
      </c>
      <c r="W1388" s="3" t="str">
        <f t="array" ref="W1388">IFS(V1388&gt;120, "Harvested", V1388&gt;=113, "Yellow Ripening", V1388&gt;=101, "Dough Stage", V1388&gt;=93, "Milking Stage", V1388&gt;=86, "Flowering", V1388&gt;=56, "Panicle Initiation/Booting", V1388&lt;56, "Vegetative/Tillering")</f>
        <v>Vegetative/Tillering</v>
      </c>
    </row>
    <row r="1389" ht="15.75" customHeight="1">
      <c r="A1389" s="3">
        <v>1388.0</v>
      </c>
      <c r="B1389" s="3" t="s">
        <v>23</v>
      </c>
      <c r="C1389" s="3" t="s">
        <v>24</v>
      </c>
      <c r="D1389" s="3" t="s">
        <v>538</v>
      </c>
      <c r="E1389" s="3" t="s">
        <v>1138</v>
      </c>
      <c r="F1389" s="3">
        <v>1190663.0</v>
      </c>
      <c r="G1389" s="4">
        <v>46026.0</v>
      </c>
      <c r="H1389" s="4">
        <v>46121.0</v>
      </c>
      <c r="I1389" s="3" t="s">
        <v>3513</v>
      </c>
      <c r="J1389" s="3" t="s">
        <v>3514</v>
      </c>
      <c r="K1389" s="3" t="s">
        <v>1925</v>
      </c>
      <c r="L1389" s="3">
        <v>1.2426</v>
      </c>
      <c r="M1389" s="3">
        <v>31065.0</v>
      </c>
      <c r="N1389" s="3">
        <v>3.0</v>
      </c>
      <c r="O1389" s="3">
        <v>316310.0</v>
      </c>
      <c r="P1389" s="3" t="s">
        <v>3515</v>
      </c>
      <c r="Q1389" s="3">
        <v>1281487.0</v>
      </c>
      <c r="R1389" s="3"/>
      <c r="S1389" s="3">
        <v>24852.0</v>
      </c>
      <c r="T1389" s="3" t="s">
        <v>37</v>
      </c>
      <c r="U1389" s="3">
        <v>24852.0</v>
      </c>
      <c r="V1389" s="5">
        <f>(DATE(2026,2,3)-'RICE_Insured Farms_with PPI Pol'!$G1389)+IF('RICE_Insured Farms_with PPI Pol'!$H1389&lt;&gt;'RICE_Insured Farms_with PPI Pol'!$G1389,18,0)</f>
        <v>48</v>
      </c>
      <c r="W1389" s="3" t="str">
        <f t="array" ref="W1389">IFS(V1389&gt;120, "Harvested", V1389&gt;=113, "Yellow Ripening", V1389&gt;=101, "Dough Stage", V1389&gt;=93, "Milking Stage", V1389&gt;=86, "Flowering", V1389&gt;=56, "Panicle Initiation/Booting", V1389&lt;56, "Vegetative/Tillering")</f>
        <v>Vegetative/Tillering</v>
      </c>
    </row>
    <row r="1390" ht="15.75" hidden="1" customHeight="1">
      <c r="A1390" s="3">
        <v>1389.0</v>
      </c>
      <c r="B1390" s="3" t="s">
        <v>23</v>
      </c>
      <c r="C1390" s="3" t="s">
        <v>68</v>
      </c>
      <c r="D1390" s="3" t="s">
        <v>289</v>
      </c>
      <c r="E1390" s="3" t="s">
        <v>431</v>
      </c>
      <c r="F1390" s="3">
        <v>1760046.0</v>
      </c>
      <c r="G1390" s="4">
        <v>46035.0</v>
      </c>
      <c r="H1390" s="4">
        <v>46137.0</v>
      </c>
      <c r="I1390" s="3" t="s">
        <v>2439</v>
      </c>
      <c r="J1390" s="3" t="s">
        <v>3516</v>
      </c>
      <c r="K1390" s="3" t="s">
        <v>3517</v>
      </c>
      <c r="L1390" s="3">
        <v>0.9741</v>
      </c>
      <c r="M1390" s="3">
        <v>24352.5</v>
      </c>
      <c r="N1390" s="3">
        <v>2.0</v>
      </c>
      <c r="O1390" s="3">
        <v>330315.0</v>
      </c>
      <c r="P1390" s="3" t="s">
        <v>3518</v>
      </c>
      <c r="Q1390" s="3">
        <v>1117998.0</v>
      </c>
      <c r="R1390" s="3"/>
      <c r="S1390" s="3">
        <v>17046.75</v>
      </c>
      <c r="T1390" s="3" t="s">
        <v>31</v>
      </c>
      <c r="U1390" s="3">
        <v>17046.75</v>
      </c>
      <c r="V1390" s="5">
        <f>(DATE(2026,2,3)-'RICE_Insured Farms_with PPI Pol'!$G1390)+IF('RICE_Insured Farms_with PPI Pol'!$H1390&lt;&gt;'RICE_Insured Farms_with PPI Pol'!$G1390,18,0)</f>
        <v>39</v>
      </c>
      <c r="W1390" s="3" t="str">
        <f t="array" ref="W1390">IFS(V1390&gt;120, "Harvested", V1390&gt;=113, "Yellow Ripening", V1390&gt;=101, "Dough Stage", V1390&gt;=93, "Milking Stage", V1390&gt;=86, "Flowering", V1390&gt;=56, "Panicle Initiation/Booting", V1390&lt;56, "Vegetative/Tillering")</f>
        <v>Vegetative/Tillering</v>
      </c>
    </row>
    <row r="1391" ht="15.75" hidden="1" customHeight="1">
      <c r="A1391" s="3">
        <v>1390.0</v>
      </c>
      <c r="B1391" s="3" t="s">
        <v>23</v>
      </c>
      <c r="C1391" s="3" t="s">
        <v>121</v>
      </c>
      <c r="D1391" s="3" t="s">
        <v>384</v>
      </c>
      <c r="E1391" s="3" t="s">
        <v>321</v>
      </c>
      <c r="F1391" s="3">
        <v>1742526.0</v>
      </c>
      <c r="G1391" s="4">
        <v>46032.0</v>
      </c>
      <c r="H1391" s="4">
        <v>46152.0</v>
      </c>
      <c r="I1391" s="3" t="s">
        <v>3519</v>
      </c>
      <c r="J1391" s="3" t="s">
        <v>1050</v>
      </c>
      <c r="K1391" s="3" t="s">
        <v>3520</v>
      </c>
      <c r="L1391" s="3">
        <v>0.6323</v>
      </c>
      <c r="M1391" s="3">
        <v>15807.5</v>
      </c>
      <c r="N1391" s="3">
        <v>1.0</v>
      </c>
      <c r="O1391" s="3">
        <v>46532.0</v>
      </c>
      <c r="P1391" s="3" t="s">
        <v>3521</v>
      </c>
      <c r="Q1391" s="3">
        <v>1066390.0</v>
      </c>
      <c r="R1391" s="3"/>
      <c r="S1391" s="3">
        <v>9484.5</v>
      </c>
      <c r="T1391" s="3" t="s">
        <v>62</v>
      </c>
      <c r="U1391" s="3">
        <v>9484.5</v>
      </c>
      <c r="V1391" s="5">
        <f>(DATE(2026,2,3)-'RICE_Insured Farms_with PPI Pol'!$G1391)+IF('RICE_Insured Farms_with PPI Pol'!$H1391&lt;&gt;'RICE_Insured Farms_with PPI Pol'!$G1391,18,0)</f>
        <v>42</v>
      </c>
      <c r="W1391" s="3" t="str">
        <f t="array" ref="W1391">IFS(V1391&gt;120, "Harvested", V1391&gt;=113, "Yellow Ripening", V1391&gt;=101, "Dough Stage", V1391&gt;=93, "Milking Stage", V1391&gt;=86, "Flowering", V1391&gt;=56, "Panicle Initiation/Booting", V1391&lt;56, "Vegetative/Tillering")</f>
        <v>Vegetative/Tillering</v>
      </c>
    </row>
    <row r="1392" ht="15.75" hidden="1" customHeight="1">
      <c r="A1392" s="3">
        <v>1391.0</v>
      </c>
      <c r="B1392" s="3" t="s">
        <v>23</v>
      </c>
      <c r="C1392" s="3" t="s">
        <v>121</v>
      </c>
      <c r="D1392" s="3" t="s">
        <v>384</v>
      </c>
      <c r="E1392" s="3" t="s">
        <v>321</v>
      </c>
      <c r="F1392" s="3">
        <v>1742526.0</v>
      </c>
      <c r="G1392" s="4">
        <v>46032.0</v>
      </c>
      <c r="H1392" s="4">
        <v>46152.0</v>
      </c>
      <c r="I1392" s="3" t="s">
        <v>3519</v>
      </c>
      <c r="J1392" s="3" t="s">
        <v>1050</v>
      </c>
      <c r="K1392" s="3" t="s">
        <v>3520</v>
      </c>
      <c r="L1392" s="3">
        <v>0.7643</v>
      </c>
      <c r="M1392" s="3">
        <v>19107.5</v>
      </c>
      <c r="N1392" s="3">
        <v>1.0</v>
      </c>
      <c r="O1392" s="3">
        <v>46532.0</v>
      </c>
      <c r="P1392" s="3" t="s">
        <v>3521</v>
      </c>
      <c r="Q1392" s="3">
        <v>1277135.0</v>
      </c>
      <c r="R1392" s="3"/>
      <c r="S1392" s="3">
        <v>11464.5</v>
      </c>
      <c r="T1392" s="3" t="s">
        <v>62</v>
      </c>
      <c r="U1392" s="3">
        <v>11464.5</v>
      </c>
      <c r="V1392" s="5">
        <f>(DATE(2026,2,3)-'RICE_Insured Farms_with PPI Pol'!$G1392)+IF('RICE_Insured Farms_with PPI Pol'!$H1392&lt;&gt;'RICE_Insured Farms_with PPI Pol'!$G1392,18,0)</f>
        <v>42</v>
      </c>
      <c r="W1392" s="3" t="str">
        <f t="array" ref="W1392">IFS(V1392&gt;120, "Harvested", V1392&gt;=113, "Yellow Ripening", V1392&gt;=101, "Dough Stage", V1392&gt;=93, "Milking Stage", V1392&gt;=86, "Flowering", V1392&gt;=56, "Panicle Initiation/Booting", V1392&lt;56, "Vegetative/Tillering")</f>
        <v>Vegetative/Tillering</v>
      </c>
    </row>
    <row r="1393" ht="15.75" customHeight="1">
      <c r="A1393" s="3">
        <v>1392.0</v>
      </c>
      <c r="B1393" s="3" t="s">
        <v>23</v>
      </c>
      <c r="C1393" s="3" t="s">
        <v>68</v>
      </c>
      <c r="D1393" s="3" t="s">
        <v>69</v>
      </c>
      <c r="E1393" s="3" t="s">
        <v>184</v>
      </c>
      <c r="F1393" s="3">
        <v>1739646.0</v>
      </c>
      <c r="G1393" s="4">
        <v>46019.0</v>
      </c>
      <c r="H1393" s="4">
        <v>46121.0</v>
      </c>
      <c r="I1393" s="3" t="s">
        <v>3522</v>
      </c>
      <c r="J1393" s="3" t="s">
        <v>2598</v>
      </c>
      <c r="K1393" s="3" t="s">
        <v>73</v>
      </c>
      <c r="L1393" s="3">
        <v>1.4526</v>
      </c>
      <c r="M1393" s="3">
        <v>36315.0</v>
      </c>
      <c r="N1393" s="3">
        <v>3.0</v>
      </c>
      <c r="O1393" s="3">
        <v>195441.0</v>
      </c>
      <c r="P1393" s="3" t="s">
        <v>3523</v>
      </c>
      <c r="Q1393" s="3">
        <v>1137561.0</v>
      </c>
      <c r="R1393" s="3"/>
      <c r="S1393" s="3">
        <v>29052.0</v>
      </c>
      <c r="T1393" s="3" t="s">
        <v>37</v>
      </c>
      <c r="U1393" s="3">
        <v>29052.0</v>
      </c>
      <c r="V1393" s="5">
        <f>(DATE(2026,2,3)-'RICE_Insured Farms_with PPI Pol'!$G1393)+IF('RICE_Insured Farms_with PPI Pol'!$H1393&lt;&gt;'RICE_Insured Farms_with PPI Pol'!$G1393,18,0)</f>
        <v>55</v>
      </c>
      <c r="W1393" s="3" t="str">
        <f t="array" ref="W1393">IFS(V1393&gt;120, "Harvested", V1393&gt;=113, "Yellow Ripening", V1393&gt;=101, "Dough Stage", V1393&gt;=93, "Milking Stage", V1393&gt;=86, "Flowering", V1393&gt;=56, "Panicle Initiation/Booting", V1393&lt;56, "Vegetative/Tillering")</f>
        <v>Vegetative/Tillering</v>
      </c>
    </row>
    <row r="1394" ht="15.75" hidden="1" customHeight="1">
      <c r="A1394" s="3">
        <v>163.0</v>
      </c>
      <c r="B1394" s="3" t="s">
        <v>23</v>
      </c>
      <c r="C1394" s="3" t="s">
        <v>68</v>
      </c>
      <c r="D1394" s="3" t="s">
        <v>289</v>
      </c>
      <c r="E1394" s="3" t="s">
        <v>290</v>
      </c>
      <c r="F1394" s="3">
        <v>1760020.0</v>
      </c>
      <c r="G1394" s="4">
        <v>46006.0</v>
      </c>
      <c r="H1394" s="4">
        <v>46108.0</v>
      </c>
      <c r="I1394" s="3" t="s">
        <v>3524</v>
      </c>
      <c r="J1394" s="3" t="s">
        <v>3525</v>
      </c>
      <c r="K1394" s="3" t="s">
        <v>976</v>
      </c>
      <c r="L1394" s="3">
        <v>2.0</v>
      </c>
      <c r="M1394" s="3">
        <v>50000.0</v>
      </c>
      <c r="N1394" s="3">
        <v>4.0</v>
      </c>
      <c r="O1394" s="3">
        <v>239447.0</v>
      </c>
      <c r="P1394" s="3" t="s">
        <v>3526</v>
      </c>
      <c r="Q1394" s="3">
        <v>953295.0</v>
      </c>
      <c r="R1394" s="3"/>
      <c r="S1394" s="3">
        <v>40000.0</v>
      </c>
      <c r="T1394" s="3" t="s">
        <v>56</v>
      </c>
      <c r="U1394" s="3">
        <v>40000.0</v>
      </c>
      <c r="V1394" s="5">
        <f>(DATE(2026,2,3)-'RICE_Insured Farms_with PPI Pol'!$G1394)+IF('RICE_Insured Farms_with PPI Pol'!$H1394&lt;&gt;'RICE_Insured Farms_with PPI Pol'!$G1394,18,0)</f>
        <v>68</v>
      </c>
      <c r="W1394" s="3" t="str">
        <f t="array" ref="W1394">IFS(V1394&gt;120, "Harvested", V1394&gt;=113, "Yellow Ripening", V1394&gt;=101, "Dough Stage", V1394&gt;=93, "Milking Stage", V1394&gt;=86, "Flowering", V1394&gt;=56, "Panicle Initiation/Booting", V1394&lt;56, "Vegetative/Tillering")</f>
        <v>Panicle Initiation/Booting</v>
      </c>
    </row>
    <row r="1395" ht="15.75" hidden="1" customHeight="1">
      <c r="A1395" s="3">
        <v>1394.0</v>
      </c>
      <c r="B1395" s="3" t="s">
        <v>23</v>
      </c>
      <c r="C1395" s="3" t="s">
        <v>68</v>
      </c>
      <c r="D1395" s="3" t="s">
        <v>289</v>
      </c>
      <c r="E1395" s="3" t="s">
        <v>290</v>
      </c>
      <c r="F1395" s="3">
        <v>1760035.0</v>
      </c>
      <c r="G1395" s="4">
        <v>46033.0</v>
      </c>
      <c r="H1395" s="4">
        <v>46135.0</v>
      </c>
      <c r="I1395" s="3" t="s">
        <v>3527</v>
      </c>
      <c r="J1395" s="3" t="s">
        <v>52</v>
      </c>
      <c r="K1395" s="3" t="s">
        <v>2008</v>
      </c>
      <c r="L1395" s="3">
        <v>0.6653</v>
      </c>
      <c r="M1395" s="3">
        <v>16632.5</v>
      </c>
      <c r="N1395" s="3">
        <v>2.0</v>
      </c>
      <c r="O1395" s="3">
        <v>107495.0</v>
      </c>
      <c r="P1395" s="3" t="s">
        <v>3528</v>
      </c>
      <c r="Q1395" s="3">
        <v>1134857.0</v>
      </c>
      <c r="R1395" s="3"/>
      <c r="S1395" s="3">
        <v>11642.75</v>
      </c>
      <c r="T1395" s="3" t="s">
        <v>31</v>
      </c>
      <c r="U1395" s="3">
        <v>11642.75</v>
      </c>
      <c r="V1395" s="5">
        <f>(DATE(2026,2,3)-'RICE_Insured Farms_with PPI Pol'!$G1395)+IF('RICE_Insured Farms_with PPI Pol'!$H1395&lt;&gt;'RICE_Insured Farms_with PPI Pol'!$G1395,18,0)</f>
        <v>41</v>
      </c>
      <c r="W1395" s="3" t="str">
        <f t="array" ref="W1395">IFS(V1395&gt;120, "Harvested", V1395&gt;=113, "Yellow Ripening", V1395&gt;=101, "Dough Stage", V1395&gt;=93, "Milking Stage", V1395&gt;=86, "Flowering", V1395&gt;=56, "Panicle Initiation/Booting", V1395&lt;56, "Vegetative/Tillering")</f>
        <v>Vegetative/Tillering</v>
      </c>
    </row>
    <row r="1396" ht="15.75" hidden="1" customHeight="1">
      <c r="A1396" s="3">
        <v>1395.0</v>
      </c>
      <c r="B1396" s="3" t="s">
        <v>23</v>
      </c>
      <c r="C1396" s="3" t="s">
        <v>68</v>
      </c>
      <c r="D1396" s="3" t="s">
        <v>289</v>
      </c>
      <c r="E1396" s="3" t="s">
        <v>290</v>
      </c>
      <c r="F1396" s="3">
        <v>1760035.0</v>
      </c>
      <c r="G1396" s="4">
        <v>46033.0</v>
      </c>
      <c r="H1396" s="4">
        <v>46135.0</v>
      </c>
      <c r="I1396" s="3" t="s">
        <v>3527</v>
      </c>
      <c r="J1396" s="3" t="s">
        <v>52</v>
      </c>
      <c r="K1396" s="3" t="s">
        <v>2008</v>
      </c>
      <c r="L1396" s="3">
        <v>0.4716</v>
      </c>
      <c r="M1396" s="3">
        <v>11790.0</v>
      </c>
      <c r="N1396" s="3">
        <v>2.0</v>
      </c>
      <c r="O1396" s="3">
        <v>107495.0</v>
      </c>
      <c r="P1396" s="3" t="s">
        <v>3528</v>
      </c>
      <c r="Q1396" s="3">
        <v>1134858.0</v>
      </c>
      <c r="R1396" s="3"/>
      <c r="S1396" s="3">
        <v>8253.0</v>
      </c>
      <c r="T1396" s="3" t="s">
        <v>31</v>
      </c>
      <c r="U1396" s="3">
        <v>8253.0</v>
      </c>
      <c r="V1396" s="5">
        <f>(DATE(2026,2,3)-'RICE_Insured Farms_with PPI Pol'!$G1396)+IF('RICE_Insured Farms_with PPI Pol'!$H1396&lt;&gt;'RICE_Insured Farms_with PPI Pol'!$G1396,18,0)</f>
        <v>41</v>
      </c>
      <c r="W1396" s="3" t="str">
        <f t="array" ref="W1396">IFS(V1396&gt;120, "Harvested", V1396&gt;=113, "Yellow Ripening", V1396&gt;=101, "Dough Stage", V1396&gt;=93, "Milking Stage", V1396&gt;=86, "Flowering", V1396&gt;=56, "Panicle Initiation/Booting", V1396&lt;56, "Vegetative/Tillering")</f>
        <v>Vegetative/Tillering</v>
      </c>
    </row>
    <row r="1397" ht="15.75" hidden="1" customHeight="1">
      <c r="A1397" s="3">
        <v>265.0</v>
      </c>
      <c r="B1397" s="3" t="s">
        <v>23</v>
      </c>
      <c r="C1397" s="3" t="s">
        <v>68</v>
      </c>
      <c r="D1397" s="3" t="s">
        <v>289</v>
      </c>
      <c r="E1397" s="3" t="s">
        <v>895</v>
      </c>
      <c r="F1397" s="3">
        <v>1760020.0</v>
      </c>
      <c r="G1397" s="4">
        <v>46019.0</v>
      </c>
      <c r="H1397" s="4">
        <v>46111.0</v>
      </c>
      <c r="I1397" s="3" t="s">
        <v>3529</v>
      </c>
      <c r="J1397" s="3" t="s">
        <v>3530</v>
      </c>
      <c r="K1397" s="3" t="s">
        <v>1180</v>
      </c>
      <c r="L1397" s="3">
        <v>0.9052</v>
      </c>
      <c r="M1397" s="3">
        <v>22630.0</v>
      </c>
      <c r="N1397" s="3">
        <v>4.0</v>
      </c>
      <c r="O1397" s="3">
        <v>199575.0</v>
      </c>
      <c r="P1397" s="3"/>
      <c r="Q1397" s="3">
        <v>1329888.0</v>
      </c>
      <c r="R1397" s="3"/>
      <c r="S1397" s="3">
        <v>18104.0</v>
      </c>
      <c r="T1397" s="3" t="s">
        <v>56</v>
      </c>
      <c r="U1397" s="3">
        <v>18104.0</v>
      </c>
      <c r="V1397" s="5">
        <f>(DATE(2026,2,3)-'RICE_Insured Farms_with PPI Pol'!$G1397)+IF('RICE_Insured Farms_with PPI Pol'!$H1397&lt;&gt;'RICE_Insured Farms_with PPI Pol'!$G1397,18,0)</f>
        <v>55</v>
      </c>
      <c r="W1397" s="3" t="str">
        <f t="array" ref="W1397">IFS(V1397&gt;120, "Harvested", V1397&gt;=113, "Yellow Ripening", V1397&gt;=101, "Dough Stage", V1397&gt;=93, "Milking Stage", V1397&gt;=86, "Flowering", V1397&gt;=56, "Panicle Initiation/Booting", V1397&lt;56, "Vegetative/Tillering")</f>
        <v>Vegetative/Tillering</v>
      </c>
    </row>
    <row r="1398" ht="15.75" customHeight="1">
      <c r="A1398" s="3">
        <v>1397.0</v>
      </c>
      <c r="B1398" s="3" t="s">
        <v>23</v>
      </c>
      <c r="C1398" s="3" t="s">
        <v>24</v>
      </c>
      <c r="D1398" s="3" t="s">
        <v>25</v>
      </c>
      <c r="E1398" s="3" t="s">
        <v>1374</v>
      </c>
      <c r="F1398" s="3">
        <v>1760468.0</v>
      </c>
      <c r="G1398" s="4">
        <v>46019.0</v>
      </c>
      <c r="H1398" s="4">
        <v>46122.0</v>
      </c>
      <c r="I1398" s="3" t="s">
        <v>3013</v>
      </c>
      <c r="J1398" s="3" t="s">
        <v>3531</v>
      </c>
      <c r="K1398" s="3" t="s">
        <v>3015</v>
      </c>
      <c r="L1398" s="3">
        <v>0.25</v>
      </c>
      <c r="M1398" s="3">
        <v>6250.0</v>
      </c>
      <c r="N1398" s="3">
        <v>3.0</v>
      </c>
      <c r="O1398" s="3">
        <v>492216.0</v>
      </c>
      <c r="P1398" s="3" t="s">
        <v>3532</v>
      </c>
      <c r="Q1398" s="3">
        <v>1208890.0</v>
      </c>
      <c r="R1398" s="3"/>
      <c r="S1398" s="3">
        <v>5000.0</v>
      </c>
      <c r="T1398" s="3" t="s">
        <v>37</v>
      </c>
      <c r="U1398" s="3">
        <v>5000.0</v>
      </c>
      <c r="V1398" s="5">
        <f>(DATE(2026,2,3)-'RICE_Insured Farms_with PPI Pol'!$G1398)+IF('RICE_Insured Farms_with PPI Pol'!$H1398&lt;&gt;'RICE_Insured Farms_with PPI Pol'!$G1398,18,0)</f>
        <v>55</v>
      </c>
      <c r="W1398" s="3" t="str">
        <f t="array" ref="W1398">IFS(V1398&gt;120, "Harvested", V1398&gt;=113, "Yellow Ripening", V1398&gt;=101, "Dough Stage", V1398&gt;=93, "Milking Stage", V1398&gt;=86, "Flowering", V1398&gt;=56, "Panicle Initiation/Booting", V1398&lt;56, "Vegetative/Tillering")</f>
        <v>Vegetative/Tillering</v>
      </c>
    </row>
    <row r="1399" ht="15.75" hidden="1" customHeight="1">
      <c r="A1399" s="3">
        <v>599.0</v>
      </c>
      <c r="B1399" s="3" t="s">
        <v>23</v>
      </c>
      <c r="C1399" s="3" t="s">
        <v>68</v>
      </c>
      <c r="D1399" s="3" t="s">
        <v>289</v>
      </c>
      <c r="E1399" s="3" t="s">
        <v>702</v>
      </c>
      <c r="F1399" s="3">
        <v>1760010.0</v>
      </c>
      <c r="G1399" s="4">
        <v>46009.0</v>
      </c>
      <c r="H1399" s="4">
        <v>46111.0</v>
      </c>
      <c r="I1399" s="3" t="s">
        <v>1844</v>
      </c>
      <c r="J1399" s="3" t="s">
        <v>3533</v>
      </c>
      <c r="K1399" s="3" t="s">
        <v>419</v>
      </c>
      <c r="L1399" s="3">
        <v>1.3</v>
      </c>
      <c r="M1399" s="3">
        <v>32500.0</v>
      </c>
      <c r="N1399" s="3">
        <v>4.0</v>
      </c>
      <c r="O1399" s="3">
        <v>117255.0</v>
      </c>
      <c r="P1399" s="3" t="s">
        <v>3534</v>
      </c>
      <c r="Q1399" s="3">
        <v>1140815.0</v>
      </c>
      <c r="R1399" s="3"/>
      <c r="S1399" s="3">
        <v>26000.0</v>
      </c>
      <c r="T1399" s="3" t="s">
        <v>56</v>
      </c>
      <c r="U1399" s="3">
        <v>26000.0</v>
      </c>
      <c r="V1399" s="5">
        <f>(DATE(2026,2,3)-'RICE_Insured Farms_with PPI Pol'!$G1399)+IF('RICE_Insured Farms_with PPI Pol'!$H1399&lt;&gt;'RICE_Insured Farms_with PPI Pol'!$G1399,18,0)</f>
        <v>65</v>
      </c>
      <c r="W1399" s="3" t="str">
        <f t="array" ref="W1399">IFS(V1399&gt;120, "Harvested", V1399&gt;=113, "Yellow Ripening", V1399&gt;=101, "Dough Stage", V1399&gt;=93, "Milking Stage", V1399&gt;=86, "Flowering", V1399&gt;=56, "Panicle Initiation/Booting", V1399&lt;56, "Vegetative/Tillering")</f>
        <v>Panicle Initiation/Booting</v>
      </c>
    </row>
    <row r="1400" ht="15.75" hidden="1" customHeight="1">
      <c r="A1400" s="3">
        <v>1399.0</v>
      </c>
      <c r="B1400" s="3" t="s">
        <v>23</v>
      </c>
      <c r="C1400" s="3" t="s">
        <v>68</v>
      </c>
      <c r="D1400" s="3" t="s">
        <v>289</v>
      </c>
      <c r="E1400" s="3" t="s">
        <v>290</v>
      </c>
      <c r="F1400" s="3">
        <v>1760033.0</v>
      </c>
      <c r="G1400" s="4">
        <v>46031.0</v>
      </c>
      <c r="H1400" s="4">
        <v>46133.0</v>
      </c>
      <c r="I1400" s="3" t="s">
        <v>3013</v>
      </c>
      <c r="J1400" s="3" t="s">
        <v>712</v>
      </c>
      <c r="K1400" s="3" t="s">
        <v>291</v>
      </c>
      <c r="L1400" s="3">
        <v>0.1526</v>
      </c>
      <c r="M1400" s="3">
        <v>3815.0</v>
      </c>
      <c r="N1400" s="3">
        <v>2.0</v>
      </c>
      <c r="O1400" s="3">
        <v>6504.0</v>
      </c>
      <c r="P1400" s="3"/>
      <c r="Q1400" s="3">
        <v>1135990.0</v>
      </c>
      <c r="R1400" s="3"/>
      <c r="S1400" s="3">
        <v>2670.5</v>
      </c>
      <c r="T1400" s="3" t="s">
        <v>31</v>
      </c>
      <c r="U1400" s="3">
        <v>2670.5</v>
      </c>
      <c r="V1400" s="5">
        <f>(DATE(2026,2,3)-'RICE_Insured Farms_with PPI Pol'!$G1400)+IF('RICE_Insured Farms_with PPI Pol'!$H1400&lt;&gt;'RICE_Insured Farms_with PPI Pol'!$G1400,18,0)</f>
        <v>43</v>
      </c>
      <c r="W1400" s="3" t="str">
        <f t="array" ref="W1400">IFS(V1400&gt;120, "Harvested", V1400&gt;=113, "Yellow Ripening", V1400&gt;=101, "Dough Stage", V1400&gt;=93, "Milking Stage", V1400&gt;=86, "Flowering", V1400&gt;=56, "Panicle Initiation/Booting", V1400&lt;56, "Vegetative/Tillering")</f>
        <v>Vegetative/Tillering</v>
      </c>
    </row>
    <row r="1401" ht="15.75" hidden="1" customHeight="1">
      <c r="A1401" s="3">
        <v>1400.0</v>
      </c>
      <c r="B1401" s="3" t="s">
        <v>23</v>
      </c>
      <c r="C1401" s="3" t="s">
        <v>68</v>
      </c>
      <c r="D1401" s="3" t="s">
        <v>289</v>
      </c>
      <c r="E1401" s="3" t="s">
        <v>290</v>
      </c>
      <c r="F1401" s="3">
        <v>1760033.0</v>
      </c>
      <c r="G1401" s="4">
        <v>46031.0</v>
      </c>
      <c r="H1401" s="4">
        <v>46133.0</v>
      </c>
      <c r="I1401" s="3" t="s">
        <v>3013</v>
      </c>
      <c r="J1401" s="3" t="s">
        <v>712</v>
      </c>
      <c r="K1401" s="3" t="s">
        <v>291</v>
      </c>
      <c r="L1401" s="3">
        <v>0.3111</v>
      </c>
      <c r="M1401" s="3">
        <v>7777.5</v>
      </c>
      <c r="N1401" s="3">
        <v>2.0</v>
      </c>
      <c r="O1401" s="3">
        <v>6504.0</v>
      </c>
      <c r="P1401" s="3"/>
      <c r="Q1401" s="3">
        <v>785072.0</v>
      </c>
      <c r="R1401" s="3"/>
      <c r="S1401" s="3">
        <v>5444.25</v>
      </c>
      <c r="T1401" s="3" t="s">
        <v>31</v>
      </c>
      <c r="U1401" s="3">
        <v>5444.25</v>
      </c>
      <c r="V1401" s="5">
        <f>(DATE(2026,2,3)-'RICE_Insured Farms_with PPI Pol'!$G1401)+IF('RICE_Insured Farms_with PPI Pol'!$H1401&lt;&gt;'RICE_Insured Farms_with PPI Pol'!$G1401,18,0)</f>
        <v>43</v>
      </c>
      <c r="W1401" s="3" t="str">
        <f t="array" ref="W1401">IFS(V1401&gt;120, "Harvested", V1401&gt;=113, "Yellow Ripening", V1401&gt;=101, "Dough Stage", V1401&gt;=93, "Milking Stage", V1401&gt;=86, "Flowering", V1401&gt;=56, "Panicle Initiation/Booting", V1401&lt;56, "Vegetative/Tillering")</f>
        <v>Vegetative/Tillering</v>
      </c>
    </row>
    <row r="1402" ht="15.75" hidden="1" customHeight="1">
      <c r="A1402" s="3">
        <v>1401.0</v>
      </c>
      <c r="B1402" s="3" t="s">
        <v>23</v>
      </c>
      <c r="C1402" s="3" t="s">
        <v>311</v>
      </c>
      <c r="D1402" s="3" t="s">
        <v>329</v>
      </c>
      <c r="E1402" s="3" t="s">
        <v>330</v>
      </c>
      <c r="F1402" s="3">
        <v>1740205.0</v>
      </c>
      <c r="G1402" s="4">
        <v>46042.0</v>
      </c>
      <c r="H1402" s="4">
        <v>46137.0</v>
      </c>
      <c r="I1402" s="3" t="s">
        <v>3535</v>
      </c>
      <c r="J1402" s="3" t="s">
        <v>3536</v>
      </c>
      <c r="K1402" s="3" t="s">
        <v>3537</v>
      </c>
      <c r="L1402" s="3">
        <v>0.5455</v>
      </c>
      <c r="M1402" s="3">
        <v>13637.5</v>
      </c>
      <c r="N1402" s="3">
        <v>2.0</v>
      </c>
      <c r="O1402" s="3">
        <v>71006.0</v>
      </c>
      <c r="P1402" s="3" t="s">
        <v>3538</v>
      </c>
      <c r="Q1402" s="3">
        <v>1269905.0</v>
      </c>
      <c r="R1402" s="3"/>
      <c r="S1402" s="3">
        <v>9546.25</v>
      </c>
      <c r="T1402" s="3" t="s">
        <v>31</v>
      </c>
      <c r="U1402" s="3">
        <v>9546.25</v>
      </c>
      <c r="V1402" s="5">
        <f>(DATE(2026,2,3)-'RICE_Insured Farms_with PPI Pol'!$G1402)+IF('RICE_Insured Farms_with PPI Pol'!$H1402&lt;&gt;'RICE_Insured Farms_with PPI Pol'!$G1402,18,0)</f>
        <v>32</v>
      </c>
      <c r="W1402" s="3" t="str">
        <f t="array" ref="W1402">IFS(V1402&gt;120, "Harvested", V1402&gt;=113, "Yellow Ripening", V1402&gt;=101, "Dough Stage", V1402&gt;=93, "Milking Stage", V1402&gt;=86, "Flowering", V1402&gt;=56, "Panicle Initiation/Booting", V1402&lt;56, "Vegetative/Tillering")</f>
        <v>Vegetative/Tillering</v>
      </c>
    </row>
    <row r="1403" ht="15.75" hidden="1" customHeight="1">
      <c r="A1403" s="3">
        <v>1402.0</v>
      </c>
      <c r="B1403" s="3" t="s">
        <v>23</v>
      </c>
      <c r="C1403" s="3" t="s">
        <v>311</v>
      </c>
      <c r="D1403" s="3" t="s">
        <v>329</v>
      </c>
      <c r="E1403" s="3" t="s">
        <v>330</v>
      </c>
      <c r="F1403" s="3">
        <v>1740205.0</v>
      </c>
      <c r="G1403" s="4">
        <v>46042.0</v>
      </c>
      <c r="H1403" s="4">
        <v>46137.0</v>
      </c>
      <c r="I1403" s="3" t="s">
        <v>3535</v>
      </c>
      <c r="J1403" s="3" t="s">
        <v>3536</v>
      </c>
      <c r="K1403" s="3" t="s">
        <v>3537</v>
      </c>
      <c r="L1403" s="3">
        <v>0.6762</v>
      </c>
      <c r="M1403" s="3">
        <v>16905.0</v>
      </c>
      <c r="N1403" s="3">
        <v>2.0</v>
      </c>
      <c r="O1403" s="3">
        <v>71006.0</v>
      </c>
      <c r="P1403" s="3" t="s">
        <v>3538</v>
      </c>
      <c r="Q1403" s="3">
        <v>1269906.0</v>
      </c>
      <c r="R1403" s="3"/>
      <c r="S1403" s="3">
        <v>11833.5</v>
      </c>
      <c r="T1403" s="3" t="s">
        <v>31</v>
      </c>
      <c r="U1403" s="3">
        <v>11833.5</v>
      </c>
      <c r="V1403" s="5">
        <f>(DATE(2026,2,3)-'RICE_Insured Farms_with PPI Pol'!$G1403)+IF('RICE_Insured Farms_with PPI Pol'!$H1403&lt;&gt;'RICE_Insured Farms_with PPI Pol'!$G1403,18,0)</f>
        <v>32</v>
      </c>
      <c r="W1403" s="3" t="str">
        <f t="array" ref="W1403">IFS(V1403&gt;120, "Harvested", V1403&gt;=113, "Yellow Ripening", V1403&gt;=101, "Dough Stage", V1403&gt;=93, "Milking Stage", V1403&gt;=86, "Flowering", V1403&gt;=56, "Panicle Initiation/Booting", V1403&lt;56, "Vegetative/Tillering")</f>
        <v>Vegetative/Tillering</v>
      </c>
    </row>
    <row r="1404" ht="15.75" customHeight="1">
      <c r="A1404" s="3">
        <v>1403.0</v>
      </c>
      <c r="B1404" s="3" t="s">
        <v>23</v>
      </c>
      <c r="C1404" s="3" t="s">
        <v>68</v>
      </c>
      <c r="D1404" s="3" t="s">
        <v>289</v>
      </c>
      <c r="E1404" s="3" t="s">
        <v>431</v>
      </c>
      <c r="F1404" s="3">
        <v>1760019.0</v>
      </c>
      <c r="G1404" s="4">
        <v>46022.0</v>
      </c>
      <c r="H1404" s="4">
        <v>46124.0</v>
      </c>
      <c r="I1404" s="3" t="s">
        <v>3539</v>
      </c>
      <c r="J1404" s="3" t="s">
        <v>3540</v>
      </c>
      <c r="K1404" s="3" t="s">
        <v>2439</v>
      </c>
      <c r="L1404" s="3">
        <v>0.3443</v>
      </c>
      <c r="M1404" s="3">
        <v>8607.5</v>
      </c>
      <c r="N1404" s="3">
        <v>3.0</v>
      </c>
      <c r="O1404" s="3">
        <v>387678.0</v>
      </c>
      <c r="P1404" s="3" t="s">
        <v>3541</v>
      </c>
      <c r="Q1404" s="3">
        <v>971548.0</v>
      </c>
      <c r="R1404" s="3"/>
      <c r="S1404" s="3">
        <v>6886.0</v>
      </c>
      <c r="T1404" s="3" t="s">
        <v>37</v>
      </c>
      <c r="U1404" s="3">
        <v>6886.0</v>
      </c>
      <c r="V1404" s="5">
        <f>(DATE(2026,2,3)-'RICE_Insured Farms_with PPI Pol'!$G1404)+IF('RICE_Insured Farms_with PPI Pol'!$H1404&lt;&gt;'RICE_Insured Farms_with PPI Pol'!$G1404,18,0)</f>
        <v>52</v>
      </c>
      <c r="W1404" s="3" t="str">
        <f t="array" ref="W1404">IFS(V1404&gt;120, "Harvested", V1404&gt;=113, "Yellow Ripening", V1404&gt;=101, "Dough Stage", V1404&gt;=93, "Milking Stage", V1404&gt;=86, "Flowering", V1404&gt;=56, "Panicle Initiation/Booting", V1404&lt;56, "Vegetative/Tillering")</f>
        <v>Vegetative/Tillering</v>
      </c>
    </row>
    <row r="1405" ht="15.75" hidden="1" customHeight="1">
      <c r="A1405" s="3">
        <v>1404.0</v>
      </c>
      <c r="B1405" s="3" t="s">
        <v>23</v>
      </c>
      <c r="C1405" s="3" t="s">
        <v>68</v>
      </c>
      <c r="D1405" s="3" t="s">
        <v>289</v>
      </c>
      <c r="E1405" s="3" t="s">
        <v>571</v>
      </c>
      <c r="F1405" s="3">
        <v>1760010.0</v>
      </c>
      <c r="G1405" s="4">
        <v>46031.0</v>
      </c>
      <c r="H1405" s="4">
        <v>46133.0</v>
      </c>
      <c r="I1405" s="3" t="s">
        <v>3542</v>
      </c>
      <c r="J1405" s="3" t="s">
        <v>901</v>
      </c>
      <c r="K1405" s="3" t="s">
        <v>1565</v>
      </c>
      <c r="L1405" s="3">
        <v>0.935</v>
      </c>
      <c r="M1405" s="3">
        <v>23375.0</v>
      </c>
      <c r="N1405" s="3">
        <v>2.0</v>
      </c>
      <c r="O1405" s="3">
        <v>204780.0</v>
      </c>
      <c r="P1405" s="3"/>
      <c r="Q1405" s="3">
        <v>1141581.0</v>
      </c>
      <c r="R1405" s="3"/>
      <c r="S1405" s="3">
        <v>16362.5</v>
      </c>
      <c r="T1405" s="3" t="s">
        <v>31</v>
      </c>
      <c r="U1405" s="3">
        <v>16362.5</v>
      </c>
      <c r="V1405" s="5">
        <f>(DATE(2026,2,3)-'RICE_Insured Farms_with PPI Pol'!$G1405)+IF('RICE_Insured Farms_with PPI Pol'!$H1405&lt;&gt;'RICE_Insured Farms_with PPI Pol'!$G1405,18,0)</f>
        <v>43</v>
      </c>
      <c r="W1405" s="3" t="str">
        <f t="array" ref="W1405">IFS(V1405&gt;120, "Harvested", V1405&gt;=113, "Yellow Ripening", V1405&gt;=101, "Dough Stage", V1405&gt;=93, "Milking Stage", V1405&gt;=86, "Flowering", V1405&gt;=56, "Panicle Initiation/Booting", V1405&lt;56, "Vegetative/Tillering")</f>
        <v>Vegetative/Tillering</v>
      </c>
    </row>
    <row r="1406" ht="15.75" hidden="1" customHeight="1">
      <c r="A1406" s="3">
        <v>1405.0</v>
      </c>
      <c r="B1406" s="3" t="s">
        <v>23</v>
      </c>
      <c r="C1406" s="3" t="s">
        <v>121</v>
      </c>
      <c r="D1406" s="3" t="s">
        <v>2002</v>
      </c>
      <c r="E1406" s="3" t="s">
        <v>2003</v>
      </c>
      <c r="F1406" s="3">
        <v>1760608.0</v>
      </c>
      <c r="G1406" s="4">
        <v>46027.0</v>
      </c>
      <c r="H1406" s="4">
        <v>46147.0</v>
      </c>
      <c r="I1406" s="3" t="s">
        <v>3543</v>
      </c>
      <c r="J1406" s="3" t="s">
        <v>3544</v>
      </c>
      <c r="K1406" s="3" t="s">
        <v>548</v>
      </c>
      <c r="L1406" s="3">
        <v>1.2068</v>
      </c>
      <c r="M1406" s="3">
        <v>30170.0</v>
      </c>
      <c r="N1406" s="3">
        <v>1.0</v>
      </c>
      <c r="O1406" s="3">
        <v>10391.0</v>
      </c>
      <c r="P1406" s="3"/>
      <c r="Q1406" s="3">
        <v>1068962.0</v>
      </c>
      <c r="R1406" s="3"/>
      <c r="S1406" s="3">
        <v>18102.0</v>
      </c>
      <c r="T1406" s="3" t="s">
        <v>62</v>
      </c>
      <c r="U1406" s="3">
        <v>18102.0</v>
      </c>
      <c r="V1406" s="5">
        <f>(DATE(2026,2,3)-'RICE_Insured Farms_with PPI Pol'!$G1406)+IF('RICE_Insured Farms_with PPI Pol'!$H1406&lt;&gt;'RICE_Insured Farms_with PPI Pol'!$G1406,18,0)</f>
        <v>47</v>
      </c>
      <c r="W1406" s="3" t="str">
        <f t="array" ref="W1406">IFS(V1406&gt;120, "Harvested", V1406&gt;=113, "Yellow Ripening", V1406&gt;=101, "Dough Stage", V1406&gt;=93, "Milking Stage", V1406&gt;=86, "Flowering", V1406&gt;=56, "Panicle Initiation/Booting", V1406&lt;56, "Vegetative/Tillering")</f>
        <v>Vegetative/Tillering</v>
      </c>
    </row>
    <row r="1407" ht="15.75" hidden="1" customHeight="1">
      <c r="A1407" s="3">
        <v>1406.0</v>
      </c>
      <c r="B1407" s="3" t="s">
        <v>23</v>
      </c>
      <c r="C1407" s="3" t="s">
        <v>121</v>
      </c>
      <c r="D1407" s="3" t="s">
        <v>1368</v>
      </c>
      <c r="E1407" s="3" t="s">
        <v>321</v>
      </c>
      <c r="F1407" s="3">
        <v>1742652.0</v>
      </c>
      <c r="G1407" s="4">
        <v>46023.0</v>
      </c>
      <c r="H1407" s="4">
        <v>46143.0</v>
      </c>
      <c r="I1407" s="3" t="s">
        <v>3545</v>
      </c>
      <c r="J1407" s="3" t="s">
        <v>3546</v>
      </c>
      <c r="K1407" s="3" t="s">
        <v>3547</v>
      </c>
      <c r="L1407" s="3">
        <v>0.7775</v>
      </c>
      <c r="M1407" s="3">
        <v>19437.5</v>
      </c>
      <c r="N1407" s="3">
        <v>2.0</v>
      </c>
      <c r="O1407" s="3">
        <v>56672.0</v>
      </c>
      <c r="P1407" s="3" t="s">
        <v>3548</v>
      </c>
      <c r="Q1407" s="3">
        <v>1139067.0</v>
      </c>
      <c r="R1407" s="3"/>
      <c r="S1407" s="3">
        <v>13606.25</v>
      </c>
      <c r="T1407" s="3" t="s">
        <v>31</v>
      </c>
      <c r="U1407" s="3">
        <v>13606.25</v>
      </c>
      <c r="V1407" s="5">
        <f>(DATE(2026,2,3)-'RICE_Insured Farms_with PPI Pol'!$G1407)+IF('RICE_Insured Farms_with PPI Pol'!$H1407&lt;&gt;'RICE_Insured Farms_with PPI Pol'!$G1407,18,0)</f>
        <v>51</v>
      </c>
      <c r="W1407" s="3" t="str">
        <f t="array" ref="W1407">IFS(V1407&gt;120, "Harvested", V1407&gt;=113, "Yellow Ripening", V1407&gt;=101, "Dough Stage", V1407&gt;=93, "Milking Stage", V1407&gt;=86, "Flowering", V1407&gt;=56, "Panicle Initiation/Booting", V1407&lt;56, "Vegetative/Tillering")</f>
        <v>Vegetative/Tillering</v>
      </c>
    </row>
    <row r="1408" ht="15.75" customHeight="1">
      <c r="A1408" s="3">
        <v>1407.0</v>
      </c>
      <c r="B1408" s="3" t="s">
        <v>23</v>
      </c>
      <c r="C1408" s="3" t="s">
        <v>1453</v>
      </c>
      <c r="D1408" s="3" t="s">
        <v>1454</v>
      </c>
      <c r="E1408" s="3" t="s">
        <v>219</v>
      </c>
      <c r="F1408" s="3">
        <v>1742044.0</v>
      </c>
      <c r="G1408" s="4">
        <v>46018.0</v>
      </c>
      <c r="H1408" s="4">
        <v>46120.0</v>
      </c>
      <c r="I1408" s="3" t="s">
        <v>3549</v>
      </c>
      <c r="J1408" s="3" t="s">
        <v>3550</v>
      </c>
      <c r="K1408" s="3" t="s">
        <v>1717</v>
      </c>
      <c r="L1408" s="3">
        <v>0.25</v>
      </c>
      <c r="M1408" s="3">
        <v>6250.0</v>
      </c>
      <c r="N1408" s="3">
        <v>3.0</v>
      </c>
      <c r="O1408" s="3">
        <v>325045.0</v>
      </c>
      <c r="P1408" s="3" t="s">
        <v>3551</v>
      </c>
      <c r="Q1408" s="3">
        <v>1317813.0</v>
      </c>
      <c r="R1408" s="3"/>
      <c r="S1408" s="3">
        <v>5000.0</v>
      </c>
      <c r="T1408" s="3" t="s">
        <v>37</v>
      </c>
      <c r="U1408" s="3">
        <v>5000.0</v>
      </c>
      <c r="V1408" s="5">
        <f>(DATE(2026,2,3)-'RICE_Insured Farms_with PPI Pol'!$G1408)+IF('RICE_Insured Farms_with PPI Pol'!$H1408&lt;&gt;'RICE_Insured Farms_with PPI Pol'!$G1408,18,0)</f>
        <v>56</v>
      </c>
      <c r="W1408" s="3" t="str">
        <f t="array" ref="W1408">IFS(V1408&gt;120, "Harvested", V1408&gt;=113, "Yellow Ripening", V1408&gt;=101, "Dough Stage", V1408&gt;=93, "Milking Stage", V1408&gt;=86, "Flowering", V1408&gt;=56, "Panicle Initiation/Booting", V1408&lt;56, "Vegetative/Tillering")</f>
        <v>Panicle Initiation/Booting</v>
      </c>
    </row>
    <row r="1409" ht="15.75" hidden="1" customHeight="1">
      <c r="A1409" s="3">
        <v>1408.0</v>
      </c>
      <c r="B1409" s="3" t="s">
        <v>23</v>
      </c>
      <c r="C1409" s="3" t="s">
        <v>121</v>
      </c>
      <c r="D1409" s="3" t="s">
        <v>399</v>
      </c>
      <c r="E1409" s="3" t="s">
        <v>849</v>
      </c>
      <c r="F1409" s="3">
        <v>1760153.0</v>
      </c>
      <c r="G1409" s="4">
        <v>46025.0</v>
      </c>
      <c r="H1409" s="4">
        <v>46135.0</v>
      </c>
      <c r="I1409" s="3" t="s">
        <v>3552</v>
      </c>
      <c r="J1409" s="3" t="s">
        <v>1509</v>
      </c>
      <c r="K1409" s="3" t="s">
        <v>3087</v>
      </c>
      <c r="L1409" s="3">
        <v>1.9596</v>
      </c>
      <c r="M1409" s="3">
        <v>48990.0</v>
      </c>
      <c r="N1409" s="3">
        <v>2.0</v>
      </c>
      <c r="O1409" s="3">
        <v>17174.0</v>
      </c>
      <c r="P1409" s="3" t="s">
        <v>3553</v>
      </c>
      <c r="Q1409" s="3">
        <v>1191561.0</v>
      </c>
      <c r="R1409" s="3"/>
      <c r="S1409" s="3">
        <v>34293.0</v>
      </c>
      <c r="T1409" s="3" t="s">
        <v>31</v>
      </c>
      <c r="U1409" s="3">
        <v>34293.0</v>
      </c>
      <c r="V1409" s="5">
        <f>(DATE(2026,2,3)-'RICE_Insured Farms_with PPI Pol'!$G1409)+IF('RICE_Insured Farms_with PPI Pol'!$H1409&lt;&gt;'RICE_Insured Farms_with PPI Pol'!$G1409,18,0)</f>
        <v>49</v>
      </c>
      <c r="W1409" s="3" t="str">
        <f t="array" ref="W1409">IFS(V1409&gt;120, "Harvested", V1409&gt;=113, "Yellow Ripening", V1409&gt;=101, "Dough Stage", V1409&gt;=93, "Milking Stage", V1409&gt;=86, "Flowering", V1409&gt;=56, "Panicle Initiation/Booting", V1409&lt;56, "Vegetative/Tillering")</f>
        <v>Vegetative/Tillering</v>
      </c>
    </row>
    <row r="1410" ht="15.75" hidden="1" customHeight="1">
      <c r="A1410" s="3">
        <v>1409.0</v>
      </c>
      <c r="B1410" s="3" t="s">
        <v>23</v>
      </c>
      <c r="C1410" s="3" t="s">
        <v>121</v>
      </c>
      <c r="D1410" s="3" t="s">
        <v>2002</v>
      </c>
      <c r="E1410" s="3" t="s">
        <v>2003</v>
      </c>
      <c r="F1410" s="3">
        <v>1760616.0</v>
      </c>
      <c r="G1410" s="4">
        <v>46039.0</v>
      </c>
      <c r="H1410" s="4">
        <v>46134.0</v>
      </c>
      <c r="I1410" s="3" t="s">
        <v>3554</v>
      </c>
      <c r="J1410" s="3" t="s">
        <v>3555</v>
      </c>
      <c r="K1410" s="3" t="s">
        <v>875</v>
      </c>
      <c r="L1410" s="3">
        <v>2.0</v>
      </c>
      <c r="M1410" s="3">
        <v>50000.0</v>
      </c>
      <c r="N1410" s="3">
        <v>2.0</v>
      </c>
      <c r="O1410" s="3">
        <v>172650.0</v>
      </c>
      <c r="P1410" s="3" t="s">
        <v>3556</v>
      </c>
      <c r="Q1410" s="3">
        <v>1223714.0</v>
      </c>
      <c r="R1410" s="3"/>
      <c r="S1410" s="3">
        <v>35000.0</v>
      </c>
      <c r="T1410" s="3" t="s">
        <v>31</v>
      </c>
      <c r="U1410" s="3">
        <v>35000.0</v>
      </c>
      <c r="V1410" s="5">
        <f>(DATE(2026,2,3)-'RICE_Insured Farms_with PPI Pol'!$G1410)+IF('RICE_Insured Farms_with PPI Pol'!$H1410&lt;&gt;'RICE_Insured Farms_with PPI Pol'!$G1410,18,0)</f>
        <v>35</v>
      </c>
      <c r="W1410" s="3" t="str">
        <f t="array" ref="W1410">IFS(V1410&gt;120, "Harvested", V1410&gt;=113, "Yellow Ripening", V1410&gt;=101, "Dough Stage", V1410&gt;=93, "Milking Stage", V1410&gt;=86, "Flowering", V1410&gt;=56, "Panicle Initiation/Booting", V1410&lt;56, "Vegetative/Tillering")</f>
        <v>Vegetative/Tillering</v>
      </c>
    </row>
    <row r="1411" ht="15.75" hidden="1" customHeight="1">
      <c r="A1411" s="3">
        <v>1410.0</v>
      </c>
      <c r="B1411" s="3" t="s">
        <v>23</v>
      </c>
      <c r="C1411" s="3" t="s">
        <v>121</v>
      </c>
      <c r="D1411" s="3" t="s">
        <v>399</v>
      </c>
      <c r="E1411" s="3" t="s">
        <v>400</v>
      </c>
      <c r="F1411" s="3">
        <v>1760153.0</v>
      </c>
      <c r="G1411" s="4">
        <v>46028.0</v>
      </c>
      <c r="H1411" s="4">
        <v>46148.0</v>
      </c>
      <c r="I1411" s="3" t="s">
        <v>518</v>
      </c>
      <c r="J1411" s="3" t="s">
        <v>3557</v>
      </c>
      <c r="K1411" s="3" t="s">
        <v>715</v>
      </c>
      <c r="L1411" s="3">
        <v>1.1423</v>
      </c>
      <c r="M1411" s="3">
        <v>28557.5</v>
      </c>
      <c r="N1411" s="3">
        <v>1.0</v>
      </c>
      <c r="O1411" s="3">
        <v>49130.0</v>
      </c>
      <c r="P1411" s="3" t="s">
        <v>3558</v>
      </c>
      <c r="Q1411" s="3">
        <v>1194871.0</v>
      </c>
      <c r="R1411" s="3"/>
      <c r="S1411" s="3">
        <v>17134.5</v>
      </c>
      <c r="T1411" s="3" t="s">
        <v>62</v>
      </c>
      <c r="U1411" s="3">
        <v>17134.5</v>
      </c>
      <c r="V1411" s="5">
        <f>(DATE(2026,2,3)-'RICE_Insured Farms_with PPI Pol'!$G1411)+IF('RICE_Insured Farms_with PPI Pol'!$H1411&lt;&gt;'RICE_Insured Farms_with PPI Pol'!$G1411,18,0)</f>
        <v>46</v>
      </c>
      <c r="W1411" s="3" t="str">
        <f t="array" ref="W1411">IFS(V1411&gt;120, "Harvested", V1411&gt;=113, "Yellow Ripening", V1411&gt;=101, "Dough Stage", V1411&gt;=93, "Milking Stage", V1411&gt;=86, "Flowering", V1411&gt;=56, "Panicle Initiation/Booting", V1411&lt;56, "Vegetative/Tillering")</f>
        <v>Vegetative/Tillering</v>
      </c>
    </row>
    <row r="1412" ht="15.75" hidden="1" customHeight="1">
      <c r="A1412" s="3">
        <v>1411.0</v>
      </c>
      <c r="B1412" s="3" t="s">
        <v>23</v>
      </c>
      <c r="C1412" s="3" t="s">
        <v>121</v>
      </c>
      <c r="D1412" s="3" t="s">
        <v>1368</v>
      </c>
      <c r="E1412" s="3" t="s">
        <v>321</v>
      </c>
      <c r="F1412" s="3">
        <v>1742655.0</v>
      </c>
      <c r="G1412" s="4">
        <v>46026.0</v>
      </c>
      <c r="H1412" s="4">
        <v>46146.0</v>
      </c>
      <c r="I1412" s="3" t="s">
        <v>3559</v>
      </c>
      <c r="J1412" s="3" t="s">
        <v>3272</v>
      </c>
      <c r="K1412" s="3" t="s">
        <v>3560</v>
      </c>
      <c r="L1412" s="3">
        <v>0.8111</v>
      </c>
      <c r="M1412" s="3">
        <v>20277.5</v>
      </c>
      <c r="N1412" s="3">
        <v>2.0</v>
      </c>
      <c r="O1412" s="3">
        <v>34026.0</v>
      </c>
      <c r="P1412" s="3" t="s">
        <v>3561</v>
      </c>
      <c r="Q1412" s="3">
        <v>1221638.0</v>
      </c>
      <c r="R1412" s="3"/>
      <c r="S1412" s="3">
        <v>14194.25</v>
      </c>
      <c r="T1412" s="3" t="s">
        <v>31</v>
      </c>
      <c r="U1412" s="3">
        <v>14194.25</v>
      </c>
      <c r="V1412" s="5">
        <f>(DATE(2026,2,3)-'RICE_Insured Farms_with PPI Pol'!$G1412)+IF('RICE_Insured Farms_with PPI Pol'!$H1412&lt;&gt;'RICE_Insured Farms_with PPI Pol'!$G1412,18,0)</f>
        <v>48</v>
      </c>
      <c r="W1412" s="3" t="str">
        <f t="array" ref="W1412">IFS(V1412&gt;120, "Harvested", V1412&gt;=113, "Yellow Ripening", V1412&gt;=101, "Dough Stage", V1412&gt;=93, "Milking Stage", V1412&gt;=86, "Flowering", V1412&gt;=56, "Panicle Initiation/Booting", V1412&lt;56, "Vegetative/Tillering")</f>
        <v>Vegetative/Tillering</v>
      </c>
    </row>
    <row r="1413" ht="15.75" hidden="1" customHeight="1">
      <c r="A1413" s="3">
        <v>1412.0</v>
      </c>
      <c r="B1413" s="3" t="s">
        <v>23</v>
      </c>
      <c r="C1413" s="3" t="s">
        <v>121</v>
      </c>
      <c r="D1413" s="3" t="s">
        <v>1368</v>
      </c>
      <c r="E1413" s="3" t="s">
        <v>321</v>
      </c>
      <c r="F1413" s="3">
        <v>1742655.0</v>
      </c>
      <c r="G1413" s="4">
        <v>46032.0</v>
      </c>
      <c r="H1413" s="4">
        <v>46152.0</v>
      </c>
      <c r="I1413" s="3" t="s">
        <v>3559</v>
      </c>
      <c r="J1413" s="3" t="s">
        <v>3272</v>
      </c>
      <c r="K1413" s="3" t="s">
        <v>3560</v>
      </c>
      <c r="L1413" s="3">
        <v>1.5815</v>
      </c>
      <c r="M1413" s="3">
        <v>39537.5</v>
      </c>
      <c r="N1413" s="3">
        <v>1.0</v>
      </c>
      <c r="O1413" s="3">
        <v>34026.0</v>
      </c>
      <c r="P1413" s="3" t="s">
        <v>3561</v>
      </c>
      <c r="Q1413" s="3">
        <v>1221640.0</v>
      </c>
      <c r="R1413" s="3"/>
      <c r="S1413" s="3">
        <v>23722.5</v>
      </c>
      <c r="T1413" s="3" t="s">
        <v>62</v>
      </c>
      <c r="U1413" s="3">
        <v>23722.5</v>
      </c>
      <c r="V1413" s="5">
        <f>(DATE(2026,2,3)-'RICE_Insured Farms_with PPI Pol'!$G1413)+IF('RICE_Insured Farms_with PPI Pol'!$H1413&lt;&gt;'RICE_Insured Farms_with PPI Pol'!$G1413,18,0)</f>
        <v>42</v>
      </c>
      <c r="W1413" s="3" t="str">
        <f t="array" ref="W1413">IFS(V1413&gt;120, "Harvested", V1413&gt;=113, "Yellow Ripening", V1413&gt;=101, "Dough Stage", V1413&gt;=93, "Milking Stage", V1413&gt;=86, "Flowering", V1413&gt;=56, "Panicle Initiation/Booting", V1413&lt;56, "Vegetative/Tillering")</f>
        <v>Vegetative/Tillering</v>
      </c>
    </row>
    <row r="1414" ht="15.75" hidden="1" customHeight="1">
      <c r="A1414" s="3">
        <v>1413.0</v>
      </c>
      <c r="B1414" s="3" t="s">
        <v>23</v>
      </c>
      <c r="C1414" s="3" t="s">
        <v>50</v>
      </c>
      <c r="D1414" s="3" t="s">
        <v>51</v>
      </c>
      <c r="E1414" s="3" t="s">
        <v>52</v>
      </c>
      <c r="F1414" s="3">
        <v>1741852.0</v>
      </c>
      <c r="G1414" s="4">
        <v>46048.0</v>
      </c>
      <c r="H1414" s="4">
        <v>46154.0</v>
      </c>
      <c r="I1414" s="3" t="s">
        <v>3562</v>
      </c>
      <c r="J1414" s="3" t="s">
        <v>3563</v>
      </c>
      <c r="K1414" s="3" t="s">
        <v>3564</v>
      </c>
      <c r="L1414" s="3">
        <v>0.2546</v>
      </c>
      <c r="M1414" s="3">
        <v>6365.0</v>
      </c>
      <c r="N1414" s="3">
        <v>1.0</v>
      </c>
      <c r="O1414" s="3">
        <v>510358.0</v>
      </c>
      <c r="P1414" s="3"/>
      <c r="Q1414" s="3">
        <v>1279439.0</v>
      </c>
      <c r="R1414" s="3"/>
      <c r="S1414" s="3">
        <v>3819.0</v>
      </c>
      <c r="T1414" s="3" t="s">
        <v>62</v>
      </c>
      <c r="U1414" s="3">
        <v>3819.0</v>
      </c>
      <c r="V1414" s="5">
        <f>(DATE(2026,2,3)-'RICE_Insured Farms_with PPI Pol'!$G1414)+IF('RICE_Insured Farms_with PPI Pol'!$H1414&lt;&gt;'RICE_Insured Farms_with PPI Pol'!$G1414,18,0)</f>
        <v>26</v>
      </c>
      <c r="W1414" s="3" t="str">
        <f t="array" ref="W1414">IFS(V1414&gt;120, "Harvested", V1414&gt;=113, "Yellow Ripening", V1414&gt;=101, "Dough Stage", V1414&gt;=93, "Milking Stage", V1414&gt;=86, "Flowering", V1414&gt;=56, "Panicle Initiation/Booting", V1414&lt;56, "Vegetative/Tillering")</f>
        <v>Vegetative/Tillering</v>
      </c>
    </row>
    <row r="1415" ht="15.75" hidden="1" customHeight="1">
      <c r="A1415" s="3">
        <v>1414.0</v>
      </c>
      <c r="B1415" s="3" t="s">
        <v>23</v>
      </c>
      <c r="C1415" s="3" t="s">
        <v>50</v>
      </c>
      <c r="D1415" s="3" t="s">
        <v>51</v>
      </c>
      <c r="E1415" s="3" t="s">
        <v>52</v>
      </c>
      <c r="F1415" s="3">
        <v>1741852.0</v>
      </c>
      <c r="G1415" s="4">
        <v>46048.0</v>
      </c>
      <c r="H1415" s="4">
        <v>46154.0</v>
      </c>
      <c r="I1415" s="3" t="s">
        <v>3562</v>
      </c>
      <c r="J1415" s="3" t="s">
        <v>3565</v>
      </c>
      <c r="K1415" s="3" t="s">
        <v>3566</v>
      </c>
      <c r="L1415" s="3">
        <v>0.2949</v>
      </c>
      <c r="M1415" s="3">
        <v>7372.5</v>
      </c>
      <c r="N1415" s="3">
        <v>1.0</v>
      </c>
      <c r="O1415" s="3">
        <v>510360.0</v>
      </c>
      <c r="P1415" s="3"/>
      <c r="Q1415" s="3">
        <v>1279442.0</v>
      </c>
      <c r="R1415" s="3"/>
      <c r="S1415" s="3">
        <v>4423.5</v>
      </c>
      <c r="T1415" s="3" t="s">
        <v>62</v>
      </c>
      <c r="U1415" s="3">
        <v>4423.5</v>
      </c>
      <c r="V1415" s="5">
        <f>(DATE(2026,2,3)-'RICE_Insured Farms_with PPI Pol'!$G1415)+IF('RICE_Insured Farms_with PPI Pol'!$H1415&lt;&gt;'RICE_Insured Farms_with PPI Pol'!$G1415,18,0)</f>
        <v>26</v>
      </c>
      <c r="W1415" s="3" t="str">
        <f t="array" ref="W1415">IFS(V1415&gt;120, "Harvested", V1415&gt;=113, "Yellow Ripening", V1415&gt;=101, "Dough Stage", V1415&gt;=93, "Milking Stage", V1415&gt;=86, "Flowering", V1415&gt;=56, "Panicle Initiation/Booting", V1415&lt;56, "Vegetative/Tillering")</f>
        <v>Vegetative/Tillering</v>
      </c>
    </row>
    <row r="1416" ht="15.75" hidden="1" customHeight="1">
      <c r="A1416" s="3">
        <v>1415.0</v>
      </c>
      <c r="B1416" s="3" t="s">
        <v>23</v>
      </c>
      <c r="C1416" s="3" t="s">
        <v>50</v>
      </c>
      <c r="D1416" s="3" t="s">
        <v>51</v>
      </c>
      <c r="E1416" s="3" t="s">
        <v>52</v>
      </c>
      <c r="F1416" s="3">
        <v>1741852.0</v>
      </c>
      <c r="G1416" s="4">
        <v>46056.0</v>
      </c>
      <c r="H1416" s="4">
        <v>46155.0</v>
      </c>
      <c r="I1416" s="3" t="s">
        <v>3562</v>
      </c>
      <c r="J1416" s="3" t="s">
        <v>639</v>
      </c>
      <c r="K1416" s="3" t="s">
        <v>3567</v>
      </c>
      <c r="L1416" s="3">
        <v>0.6559</v>
      </c>
      <c r="M1416" s="3">
        <v>16397.5</v>
      </c>
      <c r="N1416" s="3">
        <v>1.0</v>
      </c>
      <c r="O1416" s="3">
        <v>34849.0</v>
      </c>
      <c r="P1416" s="3"/>
      <c r="Q1416" s="3">
        <v>1279435.0</v>
      </c>
      <c r="R1416" s="3"/>
      <c r="S1416" s="3">
        <v>9838.5</v>
      </c>
      <c r="T1416" s="3" t="s">
        <v>62</v>
      </c>
      <c r="U1416" s="3">
        <v>9838.5</v>
      </c>
      <c r="V1416" s="5">
        <f>(DATE(2026,2,3)-'RICE_Insured Farms_with PPI Pol'!$G1416)+IF('RICE_Insured Farms_with PPI Pol'!$H1416&lt;&gt;'RICE_Insured Farms_with PPI Pol'!$G1416,18,0)</f>
        <v>18</v>
      </c>
      <c r="W1416" s="3" t="str">
        <f t="array" ref="W1416">IFS(V1416&gt;120, "Harvested", V1416&gt;=113, "Yellow Ripening", V1416&gt;=101, "Dough Stage", V1416&gt;=93, "Milking Stage", V1416&gt;=86, "Flowering", V1416&gt;=56, "Panicle Initiation/Booting", V1416&lt;56, "Vegetative/Tillering")</f>
        <v>Vegetative/Tillering</v>
      </c>
    </row>
    <row r="1417" ht="15.75" hidden="1" customHeight="1">
      <c r="A1417" s="3">
        <v>1416.0</v>
      </c>
      <c r="B1417" s="3" t="s">
        <v>23</v>
      </c>
      <c r="C1417" s="3" t="s">
        <v>68</v>
      </c>
      <c r="D1417" s="3" t="s">
        <v>289</v>
      </c>
      <c r="E1417" s="3" t="s">
        <v>290</v>
      </c>
      <c r="F1417" s="3">
        <v>1760050.0</v>
      </c>
      <c r="G1417" s="4">
        <v>46037.0</v>
      </c>
      <c r="H1417" s="4">
        <v>46139.0</v>
      </c>
      <c r="I1417" s="3" t="s">
        <v>617</v>
      </c>
      <c r="J1417" s="3" t="s">
        <v>3568</v>
      </c>
      <c r="K1417" s="3" t="s">
        <v>3569</v>
      </c>
      <c r="L1417" s="3">
        <v>0.9012</v>
      </c>
      <c r="M1417" s="3">
        <v>22530.0</v>
      </c>
      <c r="N1417" s="3">
        <v>2.0</v>
      </c>
      <c r="O1417" s="3">
        <v>328546.0</v>
      </c>
      <c r="P1417" s="3" t="s">
        <v>3570</v>
      </c>
      <c r="Q1417" s="3">
        <v>784605.0</v>
      </c>
      <c r="R1417" s="3"/>
      <c r="S1417" s="3">
        <v>15771.0</v>
      </c>
      <c r="T1417" s="3" t="s">
        <v>31</v>
      </c>
      <c r="U1417" s="3">
        <v>15771.0</v>
      </c>
      <c r="V1417" s="5">
        <f>(DATE(2026,2,3)-'RICE_Insured Farms_with PPI Pol'!$G1417)+IF('RICE_Insured Farms_with PPI Pol'!$H1417&lt;&gt;'RICE_Insured Farms_with PPI Pol'!$G1417,18,0)</f>
        <v>37</v>
      </c>
      <c r="W1417" s="3" t="str">
        <f t="array" ref="W1417">IFS(V1417&gt;120, "Harvested", V1417&gt;=113, "Yellow Ripening", V1417&gt;=101, "Dough Stage", V1417&gt;=93, "Milking Stage", V1417&gt;=86, "Flowering", V1417&gt;=56, "Panicle Initiation/Booting", V1417&lt;56, "Vegetative/Tillering")</f>
        <v>Vegetative/Tillering</v>
      </c>
    </row>
    <row r="1418" ht="15.75" hidden="1" customHeight="1">
      <c r="A1418" s="3">
        <v>1417.0</v>
      </c>
      <c r="B1418" s="3" t="s">
        <v>23</v>
      </c>
      <c r="C1418" s="3" t="s">
        <v>121</v>
      </c>
      <c r="D1418" s="3" t="s">
        <v>2002</v>
      </c>
      <c r="E1418" s="3" t="s">
        <v>2003</v>
      </c>
      <c r="F1418" s="3">
        <v>1760608.0</v>
      </c>
      <c r="G1418" s="4">
        <v>46026.0</v>
      </c>
      <c r="H1418" s="4">
        <v>46146.0</v>
      </c>
      <c r="I1418" s="3" t="s">
        <v>3571</v>
      </c>
      <c r="J1418" s="3" t="s">
        <v>3572</v>
      </c>
      <c r="K1418" s="3" t="s">
        <v>3552</v>
      </c>
      <c r="L1418" s="3">
        <v>0.7704</v>
      </c>
      <c r="M1418" s="3">
        <v>19260.0</v>
      </c>
      <c r="N1418" s="3">
        <v>2.0</v>
      </c>
      <c r="O1418" s="3">
        <v>322012.0</v>
      </c>
      <c r="P1418" s="3"/>
      <c r="Q1418" s="3">
        <v>1156180.0</v>
      </c>
      <c r="R1418" s="3"/>
      <c r="S1418" s="3">
        <v>13482.0</v>
      </c>
      <c r="T1418" s="3" t="s">
        <v>31</v>
      </c>
      <c r="U1418" s="3">
        <v>13482.0</v>
      </c>
      <c r="V1418" s="5">
        <f>(DATE(2026,2,3)-'RICE_Insured Farms_with PPI Pol'!$G1418)+IF('RICE_Insured Farms_with PPI Pol'!$H1418&lt;&gt;'RICE_Insured Farms_with PPI Pol'!$G1418,18,0)</f>
        <v>48</v>
      </c>
      <c r="W1418" s="3" t="str">
        <f t="array" ref="W1418">IFS(V1418&gt;120, "Harvested", V1418&gt;=113, "Yellow Ripening", V1418&gt;=101, "Dough Stage", V1418&gt;=93, "Milking Stage", V1418&gt;=86, "Flowering", V1418&gt;=56, "Panicle Initiation/Booting", V1418&lt;56, "Vegetative/Tillering")</f>
        <v>Vegetative/Tillering</v>
      </c>
    </row>
    <row r="1419" ht="15.75" hidden="1" customHeight="1">
      <c r="A1419" s="3">
        <v>675.0</v>
      </c>
      <c r="B1419" s="3" t="s">
        <v>23</v>
      </c>
      <c r="C1419" s="3" t="s">
        <v>68</v>
      </c>
      <c r="D1419" s="3" t="s">
        <v>289</v>
      </c>
      <c r="E1419" s="3" t="s">
        <v>895</v>
      </c>
      <c r="F1419" s="3">
        <v>1760020.0</v>
      </c>
      <c r="G1419" s="4">
        <v>46018.0</v>
      </c>
      <c r="H1419" s="4">
        <v>46110.0</v>
      </c>
      <c r="I1419" s="3" t="s">
        <v>2021</v>
      </c>
      <c r="J1419" s="3" t="s">
        <v>3573</v>
      </c>
      <c r="K1419" s="3" t="s">
        <v>2023</v>
      </c>
      <c r="L1419" s="3">
        <v>1.0765</v>
      </c>
      <c r="M1419" s="3">
        <v>26912.5</v>
      </c>
      <c r="N1419" s="3">
        <v>4.0</v>
      </c>
      <c r="O1419" s="3">
        <v>199292.0</v>
      </c>
      <c r="P1419" s="3"/>
      <c r="Q1419" s="3">
        <v>1237800.0</v>
      </c>
      <c r="R1419" s="3"/>
      <c r="S1419" s="3">
        <v>21530.0</v>
      </c>
      <c r="T1419" s="3" t="s">
        <v>56</v>
      </c>
      <c r="U1419" s="3">
        <v>21530.0</v>
      </c>
      <c r="V1419" s="5">
        <f>(DATE(2026,2,3)-'RICE_Insured Farms_with PPI Pol'!$G1419)+IF('RICE_Insured Farms_with PPI Pol'!$H1419&lt;&gt;'RICE_Insured Farms_with PPI Pol'!$G1419,18,0)</f>
        <v>56</v>
      </c>
      <c r="W1419" s="3" t="str">
        <f t="array" ref="W1419">IFS(V1419&gt;120, "Harvested", V1419&gt;=113, "Yellow Ripening", V1419&gt;=101, "Dough Stage", V1419&gt;=93, "Milking Stage", V1419&gt;=86, "Flowering", V1419&gt;=56, "Panicle Initiation/Booting", V1419&lt;56, "Vegetative/Tillering")</f>
        <v>Panicle Initiation/Booting</v>
      </c>
    </row>
    <row r="1420" ht="15.75" customHeight="1">
      <c r="A1420" s="3">
        <v>1419.0</v>
      </c>
      <c r="B1420" s="3" t="s">
        <v>23</v>
      </c>
      <c r="C1420" s="3" t="s">
        <v>68</v>
      </c>
      <c r="D1420" s="3" t="s">
        <v>289</v>
      </c>
      <c r="E1420" s="3" t="s">
        <v>1535</v>
      </c>
      <c r="F1420" s="3">
        <v>1760015.0</v>
      </c>
      <c r="G1420" s="4">
        <v>46019.0</v>
      </c>
      <c r="H1420" s="4">
        <v>46121.0</v>
      </c>
      <c r="I1420" s="3" t="s">
        <v>3574</v>
      </c>
      <c r="J1420" s="3" t="s">
        <v>3575</v>
      </c>
      <c r="K1420" s="3" t="s">
        <v>3576</v>
      </c>
      <c r="L1420" s="3">
        <v>0.5402</v>
      </c>
      <c r="M1420" s="3">
        <v>13505.0</v>
      </c>
      <c r="N1420" s="3">
        <v>3.0</v>
      </c>
      <c r="O1420" s="3">
        <v>118470.0</v>
      </c>
      <c r="P1420" s="3"/>
      <c r="Q1420" s="3">
        <v>1140598.0</v>
      </c>
      <c r="R1420" s="3"/>
      <c r="S1420" s="3">
        <v>10804.0</v>
      </c>
      <c r="T1420" s="3" t="s">
        <v>37</v>
      </c>
      <c r="U1420" s="3">
        <v>10804.0</v>
      </c>
      <c r="V1420" s="5">
        <f>(DATE(2026,2,3)-'RICE_Insured Farms_with PPI Pol'!$G1420)+IF('RICE_Insured Farms_with PPI Pol'!$H1420&lt;&gt;'RICE_Insured Farms_with PPI Pol'!$G1420,18,0)</f>
        <v>55</v>
      </c>
      <c r="W1420" s="3" t="str">
        <f t="array" ref="W1420">IFS(V1420&gt;120, "Harvested", V1420&gt;=113, "Yellow Ripening", V1420&gt;=101, "Dough Stage", V1420&gt;=93, "Milking Stage", V1420&gt;=86, "Flowering", V1420&gt;=56, "Panicle Initiation/Booting", V1420&lt;56, "Vegetative/Tillering")</f>
        <v>Vegetative/Tillering</v>
      </c>
    </row>
    <row r="1421" ht="15.75" customHeight="1">
      <c r="A1421" s="3">
        <v>1420.0</v>
      </c>
      <c r="B1421" s="3" t="s">
        <v>23</v>
      </c>
      <c r="C1421" s="3" t="s">
        <v>68</v>
      </c>
      <c r="D1421" s="3" t="s">
        <v>289</v>
      </c>
      <c r="E1421" s="3" t="s">
        <v>1535</v>
      </c>
      <c r="F1421" s="3">
        <v>1760009.0</v>
      </c>
      <c r="G1421" s="4">
        <v>46018.0</v>
      </c>
      <c r="H1421" s="4">
        <v>46120.0</v>
      </c>
      <c r="I1421" s="3" t="s">
        <v>3574</v>
      </c>
      <c r="J1421" s="3" t="s">
        <v>1517</v>
      </c>
      <c r="K1421" s="3" t="s">
        <v>3576</v>
      </c>
      <c r="L1421" s="3">
        <v>0.4352</v>
      </c>
      <c r="M1421" s="3">
        <v>10880.0</v>
      </c>
      <c r="N1421" s="3">
        <v>3.0</v>
      </c>
      <c r="O1421" s="3">
        <v>31339.0</v>
      </c>
      <c r="P1421" s="3"/>
      <c r="Q1421" s="3">
        <v>618830.0</v>
      </c>
      <c r="R1421" s="3"/>
      <c r="S1421" s="3">
        <v>8704.0</v>
      </c>
      <c r="T1421" s="3" t="s">
        <v>37</v>
      </c>
      <c r="U1421" s="3">
        <v>8704.0</v>
      </c>
      <c r="V1421" s="5">
        <f>(DATE(2026,2,3)-'RICE_Insured Farms_with PPI Pol'!$G1421)+IF('RICE_Insured Farms_with PPI Pol'!$H1421&lt;&gt;'RICE_Insured Farms_with PPI Pol'!$G1421,18,0)</f>
        <v>56</v>
      </c>
      <c r="W1421" s="3" t="str">
        <f t="array" ref="W1421">IFS(V1421&gt;120, "Harvested", V1421&gt;=113, "Yellow Ripening", V1421&gt;=101, "Dough Stage", V1421&gt;=93, "Milking Stage", V1421&gt;=86, "Flowering", V1421&gt;=56, "Panicle Initiation/Booting", V1421&lt;56, "Vegetative/Tillering")</f>
        <v>Panicle Initiation/Booting</v>
      </c>
    </row>
    <row r="1422" ht="15.75" hidden="1" customHeight="1">
      <c r="A1422" s="3">
        <v>1421.0</v>
      </c>
      <c r="B1422" s="3" t="s">
        <v>23</v>
      </c>
      <c r="C1422" s="3" t="s">
        <v>68</v>
      </c>
      <c r="D1422" s="3" t="s">
        <v>679</v>
      </c>
      <c r="E1422" s="3" t="s">
        <v>299</v>
      </c>
      <c r="F1422" s="3">
        <v>1175376.0</v>
      </c>
      <c r="G1422" s="4">
        <v>46011.0</v>
      </c>
      <c r="H1422" s="4">
        <v>46131.0</v>
      </c>
      <c r="I1422" s="3" t="s">
        <v>3208</v>
      </c>
      <c r="J1422" s="3" t="s">
        <v>3577</v>
      </c>
      <c r="K1422" s="3" t="s">
        <v>3578</v>
      </c>
      <c r="L1422" s="3">
        <v>0.4423</v>
      </c>
      <c r="M1422" s="3">
        <v>11057.5</v>
      </c>
      <c r="N1422" s="3">
        <v>2.0</v>
      </c>
      <c r="O1422" s="3">
        <v>180705.0</v>
      </c>
      <c r="P1422" s="3"/>
      <c r="Q1422" s="3">
        <v>1138767.0</v>
      </c>
      <c r="R1422" s="3"/>
      <c r="S1422" s="3">
        <v>7740.25</v>
      </c>
      <c r="T1422" s="3" t="s">
        <v>31</v>
      </c>
      <c r="U1422" s="3">
        <v>7740.25</v>
      </c>
      <c r="V1422" s="5">
        <f>(DATE(2026,2,3)-'RICE_Insured Farms_with PPI Pol'!$G1422)+IF('RICE_Insured Farms_with PPI Pol'!$H1422&lt;&gt;'RICE_Insured Farms_with PPI Pol'!$G1422,18,0)</f>
        <v>63</v>
      </c>
      <c r="W1422" s="3" t="str">
        <f t="array" ref="W1422">IFS(V1422&gt;120, "Harvested", V1422&gt;=113, "Yellow Ripening", V1422&gt;=101, "Dough Stage", V1422&gt;=93, "Milking Stage", V1422&gt;=86, "Flowering", V1422&gt;=56, "Panicle Initiation/Booting", V1422&lt;56, "Vegetative/Tillering")</f>
        <v>Panicle Initiation/Booting</v>
      </c>
    </row>
    <row r="1423" ht="15.75" hidden="1" customHeight="1">
      <c r="A1423" s="3">
        <v>1422.0</v>
      </c>
      <c r="B1423" s="3" t="s">
        <v>23</v>
      </c>
      <c r="C1423" s="3" t="s">
        <v>1453</v>
      </c>
      <c r="D1423" s="3" t="s">
        <v>1454</v>
      </c>
      <c r="E1423" s="3" t="s">
        <v>1246</v>
      </c>
      <c r="F1423" s="3">
        <v>1742047.0</v>
      </c>
      <c r="G1423" s="4">
        <v>46035.0</v>
      </c>
      <c r="H1423" s="4">
        <v>46136.0</v>
      </c>
      <c r="I1423" s="3" t="s">
        <v>3579</v>
      </c>
      <c r="J1423" s="3" t="s">
        <v>3580</v>
      </c>
      <c r="K1423" s="3" t="s">
        <v>3581</v>
      </c>
      <c r="L1423" s="3">
        <v>0.25</v>
      </c>
      <c r="M1423" s="3">
        <v>6250.0</v>
      </c>
      <c r="N1423" s="3">
        <v>2.0</v>
      </c>
      <c r="O1423" s="3">
        <v>448933.0</v>
      </c>
      <c r="P1423" s="3"/>
      <c r="Q1423" s="3">
        <v>1317984.0</v>
      </c>
      <c r="R1423" s="3"/>
      <c r="S1423" s="3">
        <v>4375.0</v>
      </c>
      <c r="T1423" s="3" t="s">
        <v>31</v>
      </c>
      <c r="U1423" s="3">
        <v>4375.0</v>
      </c>
      <c r="V1423" s="5">
        <f>(DATE(2026,2,3)-'RICE_Insured Farms_with PPI Pol'!$G1423)+IF('RICE_Insured Farms_with PPI Pol'!$H1423&lt;&gt;'RICE_Insured Farms_with PPI Pol'!$G1423,18,0)</f>
        <v>39</v>
      </c>
      <c r="W1423" s="3" t="str">
        <f t="array" ref="W1423">IFS(V1423&gt;120, "Harvested", V1423&gt;=113, "Yellow Ripening", V1423&gt;=101, "Dough Stage", V1423&gt;=93, "Milking Stage", V1423&gt;=86, "Flowering", V1423&gt;=56, "Panicle Initiation/Booting", V1423&lt;56, "Vegetative/Tillering")</f>
        <v>Vegetative/Tillering</v>
      </c>
    </row>
    <row r="1424" ht="15.75" customHeight="1">
      <c r="A1424" s="3">
        <v>1423.0</v>
      </c>
      <c r="B1424" s="3" t="s">
        <v>23</v>
      </c>
      <c r="C1424" s="3" t="s">
        <v>24</v>
      </c>
      <c r="D1424" s="3" t="s">
        <v>25</v>
      </c>
      <c r="E1424" s="3" t="s">
        <v>1374</v>
      </c>
      <c r="F1424" s="3">
        <v>1760468.0</v>
      </c>
      <c r="G1424" s="4">
        <v>46019.0</v>
      </c>
      <c r="H1424" s="4">
        <v>46122.0</v>
      </c>
      <c r="I1424" s="3" t="s">
        <v>3582</v>
      </c>
      <c r="J1424" s="3" t="s">
        <v>109</v>
      </c>
      <c r="K1424" s="3" t="s">
        <v>3013</v>
      </c>
      <c r="L1424" s="3">
        <v>0.34</v>
      </c>
      <c r="M1424" s="3">
        <v>8500.0</v>
      </c>
      <c r="N1424" s="3">
        <v>3.0</v>
      </c>
      <c r="O1424" s="3">
        <v>417931.0</v>
      </c>
      <c r="P1424" s="3" t="s">
        <v>3583</v>
      </c>
      <c r="Q1424" s="3">
        <v>1276320.0</v>
      </c>
      <c r="R1424" s="3"/>
      <c r="S1424" s="3">
        <v>6800.0</v>
      </c>
      <c r="T1424" s="3" t="s">
        <v>37</v>
      </c>
      <c r="U1424" s="3">
        <v>6800.0</v>
      </c>
      <c r="V1424" s="5">
        <f>(DATE(2026,2,3)-'RICE_Insured Farms_with PPI Pol'!$G1424)+IF('RICE_Insured Farms_with PPI Pol'!$H1424&lt;&gt;'RICE_Insured Farms_with PPI Pol'!$G1424,18,0)</f>
        <v>55</v>
      </c>
      <c r="W1424" s="3" t="str">
        <f t="array" ref="W1424">IFS(V1424&gt;120, "Harvested", V1424&gt;=113, "Yellow Ripening", V1424&gt;=101, "Dough Stage", V1424&gt;=93, "Milking Stage", V1424&gt;=86, "Flowering", V1424&gt;=56, "Panicle Initiation/Booting", V1424&lt;56, "Vegetative/Tillering")</f>
        <v>Vegetative/Tillering</v>
      </c>
    </row>
    <row r="1425" ht="15.75" customHeight="1">
      <c r="A1425" s="3">
        <v>1424.0</v>
      </c>
      <c r="B1425" s="3" t="s">
        <v>23</v>
      </c>
      <c r="C1425" s="3" t="s">
        <v>24</v>
      </c>
      <c r="D1425" s="3" t="s">
        <v>25</v>
      </c>
      <c r="E1425" s="3" t="s">
        <v>1374</v>
      </c>
      <c r="F1425" s="3">
        <v>1760468.0</v>
      </c>
      <c r="G1425" s="4">
        <v>46019.0</v>
      </c>
      <c r="H1425" s="4">
        <v>46122.0</v>
      </c>
      <c r="I1425" s="3" t="s">
        <v>3582</v>
      </c>
      <c r="J1425" s="3" t="s">
        <v>109</v>
      </c>
      <c r="K1425" s="3" t="s">
        <v>3013</v>
      </c>
      <c r="L1425" s="3">
        <v>0.14</v>
      </c>
      <c r="M1425" s="3">
        <v>3500.0</v>
      </c>
      <c r="N1425" s="3">
        <v>3.0</v>
      </c>
      <c r="O1425" s="3">
        <v>417931.0</v>
      </c>
      <c r="P1425" s="3" t="s">
        <v>3583</v>
      </c>
      <c r="Q1425" s="3">
        <v>1276323.0</v>
      </c>
      <c r="R1425" s="3"/>
      <c r="S1425" s="3">
        <v>2800.0</v>
      </c>
      <c r="T1425" s="3" t="s">
        <v>37</v>
      </c>
      <c r="U1425" s="3">
        <v>2800.0</v>
      </c>
      <c r="V1425" s="5">
        <f>(DATE(2026,2,3)-'RICE_Insured Farms_with PPI Pol'!$G1425)+IF('RICE_Insured Farms_with PPI Pol'!$H1425&lt;&gt;'RICE_Insured Farms_with PPI Pol'!$G1425,18,0)</f>
        <v>55</v>
      </c>
      <c r="W1425" s="3" t="str">
        <f t="array" ref="W1425">IFS(V1425&gt;120, "Harvested", V1425&gt;=113, "Yellow Ripening", V1425&gt;=101, "Dough Stage", V1425&gt;=93, "Milking Stage", V1425&gt;=86, "Flowering", V1425&gt;=56, "Panicle Initiation/Booting", V1425&lt;56, "Vegetative/Tillering")</f>
        <v>Vegetative/Tillering</v>
      </c>
    </row>
    <row r="1426" ht="15.75" hidden="1" customHeight="1">
      <c r="A1426" s="3">
        <v>1425.0</v>
      </c>
      <c r="B1426" s="3" t="s">
        <v>23</v>
      </c>
      <c r="C1426" s="3" t="s">
        <v>68</v>
      </c>
      <c r="D1426" s="3" t="s">
        <v>289</v>
      </c>
      <c r="E1426" s="3" t="s">
        <v>352</v>
      </c>
      <c r="F1426" s="3">
        <v>1760051.0</v>
      </c>
      <c r="G1426" s="4">
        <v>46027.0</v>
      </c>
      <c r="H1426" s="4">
        <v>46129.0</v>
      </c>
      <c r="I1426" s="3" t="s">
        <v>3582</v>
      </c>
      <c r="J1426" s="3" t="s">
        <v>3584</v>
      </c>
      <c r="K1426" s="3" t="s">
        <v>3585</v>
      </c>
      <c r="L1426" s="3">
        <v>0.4401</v>
      </c>
      <c r="M1426" s="3">
        <v>11002.5</v>
      </c>
      <c r="N1426" s="3">
        <v>2.0</v>
      </c>
      <c r="O1426" s="3">
        <v>327172.0</v>
      </c>
      <c r="P1426" s="3" t="s">
        <v>3586</v>
      </c>
      <c r="Q1426" s="3">
        <v>1283223.0</v>
      </c>
      <c r="R1426" s="3"/>
      <c r="S1426" s="3">
        <v>7701.75</v>
      </c>
      <c r="T1426" s="3" t="s">
        <v>31</v>
      </c>
      <c r="U1426" s="3">
        <v>7701.75</v>
      </c>
      <c r="V1426" s="5">
        <f>(DATE(2026,2,3)-'RICE_Insured Farms_with PPI Pol'!$G1426)+IF('RICE_Insured Farms_with PPI Pol'!$H1426&lt;&gt;'RICE_Insured Farms_with PPI Pol'!$G1426,18,0)</f>
        <v>47</v>
      </c>
      <c r="W1426" s="3" t="str">
        <f t="array" ref="W1426">IFS(V1426&gt;120, "Harvested", V1426&gt;=113, "Yellow Ripening", V1426&gt;=101, "Dough Stage", V1426&gt;=93, "Milking Stage", V1426&gt;=86, "Flowering", V1426&gt;=56, "Panicle Initiation/Booting", V1426&lt;56, "Vegetative/Tillering")</f>
        <v>Vegetative/Tillering</v>
      </c>
    </row>
    <row r="1427" ht="15.75" customHeight="1">
      <c r="A1427" s="3">
        <v>1426.0</v>
      </c>
      <c r="B1427" s="3" t="s">
        <v>23</v>
      </c>
      <c r="C1427" s="3" t="s">
        <v>68</v>
      </c>
      <c r="D1427" s="3" t="s">
        <v>649</v>
      </c>
      <c r="E1427" s="3" t="s">
        <v>650</v>
      </c>
      <c r="F1427" s="3">
        <v>1185586.0</v>
      </c>
      <c r="G1427" s="4">
        <v>46011.0</v>
      </c>
      <c r="H1427" s="4">
        <v>46113.0</v>
      </c>
      <c r="I1427" s="3" t="s">
        <v>3587</v>
      </c>
      <c r="J1427" s="3" t="s">
        <v>3588</v>
      </c>
      <c r="K1427" s="3" t="s">
        <v>703</v>
      </c>
      <c r="L1427" s="3">
        <v>0.2287</v>
      </c>
      <c r="M1427" s="3">
        <v>5717.5</v>
      </c>
      <c r="N1427" s="3">
        <v>3.0</v>
      </c>
      <c r="O1427" s="3">
        <v>476537.0</v>
      </c>
      <c r="P1427" s="3"/>
      <c r="Q1427" s="3">
        <v>1129134.0</v>
      </c>
      <c r="R1427" s="3"/>
      <c r="S1427" s="3">
        <v>4574.0</v>
      </c>
      <c r="T1427" s="3" t="s">
        <v>37</v>
      </c>
      <c r="U1427" s="3">
        <v>4574.0</v>
      </c>
      <c r="V1427" s="5">
        <f>(DATE(2026,2,3)-'RICE_Insured Farms_with PPI Pol'!$G1427)+IF('RICE_Insured Farms_with PPI Pol'!$H1427&lt;&gt;'RICE_Insured Farms_with PPI Pol'!$G1427,18,0)</f>
        <v>63</v>
      </c>
      <c r="W1427" s="3" t="str">
        <f t="array" ref="W1427">IFS(V1427&gt;120, "Harvested", V1427&gt;=113, "Yellow Ripening", V1427&gt;=101, "Dough Stage", V1427&gt;=93, "Milking Stage", V1427&gt;=86, "Flowering", V1427&gt;=56, "Panicle Initiation/Booting", V1427&lt;56, "Vegetative/Tillering")</f>
        <v>Panicle Initiation/Booting</v>
      </c>
    </row>
    <row r="1428" ht="15.75" customHeight="1">
      <c r="A1428" s="3">
        <v>1427.0</v>
      </c>
      <c r="B1428" s="3" t="s">
        <v>23</v>
      </c>
      <c r="C1428" s="3" t="s">
        <v>68</v>
      </c>
      <c r="D1428" s="3" t="s">
        <v>649</v>
      </c>
      <c r="E1428" s="3" t="s">
        <v>650</v>
      </c>
      <c r="F1428" s="3">
        <v>1185586.0</v>
      </c>
      <c r="G1428" s="4">
        <v>46011.0</v>
      </c>
      <c r="H1428" s="4">
        <v>46113.0</v>
      </c>
      <c r="I1428" s="3" t="s">
        <v>3587</v>
      </c>
      <c r="J1428" s="3" t="s">
        <v>3588</v>
      </c>
      <c r="K1428" s="3" t="s">
        <v>703</v>
      </c>
      <c r="L1428" s="3">
        <v>0.2287</v>
      </c>
      <c r="M1428" s="3">
        <v>5717.5</v>
      </c>
      <c r="N1428" s="3">
        <v>3.0</v>
      </c>
      <c r="O1428" s="3">
        <v>476537.0</v>
      </c>
      <c r="P1428" s="3"/>
      <c r="Q1428" s="3">
        <v>1129134.0</v>
      </c>
      <c r="R1428" s="3"/>
      <c r="S1428" s="3">
        <v>4574.0</v>
      </c>
      <c r="T1428" s="3" t="s">
        <v>37</v>
      </c>
      <c r="U1428" s="3">
        <v>4574.0</v>
      </c>
      <c r="V1428" s="5">
        <f>(DATE(2026,2,3)-'RICE_Insured Farms_with PPI Pol'!$G1428)+IF('RICE_Insured Farms_with PPI Pol'!$H1428&lt;&gt;'RICE_Insured Farms_with PPI Pol'!$G1428,18,0)</f>
        <v>63</v>
      </c>
      <c r="W1428" s="3" t="str">
        <f t="array" ref="W1428">IFS(V1428&gt;120, "Harvested", V1428&gt;=113, "Yellow Ripening", V1428&gt;=101, "Dough Stage", V1428&gt;=93, "Milking Stage", V1428&gt;=86, "Flowering", V1428&gt;=56, "Panicle Initiation/Booting", V1428&lt;56, "Vegetative/Tillering")</f>
        <v>Panicle Initiation/Booting</v>
      </c>
    </row>
    <row r="1429" ht="15.75" hidden="1" customHeight="1">
      <c r="A1429" s="3">
        <v>1428.0</v>
      </c>
      <c r="B1429" s="3" t="s">
        <v>23</v>
      </c>
      <c r="C1429" s="3" t="s">
        <v>68</v>
      </c>
      <c r="D1429" s="3" t="s">
        <v>289</v>
      </c>
      <c r="E1429" s="3" t="s">
        <v>290</v>
      </c>
      <c r="F1429" s="3">
        <v>1760035.0</v>
      </c>
      <c r="G1429" s="4">
        <v>46032.0</v>
      </c>
      <c r="H1429" s="4">
        <v>46132.0</v>
      </c>
      <c r="I1429" s="3" t="s">
        <v>3589</v>
      </c>
      <c r="J1429" s="3" t="s">
        <v>3577</v>
      </c>
      <c r="K1429" s="3" t="s">
        <v>3590</v>
      </c>
      <c r="L1429" s="3">
        <v>0.2602</v>
      </c>
      <c r="M1429" s="3">
        <v>6505.0</v>
      </c>
      <c r="N1429" s="3">
        <v>2.0</v>
      </c>
      <c r="O1429" s="3">
        <v>147080.0</v>
      </c>
      <c r="P1429" s="3" t="s">
        <v>3591</v>
      </c>
      <c r="Q1429" s="3">
        <v>1280383.0</v>
      </c>
      <c r="R1429" s="3"/>
      <c r="S1429" s="3">
        <v>4553.5</v>
      </c>
      <c r="T1429" s="3" t="s">
        <v>31</v>
      </c>
      <c r="U1429" s="3">
        <v>4553.5</v>
      </c>
      <c r="V1429" s="5">
        <f>(DATE(2026,2,3)-'RICE_Insured Farms_with PPI Pol'!$G1429)+IF('RICE_Insured Farms_with PPI Pol'!$H1429&lt;&gt;'RICE_Insured Farms_with PPI Pol'!$G1429,18,0)</f>
        <v>42</v>
      </c>
      <c r="W1429" s="3" t="str">
        <f t="array" ref="W1429">IFS(V1429&gt;120, "Harvested", V1429&gt;=113, "Yellow Ripening", V1429&gt;=101, "Dough Stage", V1429&gt;=93, "Milking Stage", V1429&gt;=86, "Flowering", V1429&gt;=56, "Panicle Initiation/Booting", V1429&lt;56, "Vegetative/Tillering")</f>
        <v>Vegetative/Tillering</v>
      </c>
    </row>
    <row r="1430" ht="15.75" customHeight="1">
      <c r="A1430" s="3">
        <v>1429.0</v>
      </c>
      <c r="B1430" s="3" t="s">
        <v>23</v>
      </c>
      <c r="C1430" s="3" t="s">
        <v>24</v>
      </c>
      <c r="D1430" s="3" t="s">
        <v>25</v>
      </c>
      <c r="E1430" s="3" t="s">
        <v>32</v>
      </c>
      <c r="F1430" s="3">
        <v>1760476.0</v>
      </c>
      <c r="G1430" s="4">
        <v>46016.0</v>
      </c>
      <c r="H1430" s="4">
        <v>46126.0</v>
      </c>
      <c r="I1430" s="3" t="s">
        <v>3592</v>
      </c>
      <c r="J1430" s="3" t="s">
        <v>1396</v>
      </c>
      <c r="K1430" s="3" t="s">
        <v>3593</v>
      </c>
      <c r="L1430" s="3">
        <v>1.0658</v>
      </c>
      <c r="M1430" s="3">
        <v>26645.0</v>
      </c>
      <c r="N1430" s="3">
        <v>3.0</v>
      </c>
      <c r="O1430" s="3">
        <v>434556.0</v>
      </c>
      <c r="P1430" s="3"/>
      <c r="Q1430" s="3">
        <v>957607.0</v>
      </c>
      <c r="R1430" s="3"/>
      <c r="S1430" s="3">
        <v>21316.0</v>
      </c>
      <c r="T1430" s="3" t="s">
        <v>37</v>
      </c>
      <c r="U1430" s="3">
        <v>21316.0</v>
      </c>
      <c r="V1430" s="5">
        <f>(DATE(2026,2,3)-'RICE_Insured Farms_with PPI Pol'!$G1430)+IF('RICE_Insured Farms_with PPI Pol'!$H1430&lt;&gt;'RICE_Insured Farms_with PPI Pol'!$G1430,18,0)</f>
        <v>58</v>
      </c>
      <c r="W1430" s="3" t="str">
        <f t="array" ref="W1430">IFS(V1430&gt;120, "Harvested", V1430&gt;=113, "Yellow Ripening", V1430&gt;=101, "Dough Stage", V1430&gt;=93, "Milking Stage", V1430&gt;=86, "Flowering", V1430&gt;=56, "Panicle Initiation/Booting", V1430&lt;56, "Vegetative/Tillering")</f>
        <v>Panicle Initiation/Booting</v>
      </c>
    </row>
    <row r="1431" ht="15.75" hidden="1" customHeight="1">
      <c r="A1431" s="3">
        <v>677.0</v>
      </c>
      <c r="B1431" s="3" t="s">
        <v>23</v>
      </c>
      <c r="C1431" s="3" t="s">
        <v>68</v>
      </c>
      <c r="D1431" s="3" t="s">
        <v>289</v>
      </c>
      <c r="E1431" s="3" t="s">
        <v>895</v>
      </c>
      <c r="F1431" s="3">
        <v>1760020.0</v>
      </c>
      <c r="G1431" s="4">
        <v>46018.0</v>
      </c>
      <c r="H1431" s="4">
        <v>46110.0</v>
      </c>
      <c r="I1431" s="3" t="s">
        <v>2021</v>
      </c>
      <c r="J1431" s="3" t="s">
        <v>3594</v>
      </c>
      <c r="K1431" s="3" t="s">
        <v>2023</v>
      </c>
      <c r="L1431" s="3">
        <v>3.0</v>
      </c>
      <c r="M1431" s="3">
        <v>75000.0</v>
      </c>
      <c r="N1431" s="3">
        <v>4.0</v>
      </c>
      <c r="O1431" s="3">
        <v>91930.0</v>
      </c>
      <c r="P1431" s="3" t="s">
        <v>3595</v>
      </c>
      <c r="Q1431" s="3">
        <v>1280648.0</v>
      </c>
      <c r="R1431" s="3"/>
      <c r="S1431" s="3">
        <v>60000.0</v>
      </c>
      <c r="T1431" s="3" t="s">
        <v>56</v>
      </c>
      <c r="U1431" s="3">
        <v>60000.0</v>
      </c>
      <c r="V1431" s="5">
        <f>(DATE(2026,2,3)-'RICE_Insured Farms_with PPI Pol'!$G1431)+IF('RICE_Insured Farms_with PPI Pol'!$H1431&lt;&gt;'RICE_Insured Farms_with PPI Pol'!$G1431,18,0)</f>
        <v>56</v>
      </c>
      <c r="W1431" s="3" t="str">
        <f t="array" ref="W1431">IFS(V1431&gt;120, "Harvested", V1431&gt;=113, "Yellow Ripening", V1431&gt;=101, "Dough Stage", V1431&gt;=93, "Milking Stage", V1431&gt;=86, "Flowering", V1431&gt;=56, "Panicle Initiation/Booting", V1431&lt;56, "Vegetative/Tillering")</f>
        <v>Panicle Initiation/Booting</v>
      </c>
    </row>
    <row r="1432" ht="15.75" hidden="1" customHeight="1">
      <c r="A1432" s="3">
        <v>1431.0</v>
      </c>
      <c r="B1432" s="3" t="s">
        <v>23</v>
      </c>
      <c r="C1432" s="3" t="s">
        <v>68</v>
      </c>
      <c r="D1432" s="3" t="s">
        <v>289</v>
      </c>
      <c r="E1432" s="3" t="s">
        <v>743</v>
      </c>
      <c r="F1432" s="3">
        <v>1760026.0</v>
      </c>
      <c r="G1432" s="4">
        <v>46027.0</v>
      </c>
      <c r="H1432" s="4">
        <v>46129.0</v>
      </c>
      <c r="I1432" s="3" t="s">
        <v>3596</v>
      </c>
      <c r="J1432" s="3" t="s">
        <v>621</v>
      </c>
      <c r="K1432" s="3" t="s">
        <v>3597</v>
      </c>
      <c r="L1432" s="3">
        <v>0.6666</v>
      </c>
      <c r="M1432" s="3">
        <v>16665.0</v>
      </c>
      <c r="N1432" s="3">
        <v>2.0</v>
      </c>
      <c r="O1432" s="3">
        <v>195411.0</v>
      </c>
      <c r="P1432" s="3" t="s">
        <v>3598</v>
      </c>
      <c r="Q1432" s="3">
        <v>1136660.0</v>
      </c>
      <c r="R1432" s="3"/>
      <c r="S1432" s="3">
        <v>11665.5</v>
      </c>
      <c r="T1432" s="3" t="s">
        <v>31</v>
      </c>
      <c r="U1432" s="3">
        <v>11665.5</v>
      </c>
      <c r="V1432" s="5">
        <f>(DATE(2026,2,3)-'RICE_Insured Farms_with PPI Pol'!$G1432)+IF('RICE_Insured Farms_with PPI Pol'!$H1432&lt;&gt;'RICE_Insured Farms_with PPI Pol'!$G1432,18,0)</f>
        <v>47</v>
      </c>
      <c r="W1432" s="3" t="str">
        <f t="array" ref="W1432">IFS(V1432&gt;120, "Harvested", V1432&gt;=113, "Yellow Ripening", V1432&gt;=101, "Dough Stage", V1432&gt;=93, "Milking Stage", V1432&gt;=86, "Flowering", V1432&gt;=56, "Panicle Initiation/Booting", V1432&lt;56, "Vegetative/Tillering")</f>
        <v>Vegetative/Tillering</v>
      </c>
    </row>
    <row r="1433" ht="15.75" hidden="1" customHeight="1">
      <c r="A1433" s="3">
        <v>1432.0</v>
      </c>
      <c r="B1433" s="3" t="s">
        <v>23</v>
      </c>
      <c r="C1433" s="3" t="s">
        <v>68</v>
      </c>
      <c r="D1433" s="3" t="s">
        <v>289</v>
      </c>
      <c r="E1433" s="3" t="s">
        <v>743</v>
      </c>
      <c r="F1433" s="3">
        <v>1760026.0</v>
      </c>
      <c r="G1433" s="4">
        <v>46027.0</v>
      </c>
      <c r="H1433" s="4">
        <v>46129.0</v>
      </c>
      <c r="I1433" s="3" t="s">
        <v>3596</v>
      </c>
      <c r="J1433" s="3" t="s">
        <v>621</v>
      </c>
      <c r="K1433" s="3" t="s">
        <v>3597</v>
      </c>
      <c r="L1433" s="3">
        <v>0.4495</v>
      </c>
      <c r="M1433" s="3">
        <v>11237.5</v>
      </c>
      <c r="N1433" s="3">
        <v>2.0</v>
      </c>
      <c r="O1433" s="3">
        <v>195411.0</v>
      </c>
      <c r="P1433" s="3" t="s">
        <v>3598</v>
      </c>
      <c r="Q1433" s="3">
        <v>1136662.0</v>
      </c>
      <c r="R1433" s="3"/>
      <c r="S1433" s="3">
        <v>7866.25</v>
      </c>
      <c r="T1433" s="3" t="s">
        <v>31</v>
      </c>
      <c r="U1433" s="3">
        <v>7866.25</v>
      </c>
      <c r="V1433" s="5">
        <f>(DATE(2026,2,3)-'RICE_Insured Farms_with PPI Pol'!$G1433)+IF('RICE_Insured Farms_with PPI Pol'!$H1433&lt;&gt;'RICE_Insured Farms_with PPI Pol'!$G1433,18,0)</f>
        <v>47</v>
      </c>
      <c r="W1433" s="3" t="str">
        <f t="array" ref="W1433">IFS(V1433&gt;120, "Harvested", V1433&gt;=113, "Yellow Ripening", V1433&gt;=101, "Dough Stage", V1433&gt;=93, "Milking Stage", V1433&gt;=86, "Flowering", V1433&gt;=56, "Panicle Initiation/Booting", V1433&lt;56, "Vegetative/Tillering")</f>
        <v>Vegetative/Tillering</v>
      </c>
    </row>
    <row r="1434" ht="15.75" hidden="1" customHeight="1">
      <c r="A1434" s="3">
        <v>1433.0</v>
      </c>
      <c r="B1434" s="3" t="s">
        <v>23</v>
      </c>
      <c r="C1434" s="3" t="s">
        <v>68</v>
      </c>
      <c r="D1434" s="3" t="s">
        <v>289</v>
      </c>
      <c r="E1434" s="3" t="s">
        <v>685</v>
      </c>
      <c r="F1434" s="3">
        <v>1760005.0</v>
      </c>
      <c r="G1434" s="4">
        <v>46025.0</v>
      </c>
      <c r="H1434" s="4">
        <v>46127.0</v>
      </c>
      <c r="I1434" s="3" t="s">
        <v>1287</v>
      </c>
      <c r="J1434" s="3" t="s">
        <v>3599</v>
      </c>
      <c r="K1434" s="3" t="s">
        <v>869</v>
      </c>
      <c r="L1434" s="3">
        <v>0.96</v>
      </c>
      <c r="M1434" s="3">
        <v>24000.0</v>
      </c>
      <c r="N1434" s="3">
        <v>2.0</v>
      </c>
      <c r="O1434" s="3">
        <v>192967.0</v>
      </c>
      <c r="P1434" s="3" t="s">
        <v>3600</v>
      </c>
      <c r="Q1434" s="3">
        <v>1205691.0</v>
      </c>
      <c r="R1434" s="3"/>
      <c r="S1434" s="3">
        <v>16800.0</v>
      </c>
      <c r="T1434" s="3" t="s">
        <v>31</v>
      </c>
      <c r="U1434" s="3">
        <v>16800.0</v>
      </c>
      <c r="V1434" s="5">
        <f>(DATE(2026,2,3)-'RICE_Insured Farms_with PPI Pol'!$G1434)+IF('RICE_Insured Farms_with PPI Pol'!$H1434&lt;&gt;'RICE_Insured Farms_with PPI Pol'!$G1434,18,0)</f>
        <v>49</v>
      </c>
      <c r="W1434" s="3" t="str">
        <f t="array" ref="W1434">IFS(V1434&gt;120, "Harvested", V1434&gt;=113, "Yellow Ripening", V1434&gt;=101, "Dough Stage", V1434&gt;=93, "Milking Stage", V1434&gt;=86, "Flowering", V1434&gt;=56, "Panicle Initiation/Booting", V1434&lt;56, "Vegetative/Tillering")</f>
        <v>Vegetative/Tillering</v>
      </c>
    </row>
    <row r="1435" ht="15.75" hidden="1" customHeight="1">
      <c r="A1435" s="3">
        <v>1434.0</v>
      </c>
      <c r="B1435" s="3" t="s">
        <v>23</v>
      </c>
      <c r="C1435" s="3" t="s">
        <v>68</v>
      </c>
      <c r="D1435" s="3" t="s">
        <v>289</v>
      </c>
      <c r="E1435" s="3" t="s">
        <v>848</v>
      </c>
      <c r="F1435" s="3">
        <v>1760002.0</v>
      </c>
      <c r="G1435" s="4">
        <v>46029.0</v>
      </c>
      <c r="H1435" s="4">
        <v>46131.0</v>
      </c>
      <c r="I1435" s="3" t="s">
        <v>1287</v>
      </c>
      <c r="J1435" s="3" t="s">
        <v>712</v>
      </c>
      <c r="K1435" s="3" t="s">
        <v>968</v>
      </c>
      <c r="L1435" s="3">
        <v>0.4587</v>
      </c>
      <c r="M1435" s="3">
        <v>11467.5</v>
      </c>
      <c r="N1435" s="3">
        <v>2.0</v>
      </c>
      <c r="O1435" s="3">
        <v>161083.0</v>
      </c>
      <c r="P1435" s="3"/>
      <c r="Q1435" s="3">
        <v>694865.0</v>
      </c>
      <c r="R1435" s="3"/>
      <c r="S1435" s="3">
        <v>8027.25</v>
      </c>
      <c r="T1435" s="3" t="s">
        <v>31</v>
      </c>
      <c r="U1435" s="3">
        <v>8027.25</v>
      </c>
      <c r="V1435" s="5">
        <f>(DATE(2026,2,3)-'RICE_Insured Farms_with PPI Pol'!$G1435)+IF('RICE_Insured Farms_with PPI Pol'!$H1435&lt;&gt;'RICE_Insured Farms_with PPI Pol'!$G1435,18,0)</f>
        <v>45</v>
      </c>
      <c r="W1435" s="3" t="str">
        <f t="array" ref="W1435">IFS(V1435&gt;120, "Harvested", V1435&gt;=113, "Yellow Ripening", V1435&gt;=101, "Dough Stage", V1435&gt;=93, "Milking Stage", V1435&gt;=86, "Flowering", V1435&gt;=56, "Panicle Initiation/Booting", V1435&lt;56, "Vegetative/Tillering")</f>
        <v>Vegetative/Tillering</v>
      </c>
    </row>
    <row r="1436" ht="15.75" hidden="1" customHeight="1">
      <c r="A1436" s="3">
        <v>1435.0</v>
      </c>
      <c r="B1436" s="3" t="s">
        <v>23</v>
      </c>
      <c r="C1436" s="3" t="s">
        <v>68</v>
      </c>
      <c r="D1436" s="3" t="s">
        <v>289</v>
      </c>
      <c r="E1436" s="3" t="s">
        <v>685</v>
      </c>
      <c r="F1436" s="3">
        <v>1760004.0</v>
      </c>
      <c r="G1436" s="4">
        <v>46029.0</v>
      </c>
      <c r="H1436" s="4">
        <v>46131.0</v>
      </c>
      <c r="I1436" s="3" t="s">
        <v>3601</v>
      </c>
      <c r="J1436" s="3" t="s">
        <v>3602</v>
      </c>
      <c r="K1436" s="3" t="s">
        <v>3603</v>
      </c>
      <c r="L1436" s="3">
        <v>0.6794</v>
      </c>
      <c r="M1436" s="3">
        <v>16985.0</v>
      </c>
      <c r="N1436" s="3">
        <v>2.0</v>
      </c>
      <c r="O1436" s="3">
        <v>478590.0</v>
      </c>
      <c r="P1436" s="3" t="s">
        <v>3604</v>
      </c>
      <c r="Q1436" s="3">
        <v>1141255.0</v>
      </c>
      <c r="R1436" s="3"/>
      <c r="S1436" s="3">
        <v>11889.5</v>
      </c>
      <c r="T1436" s="3" t="s">
        <v>31</v>
      </c>
      <c r="U1436" s="3">
        <v>11889.5</v>
      </c>
      <c r="V1436" s="5">
        <f>(DATE(2026,2,3)-'RICE_Insured Farms_with PPI Pol'!$G1436)+IF('RICE_Insured Farms_with PPI Pol'!$H1436&lt;&gt;'RICE_Insured Farms_with PPI Pol'!$G1436,18,0)</f>
        <v>45</v>
      </c>
      <c r="W1436" s="3" t="str">
        <f t="array" ref="W1436">IFS(V1436&gt;120, "Harvested", V1436&gt;=113, "Yellow Ripening", V1436&gt;=101, "Dough Stage", V1436&gt;=93, "Milking Stage", V1436&gt;=86, "Flowering", V1436&gt;=56, "Panicle Initiation/Booting", V1436&lt;56, "Vegetative/Tillering")</f>
        <v>Vegetative/Tillering</v>
      </c>
    </row>
    <row r="1437" ht="15.75" hidden="1" customHeight="1">
      <c r="A1437" s="3">
        <v>1436.0</v>
      </c>
      <c r="B1437" s="3" t="s">
        <v>23</v>
      </c>
      <c r="C1437" s="3" t="s">
        <v>68</v>
      </c>
      <c r="D1437" s="3" t="s">
        <v>289</v>
      </c>
      <c r="E1437" s="3" t="s">
        <v>290</v>
      </c>
      <c r="F1437" s="3">
        <v>1760035.0</v>
      </c>
      <c r="G1437" s="4">
        <v>46032.0</v>
      </c>
      <c r="H1437" s="4">
        <v>46134.0</v>
      </c>
      <c r="I1437" s="3" t="s">
        <v>3423</v>
      </c>
      <c r="J1437" s="3" t="s">
        <v>2437</v>
      </c>
      <c r="K1437" s="3" t="s">
        <v>3605</v>
      </c>
      <c r="L1437" s="3">
        <v>0.4278</v>
      </c>
      <c r="M1437" s="3">
        <v>10695.0</v>
      </c>
      <c r="N1437" s="3">
        <v>2.0</v>
      </c>
      <c r="O1437" s="3">
        <v>195366.0</v>
      </c>
      <c r="P1437" s="3" t="s">
        <v>3606</v>
      </c>
      <c r="Q1437" s="3">
        <v>1285710.0</v>
      </c>
      <c r="R1437" s="3"/>
      <c r="S1437" s="3">
        <v>7486.5</v>
      </c>
      <c r="T1437" s="3" t="s">
        <v>31</v>
      </c>
      <c r="U1437" s="3">
        <v>7486.5</v>
      </c>
      <c r="V1437" s="5">
        <f>(DATE(2026,2,3)-'RICE_Insured Farms_with PPI Pol'!$G1437)+IF('RICE_Insured Farms_with PPI Pol'!$H1437&lt;&gt;'RICE_Insured Farms_with PPI Pol'!$G1437,18,0)</f>
        <v>42</v>
      </c>
      <c r="W1437" s="3" t="str">
        <f t="array" ref="W1437">IFS(V1437&gt;120, "Harvested", V1437&gt;=113, "Yellow Ripening", V1437&gt;=101, "Dough Stage", V1437&gt;=93, "Milking Stage", V1437&gt;=86, "Flowering", V1437&gt;=56, "Panicle Initiation/Booting", V1437&lt;56, "Vegetative/Tillering")</f>
        <v>Vegetative/Tillering</v>
      </c>
    </row>
    <row r="1438" ht="15.75" hidden="1" customHeight="1">
      <c r="A1438" s="3">
        <v>1437.0</v>
      </c>
      <c r="B1438" s="3" t="s">
        <v>23</v>
      </c>
      <c r="C1438" s="3" t="s">
        <v>68</v>
      </c>
      <c r="D1438" s="3" t="s">
        <v>289</v>
      </c>
      <c r="E1438" s="3" t="s">
        <v>743</v>
      </c>
      <c r="F1438" s="3">
        <v>1760038.0</v>
      </c>
      <c r="G1438" s="4">
        <v>46032.0</v>
      </c>
      <c r="H1438" s="4">
        <v>46134.0</v>
      </c>
      <c r="I1438" s="3" t="s">
        <v>1325</v>
      </c>
      <c r="J1438" s="3" t="s">
        <v>3607</v>
      </c>
      <c r="K1438" s="3" t="s">
        <v>2955</v>
      </c>
      <c r="L1438" s="3">
        <v>0.7995</v>
      </c>
      <c r="M1438" s="3">
        <v>19987.5</v>
      </c>
      <c r="N1438" s="3">
        <v>2.0</v>
      </c>
      <c r="O1438" s="3">
        <v>31076.0</v>
      </c>
      <c r="P1438" s="3"/>
      <c r="Q1438" s="3">
        <v>1199884.0</v>
      </c>
      <c r="R1438" s="3"/>
      <c r="S1438" s="3">
        <v>13991.25</v>
      </c>
      <c r="T1438" s="3" t="s">
        <v>31</v>
      </c>
      <c r="U1438" s="3">
        <v>13991.25</v>
      </c>
      <c r="V1438" s="5">
        <f>(DATE(2026,2,3)-'RICE_Insured Farms_with PPI Pol'!$G1438)+IF('RICE_Insured Farms_with PPI Pol'!$H1438&lt;&gt;'RICE_Insured Farms_with PPI Pol'!$G1438,18,0)</f>
        <v>42</v>
      </c>
      <c r="W1438" s="3" t="str">
        <f t="array" ref="W1438">IFS(V1438&gt;120, "Harvested", V1438&gt;=113, "Yellow Ripening", V1438&gt;=101, "Dough Stage", V1438&gt;=93, "Milking Stage", V1438&gt;=86, "Flowering", V1438&gt;=56, "Panicle Initiation/Booting", V1438&lt;56, "Vegetative/Tillering")</f>
        <v>Vegetative/Tillering</v>
      </c>
    </row>
    <row r="1439" ht="15.75" hidden="1" customHeight="1">
      <c r="A1439" s="3">
        <v>1438.0</v>
      </c>
      <c r="B1439" s="3" t="s">
        <v>23</v>
      </c>
      <c r="C1439" s="3" t="s">
        <v>68</v>
      </c>
      <c r="D1439" s="3" t="s">
        <v>289</v>
      </c>
      <c r="E1439" s="3" t="s">
        <v>743</v>
      </c>
      <c r="F1439" s="3">
        <v>1760022.0</v>
      </c>
      <c r="G1439" s="4">
        <v>46028.0</v>
      </c>
      <c r="H1439" s="4">
        <v>46130.0</v>
      </c>
      <c r="I1439" s="3" t="s">
        <v>1325</v>
      </c>
      <c r="J1439" s="3" t="s">
        <v>1326</v>
      </c>
      <c r="K1439" s="3" t="s">
        <v>1327</v>
      </c>
      <c r="L1439" s="3">
        <v>0.5056</v>
      </c>
      <c r="M1439" s="3">
        <v>12640.0</v>
      </c>
      <c r="N1439" s="3">
        <v>2.0</v>
      </c>
      <c r="O1439" s="3">
        <v>479999.0</v>
      </c>
      <c r="P1439" s="3"/>
      <c r="Q1439" s="3">
        <v>1321630.0</v>
      </c>
      <c r="R1439" s="3"/>
      <c r="S1439" s="3">
        <v>8848.0</v>
      </c>
      <c r="T1439" s="3" t="s">
        <v>31</v>
      </c>
      <c r="U1439" s="3">
        <v>8848.0</v>
      </c>
      <c r="V1439" s="5">
        <f>(DATE(2026,2,3)-'RICE_Insured Farms_with PPI Pol'!$G1439)+IF('RICE_Insured Farms_with PPI Pol'!$H1439&lt;&gt;'RICE_Insured Farms_with PPI Pol'!$G1439,18,0)</f>
        <v>46</v>
      </c>
      <c r="W1439" s="3" t="str">
        <f t="array" ref="W1439">IFS(V1439&gt;120, "Harvested", V1439&gt;=113, "Yellow Ripening", V1439&gt;=101, "Dough Stage", V1439&gt;=93, "Milking Stage", V1439&gt;=86, "Flowering", V1439&gt;=56, "Panicle Initiation/Booting", V1439&lt;56, "Vegetative/Tillering")</f>
        <v>Vegetative/Tillering</v>
      </c>
    </row>
    <row r="1440" ht="15.75" customHeight="1">
      <c r="A1440" s="3">
        <v>1439.0</v>
      </c>
      <c r="B1440" s="3" t="s">
        <v>23</v>
      </c>
      <c r="C1440" s="3" t="s">
        <v>68</v>
      </c>
      <c r="D1440" s="3" t="s">
        <v>289</v>
      </c>
      <c r="E1440" s="3" t="s">
        <v>895</v>
      </c>
      <c r="F1440" s="3">
        <v>1760007.0</v>
      </c>
      <c r="G1440" s="4">
        <v>46013.0</v>
      </c>
      <c r="H1440" s="4">
        <v>46123.0</v>
      </c>
      <c r="I1440" s="3" t="s">
        <v>3608</v>
      </c>
      <c r="J1440" s="3" t="s">
        <v>3609</v>
      </c>
      <c r="K1440" s="3" t="s">
        <v>3610</v>
      </c>
      <c r="L1440" s="3">
        <v>0.7652</v>
      </c>
      <c r="M1440" s="3">
        <v>19130.0</v>
      </c>
      <c r="N1440" s="3">
        <v>3.0</v>
      </c>
      <c r="O1440" s="3">
        <v>199583.0</v>
      </c>
      <c r="P1440" s="3" t="s">
        <v>3611</v>
      </c>
      <c r="Q1440" s="3">
        <v>1280643.0</v>
      </c>
      <c r="R1440" s="3"/>
      <c r="S1440" s="3">
        <v>15304.0</v>
      </c>
      <c r="T1440" s="3" t="s">
        <v>37</v>
      </c>
      <c r="U1440" s="3">
        <v>15304.0</v>
      </c>
      <c r="V1440" s="5">
        <f>(DATE(2026,2,3)-'RICE_Insured Farms_with PPI Pol'!$G1440)+IF('RICE_Insured Farms_with PPI Pol'!$H1440&lt;&gt;'RICE_Insured Farms_with PPI Pol'!$G1440,18,0)</f>
        <v>61</v>
      </c>
      <c r="W1440" s="3" t="str">
        <f t="array" ref="W1440">IFS(V1440&gt;120, "Harvested", V1440&gt;=113, "Yellow Ripening", V1440&gt;=101, "Dough Stage", V1440&gt;=93, "Milking Stage", V1440&gt;=86, "Flowering", V1440&gt;=56, "Panicle Initiation/Booting", V1440&lt;56, "Vegetative/Tillering")</f>
        <v>Panicle Initiation/Booting</v>
      </c>
    </row>
    <row r="1441" ht="15.75" hidden="1" customHeight="1">
      <c r="A1441" s="3">
        <v>1440.0</v>
      </c>
      <c r="B1441" s="3" t="s">
        <v>23</v>
      </c>
      <c r="C1441" s="3" t="s">
        <v>68</v>
      </c>
      <c r="D1441" s="3" t="s">
        <v>289</v>
      </c>
      <c r="E1441" s="3" t="s">
        <v>571</v>
      </c>
      <c r="F1441" s="3">
        <v>1760046.0</v>
      </c>
      <c r="G1441" s="4">
        <v>46040.0</v>
      </c>
      <c r="H1441" s="4">
        <v>46142.0</v>
      </c>
      <c r="I1441" s="3" t="s">
        <v>3612</v>
      </c>
      <c r="J1441" s="3" t="s">
        <v>3613</v>
      </c>
      <c r="K1441" s="3" t="s">
        <v>3281</v>
      </c>
      <c r="L1441" s="3">
        <v>0.6412</v>
      </c>
      <c r="M1441" s="3">
        <v>16030.0</v>
      </c>
      <c r="N1441" s="3">
        <v>2.0</v>
      </c>
      <c r="O1441" s="3">
        <v>387689.0</v>
      </c>
      <c r="P1441" s="3" t="s">
        <v>3614</v>
      </c>
      <c r="Q1441" s="3">
        <v>776507.0</v>
      </c>
      <c r="R1441" s="3"/>
      <c r="S1441" s="3">
        <v>11221.0</v>
      </c>
      <c r="T1441" s="3" t="s">
        <v>31</v>
      </c>
      <c r="U1441" s="3">
        <v>11221.0</v>
      </c>
      <c r="V1441" s="5">
        <f>(DATE(2026,2,3)-'RICE_Insured Farms_with PPI Pol'!$G1441)+IF('RICE_Insured Farms_with PPI Pol'!$H1441&lt;&gt;'RICE_Insured Farms_with PPI Pol'!$G1441,18,0)</f>
        <v>34</v>
      </c>
      <c r="W1441" s="3" t="str">
        <f t="array" ref="W1441">IFS(V1441&gt;120, "Harvested", V1441&gt;=113, "Yellow Ripening", V1441&gt;=101, "Dough Stage", V1441&gt;=93, "Milking Stage", V1441&gt;=86, "Flowering", V1441&gt;=56, "Panicle Initiation/Booting", V1441&lt;56, "Vegetative/Tillering")</f>
        <v>Vegetative/Tillering</v>
      </c>
    </row>
    <row r="1442" ht="15.75" hidden="1" customHeight="1">
      <c r="A1442" s="3">
        <v>849.0</v>
      </c>
      <c r="B1442" s="3" t="s">
        <v>23</v>
      </c>
      <c r="C1442" s="3" t="s">
        <v>68</v>
      </c>
      <c r="D1442" s="3" t="s">
        <v>289</v>
      </c>
      <c r="E1442" s="3" t="s">
        <v>2291</v>
      </c>
      <c r="F1442" s="3">
        <v>1760006.0</v>
      </c>
      <c r="G1442" s="4">
        <v>46008.0</v>
      </c>
      <c r="H1442" s="4">
        <v>46110.0</v>
      </c>
      <c r="I1442" s="3" t="s">
        <v>3615</v>
      </c>
      <c r="J1442" s="3" t="s">
        <v>3616</v>
      </c>
      <c r="K1442" s="3" t="s">
        <v>3617</v>
      </c>
      <c r="L1442" s="3">
        <v>0.7</v>
      </c>
      <c r="M1442" s="3">
        <v>17500.0</v>
      </c>
      <c r="N1442" s="3">
        <v>4.0</v>
      </c>
      <c r="O1442" s="3">
        <v>448640.0</v>
      </c>
      <c r="P1442" s="3"/>
      <c r="Q1442" s="3">
        <v>1278466.0</v>
      </c>
      <c r="R1442" s="3"/>
      <c r="S1442" s="3">
        <v>14000.0</v>
      </c>
      <c r="T1442" s="3" t="s">
        <v>56</v>
      </c>
      <c r="U1442" s="3">
        <v>14000.0</v>
      </c>
      <c r="V1442" s="5">
        <f>(DATE(2026,2,3)-'RICE_Insured Farms_with PPI Pol'!$G1442)+IF('RICE_Insured Farms_with PPI Pol'!$H1442&lt;&gt;'RICE_Insured Farms_with PPI Pol'!$G1442,18,0)</f>
        <v>66</v>
      </c>
      <c r="W1442" s="3" t="str">
        <f t="array" ref="W1442">IFS(V1442&gt;120, "Harvested", V1442&gt;=113, "Yellow Ripening", V1442&gt;=101, "Dough Stage", V1442&gt;=93, "Milking Stage", V1442&gt;=86, "Flowering", V1442&gt;=56, "Panicle Initiation/Booting", V1442&lt;56, "Vegetative/Tillering")</f>
        <v>Panicle Initiation/Booting</v>
      </c>
    </row>
    <row r="1443" ht="15.75" hidden="1" customHeight="1">
      <c r="A1443" s="3">
        <v>1219.0</v>
      </c>
      <c r="B1443" s="3" t="s">
        <v>23</v>
      </c>
      <c r="C1443" s="3" t="s">
        <v>68</v>
      </c>
      <c r="D1443" s="3" t="s">
        <v>289</v>
      </c>
      <c r="E1443" s="3" t="s">
        <v>702</v>
      </c>
      <c r="F1443" s="3">
        <v>1760010.0</v>
      </c>
      <c r="G1443" s="4">
        <v>46006.0</v>
      </c>
      <c r="H1443" s="4">
        <v>46108.0</v>
      </c>
      <c r="I1443" s="3" t="s">
        <v>3182</v>
      </c>
      <c r="J1443" s="3" t="s">
        <v>3618</v>
      </c>
      <c r="K1443" s="3" t="s">
        <v>3619</v>
      </c>
      <c r="L1443" s="3">
        <v>0.5116</v>
      </c>
      <c r="M1443" s="3">
        <v>12790.0</v>
      </c>
      <c r="N1443" s="3">
        <v>4.0</v>
      </c>
      <c r="O1443" s="3">
        <v>95274.0</v>
      </c>
      <c r="P1443" s="3" t="s">
        <v>3620</v>
      </c>
      <c r="Q1443" s="3">
        <v>1284947.0</v>
      </c>
      <c r="R1443" s="3"/>
      <c r="S1443" s="3">
        <v>10232.0</v>
      </c>
      <c r="T1443" s="3" t="s">
        <v>56</v>
      </c>
      <c r="U1443" s="3">
        <v>10232.0</v>
      </c>
      <c r="V1443" s="5">
        <f>(DATE(2026,2,3)-'RICE_Insured Farms_with PPI Pol'!$G1443)+IF('RICE_Insured Farms_with PPI Pol'!$H1443&lt;&gt;'RICE_Insured Farms_with PPI Pol'!$G1443,18,0)</f>
        <v>68</v>
      </c>
      <c r="W1443" s="3" t="str">
        <f t="array" ref="W1443">IFS(V1443&gt;120, "Harvested", V1443&gt;=113, "Yellow Ripening", V1443&gt;=101, "Dough Stage", V1443&gt;=93, "Milking Stage", V1443&gt;=86, "Flowering", V1443&gt;=56, "Panicle Initiation/Booting", V1443&lt;56, "Vegetative/Tillering")</f>
        <v>Panicle Initiation/Booting</v>
      </c>
    </row>
    <row r="1444" ht="15.75" customHeight="1">
      <c r="A1444" s="3">
        <v>1443.0</v>
      </c>
      <c r="B1444" s="3" t="s">
        <v>23</v>
      </c>
      <c r="C1444" s="3" t="s">
        <v>24</v>
      </c>
      <c r="D1444" s="3" t="s">
        <v>25</v>
      </c>
      <c r="E1444" s="3" t="s">
        <v>674</v>
      </c>
      <c r="F1444" s="3">
        <v>1760488.0</v>
      </c>
      <c r="G1444" s="4">
        <v>46021.0</v>
      </c>
      <c r="H1444" s="4">
        <v>46116.0</v>
      </c>
      <c r="I1444" s="3" t="s">
        <v>248</v>
      </c>
      <c r="J1444" s="3" t="s">
        <v>3621</v>
      </c>
      <c r="K1444" s="3" t="s">
        <v>3066</v>
      </c>
      <c r="L1444" s="3">
        <v>1.0</v>
      </c>
      <c r="M1444" s="3">
        <v>25000.0</v>
      </c>
      <c r="N1444" s="3">
        <v>3.0</v>
      </c>
      <c r="O1444" s="3">
        <v>3004.0</v>
      </c>
      <c r="P1444" s="3" t="s">
        <v>3622</v>
      </c>
      <c r="Q1444" s="3">
        <v>1319148.0</v>
      </c>
      <c r="R1444" s="3"/>
      <c r="S1444" s="3">
        <v>20000.0</v>
      </c>
      <c r="T1444" s="3" t="s">
        <v>37</v>
      </c>
      <c r="U1444" s="3">
        <v>20000.0</v>
      </c>
      <c r="V1444" s="5">
        <f>(DATE(2026,2,3)-'RICE_Insured Farms_with PPI Pol'!$G1444)+IF('RICE_Insured Farms_with PPI Pol'!$H1444&lt;&gt;'RICE_Insured Farms_with PPI Pol'!$G1444,18,0)</f>
        <v>53</v>
      </c>
      <c r="W1444" s="3" t="str">
        <f t="array" ref="W1444">IFS(V1444&gt;120, "Harvested", V1444&gt;=113, "Yellow Ripening", V1444&gt;=101, "Dough Stage", V1444&gt;=93, "Milking Stage", V1444&gt;=86, "Flowering", V1444&gt;=56, "Panicle Initiation/Booting", V1444&lt;56, "Vegetative/Tillering")</f>
        <v>Vegetative/Tillering</v>
      </c>
    </row>
    <row r="1445" ht="15.75" hidden="1" customHeight="1">
      <c r="A1445" s="3">
        <v>1444.0</v>
      </c>
      <c r="B1445" s="3" t="s">
        <v>23</v>
      </c>
      <c r="C1445" s="3" t="s">
        <v>121</v>
      </c>
      <c r="D1445" s="3" t="s">
        <v>1492</v>
      </c>
      <c r="E1445" s="3" t="s">
        <v>2306</v>
      </c>
      <c r="F1445" s="3">
        <v>1740652.0</v>
      </c>
      <c r="G1445" s="4">
        <v>46037.0</v>
      </c>
      <c r="H1445" s="4">
        <v>46157.0</v>
      </c>
      <c r="I1445" s="3" t="s">
        <v>3623</v>
      </c>
      <c r="J1445" s="3" t="s">
        <v>3624</v>
      </c>
      <c r="K1445" s="3" t="s">
        <v>3625</v>
      </c>
      <c r="L1445" s="3">
        <v>2.638</v>
      </c>
      <c r="M1445" s="3">
        <v>65950.0</v>
      </c>
      <c r="N1445" s="3">
        <v>1.0</v>
      </c>
      <c r="O1445" s="3">
        <v>153861.0</v>
      </c>
      <c r="P1445" s="3"/>
      <c r="Q1445" s="3">
        <v>1136609.0</v>
      </c>
      <c r="R1445" s="3"/>
      <c r="S1445" s="3">
        <v>39570.0</v>
      </c>
      <c r="T1445" s="3" t="s">
        <v>62</v>
      </c>
      <c r="U1445" s="3">
        <v>39570.0</v>
      </c>
      <c r="V1445" s="5">
        <f>(DATE(2026,2,3)-'RICE_Insured Farms_with PPI Pol'!$G1445)+IF('RICE_Insured Farms_with PPI Pol'!$H1445&lt;&gt;'RICE_Insured Farms_with PPI Pol'!$G1445,18,0)</f>
        <v>37</v>
      </c>
      <c r="W1445" s="3" t="str">
        <f t="array" ref="W1445">IFS(V1445&gt;120, "Harvested", V1445&gt;=113, "Yellow Ripening", V1445&gt;=101, "Dough Stage", V1445&gt;=93, "Milking Stage", V1445&gt;=86, "Flowering", V1445&gt;=56, "Panicle Initiation/Booting", V1445&lt;56, "Vegetative/Tillering")</f>
        <v>Vegetative/Tillering</v>
      </c>
    </row>
    <row r="1446" ht="15.75" customHeight="1">
      <c r="A1446" s="3">
        <v>1445.0</v>
      </c>
      <c r="B1446" s="3" t="s">
        <v>23</v>
      </c>
      <c r="C1446" s="3" t="s">
        <v>68</v>
      </c>
      <c r="D1446" s="3" t="s">
        <v>69</v>
      </c>
      <c r="E1446" s="3" t="s">
        <v>184</v>
      </c>
      <c r="F1446" s="3">
        <v>1739639.0</v>
      </c>
      <c r="G1446" s="4">
        <v>46018.0</v>
      </c>
      <c r="H1446" s="4">
        <v>46120.0</v>
      </c>
      <c r="I1446" s="3" t="s">
        <v>3626</v>
      </c>
      <c r="J1446" s="3" t="s">
        <v>3627</v>
      </c>
      <c r="K1446" s="3" t="s">
        <v>3628</v>
      </c>
      <c r="L1446" s="3">
        <v>0.3424</v>
      </c>
      <c r="M1446" s="3">
        <v>8560.0</v>
      </c>
      <c r="N1446" s="3">
        <v>3.0</v>
      </c>
      <c r="O1446" s="3">
        <v>447945.0</v>
      </c>
      <c r="P1446" s="3" t="s">
        <v>3629</v>
      </c>
      <c r="Q1446" s="3">
        <v>1141023.0</v>
      </c>
      <c r="R1446" s="3"/>
      <c r="S1446" s="3">
        <v>6848.0</v>
      </c>
      <c r="T1446" s="3" t="s">
        <v>37</v>
      </c>
      <c r="U1446" s="3">
        <v>6848.0</v>
      </c>
      <c r="V1446" s="5">
        <f>(DATE(2026,2,3)-'RICE_Insured Farms_with PPI Pol'!$G1446)+IF('RICE_Insured Farms_with PPI Pol'!$H1446&lt;&gt;'RICE_Insured Farms_with PPI Pol'!$G1446,18,0)</f>
        <v>56</v>
      </c>
      <c r="W1446" s="3" t="str">
        <f t="array" ref="W1446">IFS(V1446&gt;120, "Harvested", V1446&gt;=113, "Yellow Ripening", V1446&gt;=101, "Dough Stage", V1446&gt;=93, "Milking Stage", V1446&gt;=86, "Flowering", V1446&gt;=56, "Panicle Initiation/Booting", V1446&lt;56, "Vegetative/Tillering")</f>
        <v>Panicle Initiation/Booting</v>
      </c>
    </row>
    <row r="1447" ht="15.75" customHeight="1">
      <c r="A1447" s="3">
        <v>1446.0</v>
      </c>
      <c r="B1447" s="3" t="s">
        <v>23</v>
      </c>
      <c r="C1447" s="3" t="s">
        <v>68</v>
      </c>
      <c r="D1447" s="3" t="s">
        <v>69</v>
      </c>
      <c r="E1447" s="3" t="s">
        <v>131</v>
      </c>
      <c r="F1447" s="3">
        <v>1739641.0</v>
      </c>
      <c r="G1447" s="4">
        <v>46014.0</v>
      </c>
      <c r="H1447" s="4">
        <v>46116.0</v>
      </c>
      <c r="I1447" s="3" t="s">
        <v>3630</v>
      </c>
      <c r="J1447" s="3" t="s">
        <v>3631</v>
      </c>
      <c r="K1447" s="3" t="s">
        <v>3632</v>
      </c>
      <c r="L1447" s="3">
        <v>1.0461</v>
      </c>
      <c r="M1447" s="3">
        <v>26152.5</v>
      </c>
      <c r="N1447" s="3">
        <v>3.0</v>
      </c>
      <c r="O1447" s="3">
        <v>108531.0</v>
      </c>
      <c r="P1447" s="3" t="s">
        <v>3633</v>
      </c>
      <c r="Q1447" s="3">
        <v>1137056.0</v>
      </c>
      <c r="R1447" s="3"/>
      <c r="S1447" s="3">
        <v>20922.0</v>
      </c>
      <c r="T1447" s="3" t="s">
        <v>37</v>
      </c>
      <c r="U1447" s="3">
        <v>20922.0</v>
      </c>
      <c r="V1447" s="5">
        <f>(DATE(2026,2,3)-'RICE_Insured Farms_with PPI Pol'!$G1447)+IF('RICE_Insured Farms_with PPI Pol'!$H1447&lt;&gt;'RICE_Insured Farms_with PPI Pol'!$G1447,18,0)</f>
        <v>60</v>
      </c>
      <c r="W1447" s="3" t="str">
        <f t="array" ref="W1447">IFS(V1447&gt;120, "Harvested", V1447&gt;=113, "Yellow Ripening", V1447&gt;=101, "Dough Stage", V1447&gt;=93, "Milking Stage", V1447&gt;=86, "Flowering", V1447&gt;=56, "Panicle Initiation/Booting", V1447&lt;56, "Vegetative/Tillering")</f>
        <v>Panicle Initiation/Booting</v>
      </c>
    </row>
    <row r="1448" ht="15.75" customHeight="1">
      <c r="A1448" s="3">
        <v>1447.0</v>
      </c>
      <c r="B1448" s="3" t="s">
        <v>23</v>
      </c>
      <c r="C1448" s="3" t="s">
        <v>68</v>
      </c>
      <c r="D1448" s="3" t="s">
        <v>69</v>
      </c>
      <c r="E1448" s="3" t="s">
        <v>131</v>
      </c>
      <c r="F1448" s="3">
        <v>1739641.0</v>
      </c>
      <c r="G1448" s="4">
        <v>46014.0</v>
      </c>
      <c r="H1448" s="4">
        <v>46116.0</v>
      </c>
      <c r="I1448" s="3" t="s">
        <v>3630</v>
      </c>
      <c r="J1448" s="3" t="s">
        <v>3631</v>
      </c>
      <c r="K1448" s="3" t="s">
        <v>3632</v>
      </c>
      <c r="L1448" s="3">
        <v>0.5504</v>
      </c>
      <c r="M1448" s="3">
        <v>13760.0</v>
      </c>
      <c r="N1448" s="3">
        <v>3.0</v>
      </c>
      <c r="O1448" s="3">
        <v>108531.0</v>
      </c>
      <c r="P1448" s="3" t="s">
        <v>3633</v>
      </c>
      <c r="Q1448" s="3">
        <v>1137058.0</v>
      </c>
      <c r="R1448" s="3"/>
      <c r="S1448" s="3">
        <v>11008.0</v>
      </c>
      <c r="T1448" s="3" t="s">
        <v>37</v>
      </c>
      <c r="U1448" s="3">
        <v>11008.0</v>
      </c>
      <c r="V1448" s="5">
        <f>(DATE(2026,2,3)-'RICE_Insured Farms_with PPI Pol'!$G1448)+IF('RICE_Insured Farms_with PPI Pol'!$H1448&lt;&gt;'RICE_Insured Farms_with PPI Pol'!$G1448,18,0)</f>
        <v>60</v>
      </c>
      <c r="W1448" s="3" t="str">
        <f t="array" ref="W1448">IFS(V1448&gt;120, "Harvested", V1448&gt;=113, "Yellow Ripening", V1448&gt;=101, "Dough Stage", V1448&gt;=93, "Milking Stage", V1448&gt;=86, "Flowering", V1448&gt;=56, "Panicle Initiation/Booting", V1448&lt;56, "Vegetative/Tillering")</f>
        <v>Panicle Initiation/Booting</v>
      </c>
    </row>
    <row r="1449" ht="15.75" hidden="1" customHeight="1">
      <c r="A1449" s="3">
        <v>1448.0</v>
      </c>
      <c r="B1449" s="3" t="s">
        <v>23</v>
      </c>
      <c r="C1449" s="3" t="s">
        <v>68</v>
      </c>
      <c r="D1449" s="3" t="s">
        <v>289</v>
      </c>
      <c r="E1449" s="3" t="s">
        <v>507</v>
      </c>
      <c r="F1449" s="3">
        <v>1760030.0</v>
      </c>
      <c r="G1449" s="4">
        <v>46027.0</v>
      </c>
      <c r="H1449" s="4">
        <v>46129.0</v>
      </c>
      <c r="I1449" s="3" t="s">
        <v>3634</v>
      </c>
      <c r="J1449" s="3" t="s">
        <v>3635</v>
      </c>
      <c r="K1449" s="3" t="s">
        <v>2157</v>
      </c>
      <c r="L1449" s="3">
        <v>0.3565</v>
      </c>
      <c r="M1449" s="3">
        <v>8912.5</v>
      </c>
      <c r="N1449" s="3">
        <v>2.0</v>
      </c>
      <c r="O1449" s="3">
        <v>437372.0</v>
      </c>
      <c r="P1449" s="3" t="s">
        <v>3636</v>
      </c>
      <c r="Q1449" s="3">
        <v>1286179.0</v>
      </c>
      <c r="R1449" s="3"/>
      <c r="S1449" s="3">
        <v>6238.75</v>
      </c>
      <c r="T1449" s="3" t="s">
        <v>31</v>
      </c>
      <c r="U1449" s="3">
        <v>6238.75</v>
      </c>
      <c r="V1449" s="5">
        <f>(DATE(2026,2,3)-'RICE_Insured Farms_with PPI Pol'!$G1449)+IF('RICE_Insured Farms_with PPI Pol'!$H1449&lt;&gt;'RICE_Insured Farms_with PPI Pol'!$G1449,18,0)</f>
        <v>47</v>
      </c>
      <c r="W1449" s="3" t="str">
        <f t="array" ref="W1449">IFS(V1449&gt;120, "Harvested", V1449&gt;=113, "Yellow Ripening", V1449&gt;=101, "Dough Stage", V1449&gt;=93, "Milking Stage", V1449&gt;=86, "Flowering", V1449&gt;=56, "Panicle Initiation/Booting", V1449&lt;56, "Vegetative/Tillering")</f>
        <v>Vegetative/Tillering</v>
      </c>
    </row>
    <row r="1450" ht="15.75" hidden="1" customHeight="1">
      <c r="A1450" s="3">
        <v>1449.0</v>
      </c>
      <c r="B1450" s="3" t="s">
        <v>23</v>
      </c>
      <c r="C1450" s="3" t="s">
        <v>68</v>
      </c>
      <c r="D1450" s="3" t="s">
        <v>289</v>
      </c>
      <c r="E1450" s="3" t="s">
        <v>507</v>
      </c>
      <c r="F1450" s="3">
        <v>1760030.0</v>
      </c>
      <c r="G1450" s="4">
        <v>46027.0</v>
      </c>
      <c r="H1450" s="4">
        <v>46129.0</v>
      </c>
      <c r="I1450" s="3" t="s">
        <v>3634</v>
      </c>
      <c r="J1450" s="3" t="s">
        <v>3635</v>
      </c>
      <c r="K1450" s="3" t="s">
        <v>2157</v>
      </c>
      <c r="L1450" s="3">
        <v>0.8195</v>
      </c>
      <c r="M1450" s="3">
        <v>20487.5</v>
      </c>
      <c r="N1450" s="3">
        <v>2.0</v>
      </c>
      <c r="O1450" s="3">
        <v>437372.0</v>
      </c>
      <c r="P1450" s="3" t="s">
        <v>3636</v>
      </c>
      <c r="Q1450" s="3">
        <v>974060.0</v>
      </c>
      <c r="R1450" s="3"/>
      <c r="S1450" s="3">
        <v>14341.25</v>
      </c>
      <c r="T1450" s="3" t="s">
        <v>31</v>
      </c>
      <c r="U1450" s="3">
        <v>14341.25</v>
      </c>
      <c r="V1450" s="5">
        <f>(DATE(2026,2,3)-'RICE_Insured Farms_with PPI Pol'!$G1450)+IF('RICE_Insured Farms_with PPI Pol'!$H1450&lt;&gt;'RICE_Insured Farms_with PPI Pol'!$G1450,18,0)</f>
        <v>47</v>
      </c>
      <c r="W1450" s="3" t="str">
        <f t="array" ref="W1450">IFS(V1450&gt;120, "Harvested", V1450&gt;=113, "Yellow Ripening", V1450&gt;=101, "Dough Stage", V1450&gt;=93, "Milking Stage", V1450&gt;=86, "Flowering", V1450&gt;=56, "Panicle Initiation/Booting", V1450&lt;56, "Vegetative/Tillering")</f>
        <v>Vegetative/Tillering</v>
      </c>
    </row>
    <row r="1451" ht="15.75" hidden="1" customHeight="1">
      <c r="A1451" s="3">
        <v>1450.0</v>
      </c>
      <c r="B1451" s="3" t="s">
        <v>23</v>
      </c>
      <c r="C1451" s="3" t="s">
        <v>68</v>
      </c>
      <c r="D1451" s="3" t="s">
        <v>289</v>
      </c>
      <c r="E1451" s="3" t="s">
        <v>507</v>
      </c>
      <c r="F1451" s="3">
        <v>1760034.0</v>
      </c>
      <c r="G1451" s="4">
        <v>46028.0</v>
      </c>
      <c r="H1451" s="4">
        <v>46130.0</v>
      </c>
      <c r="I1451" s="3" t="s">
        <v>1328</v>
      </c>
      <c r="J1451" s="3" t="s">
        <v>2320</v>
      </c>
      <c r="K1451" s="3" t="s">
        <v>3637</v>
      </c>
      <c r="L1451" s="3">
        <v>0.254</v>
      </c>
      <c r="M1451" s="3">
        <v>6350.0</v>
      </c>
      <c r="N1451" s="3">
        <v>2.0</v>
      </c>
      <c r="O1451" s="3">
        <v>31490.0</v>
      </c>
      <c r="P1451" s="3" t="s">
        <v>3638</v>
      </c>
      <c r="Q1451" s="3">
        <v>1145219.0</v>
      </c>
      <c r="R1451" s="3"/>
      <c r="S1451" s="3">
        <v>4445.0</v>
      </c>
      <c r="T1451" s="3" t="s">
        <v>31</v>
      </c>
      <c r="U1451" s="3">
        <v>4445.0</v>
      </c>
      <c r="V1451" s="5">
        <f>(DATE(2026,2,3)-'RICE_Insured Farms_with PPI Pol'!$G1451)+IF('RICE_Insured Farms_with PPI Pol'!$H1451&lt;&gt;'RICE_Insured Farms_with PPI Pol'!$G1451,18,0)</f>
        <v>46</v>
      </c>
      <c r="W1451" s="3" t="str">
        <f t="array" ref="W1451">IFS(V1451&gt;120, "Harvested", V1451&gt;=113, "Yellow Ripening", V1451&gt;=101, "Dough Stage", V1451&gt;=93, "Milking Stage", V1451&gt;=86, "Flowering", V1451&gt;=56, "Panicle Initiation/Booting", V1451&lt;56, "Vegetative/Tillering")</f>
        <v>Vegetative/Tillering</v>
      </c>
    </row>
    <row r="1452" ht="15.75" hidden="1" customHeight="1">
      <c r="A1452" s="3">
        <v>1451.0</v>
      </c>
      <c r="B1452" s="3" t="s">
        <v>23</v>
      </c>
      <c r="C1452" s="3" t="s">
        <v>68</v>
      </c>
      <c r="D1452" s="3" t="s">
        <v>289</v>
      </c>
      <c r="E1452" s="3" t="s">
        <v>507</v>
      </c>
      <c r="F1452" s="3">
        <v>1760034.0</v>
      </c>
      <c r="G1452" s="4">
        <v>46028.0</v>
      </c>
      <c r="H1452" s="4">
        <v>46130.0</v>
      </c>
      <c r="I1452" s="3" t="s">
        <v>1328</v>
      </c>
      <c r="J1452" s="3" t="s">
        <v>2320</v>
      </c>
      <c r="K1452" s="3" t="s">
        <v>3637</v>
      </c>
      <c r="L1452" s="3">
        <v>1.4225</v>
      </c>
      <c r="M1452" s="3">
        <v>35562.5</v>
      </c>
      <c r="N1452" s="3">
        <v>2.0</v>
      </c>
      <c r="O1452" s="3">
        <v>31490.0</v>
      </c>
      <c r="P1452" s="3" t="s">
        <v>3638</v>
      </c>
      <c r="Q1452" s="3">
        <v>1205649.0</v>
      </c>
      <c r="R1452" s="3"/>
      <c r="S1452" s="3">
        <v>24893.75</v>
      </c>
      <c r="T1452" s="3" t="s">
        <v>31</v>
      </c>
      <c r="U1452" s="3">
        <v>24893.75</v>
      </c>
      <c r="V1452" s="5">
        <f>(DATE(2026,2,3)-'RICE_Insured Farms_with PPI Pol'!$G1452)+IF('RICE_Insured Farms_with PPI Pol'!$H1452&lt;&gt;'RICE_Insured Farms_with PPI Pol'!$G1452,18,0)</f>
        <v>46</v>
      </c>
      <c r="W1452" s="3" t="str">
        <f t="array" ref="W1452">IFS(V1452&gt;120, "Harvested", V1452&gt;=113, "Yellow Ripening", V1452&gt;=101, "Dough Stage", V1452&gt;=93, "Milking Stage", V1452&gt;=86, "Flowering", V1452&gt;=56, "Panicle Initiation/Booting", V1452&lt;56, "Vegetative/Tillering")</f>
        <v>Vegetative/Tillering</v>
      </c>
    </row>
    <row r="1453" ht="15.75" customHeight="1">
      <c r="A1453" s="3">
        <v>1452.0</v>
      </c>
      <c r="B1453" s="3" t="s">
        <v>23</v>
      </c>
      <c r="C1453" s="3" t="s">
        <v>68</v>
      </c>
      <c r="D1453" s="3" t="s">
        <v>289</v>
      </c>
      <c r="E1453" s="3" t="s">
        <v>507</v>
      </c>
      <c r="F1453" s="3">
        <v>1760028.0</v>
      </c>
      <c r="G1453" s="4">
        <v>46032.0</v>
      </c>
      <c r="H1453" s="4">
        <v>46124.0</v>
      </c>
      <c r="I1453" s="3" t="s">
        <v>1328</v>
      </c>
      <c r="J1453" s="3" t="s">
        <v>3639</v>
      </c>
      <c r="K1453" s="3" t="s">
        <v>545</v>
      </c>
      <c r="L1453" s="3">
        <v>0.466</v>
      </c>
      <c r="M1453" s="3">
        <v>11650.0</v>
      </c>
      <c r="N1453" s="3">
        <v>3.0</v>
      </c>
      <c r="O1453" s="3">
        <v>15849.0</v>
      </c>
      <c r="P1453" s="3" t="s">
        <v>3640</v>
      </c>
      <c r="Q1453" s="3">
        <v>1134516.0</v>
      </c>
      <c r="R1453" s="3"/>
      <c r="S1453" s="3">
        <v>9320.0</v>
      </c>
      <c r="T1453" s="3" t="s">
        <v>37</v>
      </c>
      <c r="U1453" s="3">
        <v>9320.0</v>
      </c>
      <c r="V1453" s="5">
        <f>(DATE(2026,2,3)-'RICE_Insured Farms_with PPI Pol'!$G1453)+IF('RICE_Insured Farms_with PPI Pol'!$H1453&lt;&gt;'RICE_Insured Farms_with PPI Pol'!$G1453,18,0)</f>
        <v>42</v>
      </c>
      <c r="W1453" s="3" t="str">
        <f t="array" ref="W1453">IFS(V1453&gt;120, "Harvested", V1453&gt;=113, "Yellow Ripening", V1453&gt;=101, "Dough Stage", V1453&gt;=93, "Milking Stage", V1453&gt;=86, "Flowering", V1453&gt;=56, "Panicle Initiation/Booting", V1453&lt;56, "Vegetative/Tillering")</f>
        <v>Vegetative/Tillering</v>
      </c>
    </row>
    <row r="1454" ht="15.75" customHeight="1">
      <c r="A1454" s="3">
        <v>1453.0</v>
      </c>
      <c r="B1454" s="3" t="s">
        <v>23</v>
      </c>
      <c r="C1454" s="3" t="s">
        <v>68</v>
      </c>
      <c r="D1454" s="3" t="s">
        <v>289</v>
      </c>
      <c r="E1454" s="3" t="s">
        <v>507</v>
      </c>
      <c r="F1454" s="3">
        <v>1760028.0</v>
      </c>
      <c r="G1454" s="4">
        <v>46032.0</v>
      </c>
      <c r="H1454" s="4">
        <v>46124.0</v>
      </c>
      <c r="I1454" s="3" t="s">
        <v>1328</v>
      </c>
      <c r="J1454" s="3" t="s">
        <v>3639</v>
      </c>
      <c r="K1454" s="3" t="s">
        <v>545</v>
      </c>
      <c r="L1454" s="3">
        <v>0.5522</v>
      </c>
      <c r="M1454" s="3">
        <v>13805.0</v>
      </c>
      <c r="N1454" s="3">
        <v>3.0</v>
      </c>
      <c r="O1454" s="3">
        <v>15849.0</v>
      </c>
      <c r="P1454" s="3" t="s">
        <v>3640</v>
      </c>
      <c r="Q1454" s="3">
        <v>1134518.0</v>
      </c>
      <c r="R1454" s="3"/>
      <c r="S1454" s="3">
        <v>11044.0</v>
      </c>
      <c r="T1454" s="3" t="s">
        <v>37</v>
      </c>
      <c r="U1454" s="3">
        <v>11044.0</v>
      </c>
      <c r="V1454" s="5">
        <f>(DATE(2026,2,3)-'RICE_Insured Farms_with PPI Pol'!$G1454)+IF('RICE_Insured Farms_with PPI Pol'!$H1454&lt;&gt;'RICE_Insured Farms_with PPI Pol'!$G1454,18,0)</f>
        <v>42</v>
      </c>
      <c r="W1454" s="3" t="str">
        <f t="array" ref="W1454">IFS(V1454&gt;120, "Harvested", V1454&gt;=113, "Yellow Ripening", V1454&gt;=101, "Dough Stage", V1454&gt;=93, "Milking Stage", V1454&gt;=86, "Flowering", V1454&gt;=56, "Panicle Initiation/Booting", V1454&lt;56, "Vegetative/Tillering")</f>
        <v>Vegetative/Tillering</v>
      </c>
    </row>
    <row r="1455" ht="15.75" hidden="1" customHeight="1">
      <c r="A1455" s="3">
        <v>1454.0</v>
      </c>
      <c r="B1455" s="3" t="s">
        <v>23</v>
      </c>
      <c r="C1455" s="3" t="s">
        <v>68</v>
      </c>
      <c r="D1455" s="3" t="s">
        <v>289</v>
      </c>
      <c r="E1455" s="3" t="s">
        <v>507</v>
      </c>
      <c r="F1455" s="3">
        <v>1760026.0</v>
      </c>
      <c r="G1455" s="4">
        <v>46036.0</v>
      </c>
      <c r="H1455" s="4">
        <v>46138.0</v>
      </c>
      <c r="I1455" s="3" t="s">
        <v>1328</v>
      </c>
      <c r="J1455" s="3" t="s">
        <v>3641</v>
      </c>
      <c r="K1455" s="3" t="s">
        <v>545</v>
      </c>
      <c r="L1455" s="3">
        <v>1.0368</v>
      </c>
      <c r="M1455" s="3">
        <v>25920.0</v>
      </c>
      <c r="N1455" s="3">
        <v>2.0</v>
      </c>
      <c r="O1455" s="3">
        <v>50057.0</v>
      </c>
      <c r="P1455" s="3" t="s">
        <v>3642</v>
      </c>
      <c r="Q1455" s="3">
        <v>1134515.0</v>
      </c>
      <c r="R1455" s="3"/>
      <c r="S1455" s="3">
        <v>18144.0</v>
      </c>
      <c r="T1455" s="3" t="s">
        <v>31</v>
      </c>
      <c r="U1455" s="3">
        <v>18144.0</v>
      </c>
      <c r="V1455" s="5">
        <f>(DATE(2026,2,3)-'RICE_Insured Farms_with PPI Pol'!$G1455)+IF('RICE_Insured Farms_with PPI Pol'!$H1455&lt;&gt;'RICE_Insured Farms_with PPI Pol'!$G1455,18,0)</f>
        <v>38</v>
      </c>
      <c r="W1455" s="3" t="str">
        <f t="array" ref="W1455">IFS(V1455&gt;120, "Harvested", V1455&gt;=113, "Yellow Ripening", V1455&gt;=101, "Dough Stage", V1455&gt;=93, "Milking Stage", V1455&gt;=86, "Flowering", V1455&gt;=56, "Panicle Initiation/Booting", V1455&lt;56, "Vegetative/Tillering")</f>
        <v>Vegetative/Tillering</v>
      </c>
    </row>
    <row r="1456" ht="15.75" hidden="1" customHeight="1">
      <c r="A1456" s="3">
        <v>1455.0</v>
      </c>
      <c r="B1456" s="3" t="s">
        <v>23</v>
      </c>
      <c r="C1456" s="3" t="s">
        <v>68</v>
      </c>
      <c r="D1456" s="3" t="s">
        <v>289</v>
      </c>
      <c r="E1456" s="3" t="s">
        <v>507</v>
      </c>
      <c r="F1456" s="3">
        <v>1760026.0</v>
      </c>
      <c r="G1456" s="4">
        <v>46036.0</v>
      </c>
      <c r="H1456" s="4">
        <v>46138.0</v>
      </c>
      <c r="I1456" s="3" t="s">
        <v>1328</v>
      </c>
      <c r="J1456" s="3" t="s">
        <v>3641</v>
      </c>
      <c r="K1456" s="3" t="s">
        <v>545</v>
      </c>
      <c r="L1456" s="3">
        <v>1.2228</v>
      </c>
      <c r="M1456" s="3">
        <v>30570.0</v>
      </c>
      <c r="N1456" s="3">
        <v>2.0</v>
      </c>
      <c r="O1456" s="3">
        <v>50057.0</v>
      </c>
      <c r="P1456" s="3" t="s">
        <v>3642</v>
      </c>
      <c r="Q1456" s="3">
        <v>1189712.0</v>
      </c>
      <c r="R1456" s="3"/>
      <c r="S1456" s="3">
        <v>21399.0</v>
      </c>
      <c r="T1456" s="3" t="s">
        <v>31</v>
      </c>
      <c r="U1456" s="3">
        <v>21399.0</v>
      </c>
      <c r="V1456" s="5">
        <f>(DATE(2026,2,3)-'RICE_Insured Farms_with PPI Pol'!$G1456)+IF('RICE_Insured Farms_with PPI Pol'!$H1456&lt;&gt;'RICE_Insured Farms_with PPI Pol'!$G1456,18,0)</f>
        <v>38</v>
      </c>
      <c r="W1456" s="3" t="str">
        <f t="array" ref="W1456">IFS(V1456&gt;120, "Harvested", V1456&gt;=113, "Yellow Ripening", V1456&gt;=101, "Dough Stage", V1456&gt;=93, "Milking Stage", V1456&gt;=86, "Flowering", V1456&gt;=56, "Panicle Initiation/Booting", V1456&lt;56, "Vegetative/Tillering")</f>
        <v>Vegetative/Tillering</v>
      </c>
    </row>
    <row r="1457" ht="15.75" hidden="1" customHeight="1">
      <c r="A1457" s="3">
        <v>1271.0</v>
      </c>
      <c r="B1457" s="3" t="s">
        <v>23</v>
      </c>
      <c r="C1457" s="3" t="s">
        <v>68</v>
      </c>
      <c r="D1457" s="3" t="s">
        <v>289</v>
      </c>
      <c r="E1457" s="3" t="s">
        <v>743</v>
      </c>
      <c r="F1457" s="3">
        <v>1760014.0</v>
      </c>
      <c r="G1457" s="4">
        <v>46019.0</v>
      </c>
      <c r="H1457" s="4">
        <v>46111.0</v>
      </c>
      <c r="I1457" s="3" t="s">
        <v>1548</v>
      </c>
      <c r="J1457" s="3" t="s">
        <v>39</v>
      </c>
      <c r="K1457" s="3" t="s">
        <v>2459</v>
      </c>
      <c r="L1457" s="3">
        <v>1.4183</v>
      </c>
      <c r="M1457" s="3">
        <v>35457.5</v>
      </c>
      <c r="N1457" s="3">
        <v>4.0</v>
      </c>
      <c r="O1457" s="3">
        <v>21058.0</v>
      </c>
      <c r="P1457" s="3" t="s">
        <v>3643</v>
      </c>
      <c r="Q1457" s="3">
        <v>1134809.0</v>
      </c>
      <c r="R1457" s="3"/>
      <c r="S1457" s="3">
        <v>28366.0</v>
      </c>
      <c r="T1457" s="3" t="s">
        <v>56</v>
      </c>
      <c r="U1457" s="3">
        <v>28366.0</v>
      </c>
      <c r="V1457" s="5">
        <f>(DATE(2026,2,3)-'RICE_Insured Farms_with PPI Pol'!$G1457)+IF('RICE_Insured Farms_with PPI Pol'!$H1457&lt;&gt;'RICE_Insured Farms_with PPI Pol'!$G1457,18,0)</f>
        <v>55</v>
      </c>
      <c r="W1457" s="3" t="str">
        <f t="array" ref="W1457">IFS(V1457&gt;120, "Harvested", V1457&gt;=113, "Yellow Ripening", V1457&gt;=101, "Dough Stage", V1457&gt;=93, "Milking Stage", V1457&gt;=86, "Flowering", V1457&gt;=56, "Panicle Initiation/Booting", V1457&lt;56, "Vegetative/Tillering")</f>
        <v>Vegetative/Tillering</v>
      </c>
    </row>
    <row r="1458" ht="15.75" customHeight="1">
      <c r="A1458" s="3">
        <v>1457.0</v>
      </c>
      <c r="B1458" s="3" t="s">
        <v>23</v>
      </c>
      <c r="C1458" s="3" t="s">
        <v>68</v>
      </c>
      <c r="D1458" s="3" t="s">
        <v>289</v>
      </c>
      <c r="E1458" s="3" t="s">
        <v>1535</v>
      </c>
      <c r="F1458" s="3">
        <v>1760008.0</v>
      </c>
      <c r="G1458" s="4">
        <v>46019.0</v>
      </c>
      <c r="H1458" s="4">
        <v>46121.0</v>
      </c>
      <c r="I1458" s="3" t="s">
        <v>1814</v>
      </c>
      <c r="J1458" s="3" t="s">
        <v>2577</v>
      </c>
      <c r="K1458" s="3" t="s">
        <v>3644</v>
      </c>
      <c r="L1458" s="3">
        <v>0.599</v>
      </c>
      <c r="M1458" s="3">
        <v>14975.0</v>
      </c>
      <c r="N1458" s="3">
        <v>3.0</v>
      </c>
      <c r="O1458" s="3">
        <v>21143.0</v>
      </c>
      <c r="P1458" s="3" t="s">
        <v>3645</v>
      </c>
      <c r="Q1458" s="3">
        <v>1140453.0</v>
      </c>
      <c r="R1458" s="3"/>
      <c r="S1458" s="3">
        <v>11980.0</v>
      </c>
      <c r="T1458" s="3" t="s">
        <v>37</v>
      </c>
      <c r="U1458" s="3">
        <v>11980.0</v>
      </c>
      <c r="V1458" s="5">
        <f>(DATE(2026,2,3)-'RICE_Insured Farms_with PPI Pol'!$G1458)+IF('RICE_Insured Farms_with PPI Pol'!$H1458&lt;&gt;'RICE_Insured Farms_with PPI Pol'!$G1458,18,0)</f>
        <v>55</v>
      </c>
      <c r="W1458" s="3" t="str">
        <f t="array" ref="W1458">IFS(V1458&gt;120, "Harvested", V1458&gt;=113, "Yellow Ripening", V1458&gt;=101, "Dough Stage", V1458&gt;=93, "Milking Stage", V1458&gt;=86, "Flowering", V1458&gt;=56, "Panicle Initiation/Booting", V1458&lt;56, "Vegetative/Tillering")</f>
        <v>Vegetative/Tillering</v>
      </c>
    </row>
    <row r="1459" ht="15.75" hidden="1" customHeight="1">
      <c r="A1459" s="3">
        <v>1458.0</v>
      </c>
      <c r="B1459" s="3" t="s">
        <v>23</v>
      </c>
      <c r="C1459" s="3" t="s">
        <v>68</v>
      </c>
      <c r="D1459" s="3" t="s">
        <v>289</v>
      </c>
      <c r="E1459" s="3" t="s">
        <v>507</v>
      </c>
      <c r="F1459" s="3">
        <v>1760034.0</v>
      </c>
      <c r="G1459" s="4">
        <v>46028.0</v>
      </c>
      <c r="H1459" s="4">
        <v>46130.0</v>
      </c>
      <c r="I1459" s="3" t="s">
        <v>3646</v>
      </c>
      <c r="J1459" s="3" t="s">
        <v>3647</v>
      </c>
      <c r="K1459" s="3" t="s">
        <v>3634</v>
      </c>
      <c r="L1459" s="3">
        <v>0.242</v>
      </c>
      <c r="M1459" s="3">
        <v>6050.0</v>
      </c>
      <c r="N1459" s="3">
        <v>2.0</v>
      </c>
      <c r="O1459" s="3">
        <v>480311.0</v>
      </c>
      <c r="P1459" s="3"/>
      <c r="Q1459" s="3">
        <v>1153682.0</v>
      </c>
      <c r="R1459" s="3"/>
      <c r="S1459" s="3">
        <v>4235.0</v>
      </c>
      <c r="T1459" s="3" t="s">
        <v>31</v>
      </c>
      <c r="U1459" s="3">
        <v>4235.0</v>
      </c>
      <c r="V1459" s="5">
        <f>(DATE(2026,2,3)-'RICE_Insured Farms_with PPI Pol'!$G1459)+IF('RICE_Insured Farms_with PPI Pol'!$H1459&lt;&gt;'RICE_Insured Farms_with PPI Pol'!$G1459,18,0)</f>
        <v>46</v>
      </c>
      <c r="W1459" s="3" t="str">
        <f t="array" ref="W1459">IFS(V1459&gt;120, "Harvested", V1459&gt;=113, "Yellow Ripening", V1459&gt;=101, "Dough Stage", V1459&gt;=93, "Milking Stage", V1459&gt;=86, "Flowering", V1459&gt;=56, "Panicle Initiation/Booting", V1459&lt;56, "Vegetative/Tillering")</f>
        <v>Vegetative/Tillering</v>
      </c>
    </row>
    <row r="1460" ht="15.75" customHeight="1">
      <c r="A1460" s="3">
        <v>1459.0</v>
      </c>
      <c r="B1460" s="3" t="s">
        <v>1776</v>
      </c>
      <c r="C1460" s="3" t="s">
        <v>24</v>
      </c>
      <c r="D1460" s="3" t="s">
        <v>25</v>
      </c>
      <c r="E1460" s="3" t="s">
        <v>1374</v>
      </c>
      <c r="F1460" s="3">
        <v>1760471.0</v>
      </c>
      <c r="G1460" s="4">
        <v>46022.0</v>
      </c>
      <c r="H1460" s="4">
        <v>46117.0</v>
      </c>
      <c r="I1460" s="3" t="s">
        <v>3648</v>
      </c>
      <c r="J1460" s="3" t="s">
        <v>3649</v>
      </c>
      <c r="K1460" s="3" t="s">
        <v>2926</v>
      </c>
      <c r="L1460" s="3">
        <v>0.5</v>
      </c>
      <c r="M1460" s="3">
        <v>10000.0</v>
      </c>
      <c r="N1460" s="3">
        <v>3.0</v>
      </c>
      <c r="O1460" s="3">
        <v>464317.0</v>
      </c>
      <c r="P1460" s="3" t="s">
        <v>3650</v>
      </c>
      <c r="Q1460" s="3">
        <v>1208520.0</v>
      </c>
      <c r="R1460" s="3"/>
      <c r="S1460" s="3">
        <v>8000.0</v>
      </c>
      <c r="T1460" s="3" t="s">
        <v>37</v>
      </c>
      <c r="U1460" s="3">
        <v>8000.0</v>
      </c>
      <c r="V1460" s="5">
        <f>(DATE(2026,2,3)-'RICE_Insured Farms_with PPI Pol'!$G1460)+IF('RICE_Insured Farms_with PPI Pol'!$H1460&lt;&gt;'RICE_Insured Farms_with PPI Pol'!$G1460,18,0)</f>
        <v>52</v>
      </c>
      <c r="W1460" s="3" t="str">
        <f t="array" ref="W1460">IFS(V1460&gt;120, "Harvested", V1460&gt;=113, "Yellow Ripening", V1460&gt;=101, "Dough Stage", V1460&gt;=93, "Milking Stage", V1460&gt;=86, "Flowering", V1460&gt;=56, "Panicle Initiation/Booting", V1460&lt;56, "Vegetative/Tillering")</f>
        <v>Vegetative/Tillering</v>
      </c>
    </row>
    <row r="1461" ht="15.75" hidden="1" customHeight="1">
      <c r="A1461" s="3">
        <v>1460.0</v>
      </c>
      <c r="B1461" s="3" t="s">
        <v>23</v>
      </c>
      <c r="C1461" s="3" t="s">
        <v>68</v>
      </c>
      <c r="D1461" s="3" t="s">
        <v>289</v>
      </c>
      <c r="E1461" s="3" t="s">
        <v>290</v>
      </c>
      <c r="F1461" s="3">
        <v>1760033.0</v>
      </c>
      <c r="G1461" s="4">
        <v>46030.0</v>
      </c>
      <c r="H1461" s="4">
        <v>46132.0</v>
      </c>
      <c r="I1461" s="3" t="s">
        <v>3483</v>
      </c>
      <c r="J1461" s="3" t="s">
        <v>1542</v>
      </c>
      <c r="K1461" s="3" t="s">
        <v>3423</v>
      </c>
      <c r="L1461" s="3">
        <v>0.9229</v>
      </c>
      <c r="M1461" s="3">
        <v>23072.5</v>
      </c>
      <c r="N1461" s="3">
        <v>2.0</v>
      </c>
      <c r="O1461" s="3">
        <v>294144.0</v>
      </c>
      <c r="P1461" s="3" t="s">
        <v>3651</v>
      </c>
      <c r="Q1461" s="3">
        <v>1280408.0</v>
      </c>
      <c r="R1461" s="3"/>
      <c r="S1461" s="3">
        <v>16150.75</v>
      </c>
      <c r="T1461" s="3" t="s">
        <v>31</v>
      </c>
      <c r="U1461" s="3">
        <v>16150.75</v>
      </c>
      <c r="V1461" s="5">
        <f>(DATE(2026,2,3)-'RICE_Insured Farms_with PPI Pol'!$G1461)+IF('RICE_Insured Farms_with PPI Pol'!$H1461&lt;&gt;'RICE_Insured Farms_with PPI Pol'!$G1461,18,0)</f>
        <v>44</v>
      </c>
      <c r="W1461" s="3" t="str">
        <f t="array" ref="W1461">IFS(V1461&gt;120, "Harvested", V1461&gt;=113, "Yellow Ripening", V1461&gt;=101, "Dough Stage", V1461&gt;=93, "Milking Stage", V1461&gt;=86, "Flowering", V1461&gt;=56, "Panicle Initiation/Booting", V1461&lt;56, "Vegetative/Tillering")</f>
        <v>Vegetative/Tillering</v>
      </c>
    </row>
    <row r="1462" ht="15.75" customHeight="1">
      <c r="A1462" s="3">
        <v>1461.0</v>
      </c>
      <c r="B1462" s="3" t="s">
        <v>23</v>
      </c>
      <c r="C1462" s="3" t="s">
        <v>24</v>
      </c>
      <c r="D1462" s="3" t="s">
        <v>25</v>
      </c>
      <c r="E1462" s="3" t="s">
        <v>1164</v>
      </c>
      <c r="F1462" s="3">
        <v>1761010.0</v>
      </c>
      <c r="G1462" s="4">
        <v>46031.0</v>
      </c>
      <c r="H1462" s="4">
        <v>46123.0</v>
      </c>
      <c r="I1462" s="3" t="s">
        <v>3652</v>
      </c>
      <c r="J1462" s="3" t="s">
        <v>2371</v>
      </c>
      <c r="K1462" s="3" t="s">
        <v>2082</v>
      </c>
      <c r="L1462" s="3">
        <v>1.7954</v>
      </c>
      <c r="M1462" s="3">
        <v>44885.0</v>
      </c>
      <c r="N1462" s="3">
        <v>3.0</v>
      </c>
      <c r="O1462" s="3">
        <v>325565.0</v>
      </c>
      <c r="P1462" s="3" t="s">
        <v>3653</v>
      </c>
      <c r="Q1462" s="3">
        <v>1330301.0</v>
      </c>
      <c r="R1462" s="3"/>
      <c r="S1462" s="3">
        <v>35908.0</v>
      </c>
      <c r="T1462" s="3" t="s">
        <v>37</v>
      </c>
      <c r="U1462" s="3">
        <v>35908.0</v>
      </c>
      <c r="V1462" s="5">
        <f>(DATE(2026,2,3)-'RICE_Insured Farms_with PPI Pol'!$G1462)+IF('RICE_Insured Farms_with PPI Pol'!$H1462&lt;&gt;'RICE_Insured Farms_with PPI Pol'!$G1462,18,0)</f>
        <v>43</v>
      </c>
      <c r="W1462" s="3" t="str">
        <f t="array" ref="W1462">IFS(V1462&gt;120, "Harvested", V1462&gt;=113, "Yellow Ripening", V1462&gt;=101, "Dough Stage", V1462&gt;=93, "Milking Stage", V1462&gt;=86, "Flowering", V1462&gt;=56, "Panicle Initiation/Booting", V1462&lt;56, "Vegetative/Tillering")</f>
        <v>Vegetative/Tillering</v>
      </c>
    </row>
    <row r="1463" ht="15.75" hidden="1" customHeight="1">
      <c r="A1463" s="3">
        <v>1462.0</v>
      </c>
      <c r="B1463" s="3" t="s">
        <v>23</v>
      </c>
      <c r="C1463" s="3" t="s">
        <v>121</v>
      </c>
      <c r="D1463" s="3" t="s">
        <v>1368</v>
      </c>
      <c r="E1463" s="3" t="s">
        <v>321</v>
      </c>
      <c r="F1463" s="3">
        <v>1742654.0</v>
      </c>
      <c r="G1463" s="4">
        <v>46025.0</v>
      </c>
      <c r="H1463" s="4">
        <v>46145.0</v>
      </c>
      <c r="I1463" s="3" t="s">
        <v>3654</v>
      </c>
      <c r="J1463" s="3" t="s">
        <v>3655</v>
      </c>
      <c r="K1463" s="3" t="s">
        <v>3656</v>
      </c>
      <c r="L1463" s="3">
        <v>1.7802</v>
      </c>
      <c r="M1463" s="3">
        <v>44505.0</v>
      </c>
      <c r="N1463" s="3">
        <v>2.0</v>
      </c>
      <c r="O1463" s="3">
        <v>298388.0</v>
      </c>
      <c r="P1463" s="3" t="s">
        <v>3657</v>
      </c>
      <c r="Q1463" s="3">
        <v>1274633.0</v>
      </c>
      <c r="R1463" s="3"/>
      <c r="S1463" s="3">
        <v>31153.5</v>
      </c>
      <c r="T1463" s="3" t="s">
        <v>31</v>
      </c>
      <c r="U1463" s="3">
        <v>31153.5</v>
      </c>
      <c r="V1463" s="5">
        <f>(DATE(2026,2,3)-'RICE_Insured Farms_with PPI Pol'!$G1463)+IF('RICE_Insured Farms_with PPI Pol'!$H1463&lt;&gt;'RICE_Insured Farms_with PPI Pol'!$G1463,18,0)</f>
        <v>49</v>
      </c>
      <c r="W1463" s="3" t="str">
        <f t="array" ref="W1463">IFS(V1463&gt;120, "Harvested", V1463&gt;=113, "Yellow Ripening", V1463&gt;=101, "Dough Stage", V1463&gt;=93, "Milking Stage", V1463&gt;=86, "Flowering", V1463&gt;=56, "Panicle Initiation/Booting", V1463&lt;56, "Vegetative/Tillering")</f>
        <v>Vegetative/Tillering</v>
      </c>
    </row>
    <row r="1464" ht="15.75" hidden="1" customHeight="1">
      <c r="A1464" s="3">
        <v>1463.0</v>
      </c>
      <c r="B1464" s="3" t="s">
        <v>23</v>
      </c>
      <c r="C1464" s="3" t="s">
        <v>121</v>
      </c>
      <c r="D1464" s="3" t="s">
        <v>1368</v>
      </c>
      <c r="E1464" s="3" t="s">
        <v>321</v>
      </c>
      <c r="F1464" s="3">
        <v>1742654.0</v>
      </c>
      <c r="G1464" s="4">
        <v>46025.0</v>
      </c>
      <c r="H1464" s="4">
        <v>46145.0</v>
      </c>
      <c r="I1464" s="3" t="s">
        <v>3654</v>
      </c>
      <c r="J1464" s="3" t="s">
        <v>3655</v>
      </c>
      <c r="K1464" s="3" t="s">
        <v>3656</v>
      </c>
      <c r="L1464" s="3">
        <v>0.2838</v>
      </c>
      <c r="M1464" s="3">
        <v>7095.0</v>
      </c>
      <c r="N1464" s="3">
        <v>2.0</v>
      </c>
      <c r="O1464" s="3">
        <v>298388.0</v>
      </c>
      <c r="P1464" s="3" t="s">
        <v>3657</v>
      </c>
      <c r="Q1464" s="3">
        <v>1274635.0</v>
      </c>
      <c r="R1464" s="3"/>
      <c r="S1464" s="3">
        <v>4966.5</v>
      </c>
      <c r="T1464" s="3" t="s">
        <v>31</v>
      </c>
      <c r="U1464" s="3">
        <v>4966.5</v>
      </c>
      <c r="V1464" s="5">
        <f>(DATE(2026,2,3)-'RICE_Insured Farms_with PPI Pol'!$G1464)+IF('RICE_Insured Farms_with PPI Pol'!$H1464&lt;&gt;'RICE_Insured Farms_with PPI Pol'!$G1464,18,0)</f>
        <v>49</v>
      </c>
      <c r="W1464" s="3" t="str">
        <f t="array" ref="W1464">IFS(V1464&gt;120, "Harvested", V1464&gt;=113, "Yellow Ripening", V1464&gt;=101, "Dough Stage", V1464&gt;=93, "Milking Stage", V1464&gt;=86, "Flowering", V1464&gt;=56, "Panicle Initiation/Booting", V1464&lt;56, "Vegetative/Tillering")</f>
        <v>Vegetative/Tillering</v>
      </c>
    </row>
    <row r="1465" ht="15.75" customHeight="1">
      <c r="A1465" s="3">
        <v>1464.0</v>
      </c>
      <c r="B1465" s="3" t="s">
        <v>23</v>
      </c>
      <c r="C1465" s="3" t="s">
        <v>68</v>
      </c>
      <c r="D1465" s="3" t="s">
        <v>289</v>
      </c>
      <c r="E1465" s="3" t="s">
        <v>702</v>
      </c>
      <c r="F1465" s="3">
        <v>1760018.0</v>
      </c>
      <c r="G1465" s="4">
        <v>46021.0</v>
      </c>
      <c r="H1465" s="4">
        <v>46123.0</v>
      </c>
      <c r="I1465" s="3" t="s">
        <v>419</v>
      </c>
      <c r="J1465" s="3" t="s">
        <v>3658</v>
      </c>
      <c r="K1465" s="3" t="s">
        <v>2304</v>
      </c>
      <c r="L1465" s="3">
        <v>0.2341</v>
      </c>
      <c r="M1465" s="3">
        <v>5852.5</v>
      </c>
      <c r="N1465" s="3">
        <v>3.0</v>
      </c>
      <c r="O1465" s="3">
        <v>117262.0</v>
      </c>
      <c r="P1465" s="3"/>
      <c r="Q1465" s="3">
        <v>1033404.0</v>
      </c>
      <c r="R1465" s="3"/>
      <c r="S1465" s="3">
        <v>4682.0</v>
      </c>
      <c r="T1465" s="3" t="s">
        <v>37</v>
      </c>
      <c r="U1465" s="3">
        <v>4682.0</v>
      </c>
      <c r="V1465" s="5">
        <f>(DATE(2026,2,3)-'RICE_Insured Farms_with PPI Pol'!$G1465)+IF('RICE_Insured Farms_with PPI Pol'!$H1465&lt;&gt;'RICE_Insured Farms_with PPI Pol'!$G1465,18,0)</f>
        <v>53</v>
      </c>
      <c r="W1465" s="3" t="str">
        <f t="array" ref="W1465">IFS(V1465&gt;120, "Harvested", V1465&gt;=113, "Yellow Ripening", V1465&gt;=101, "Dough Stage", V1465&gt;=93, "Milking Stage", V1465&gt;=86, "Flowering", V1465&gt;=56, "Panicle Initiation/Booting", V1465&lt;56, "Vegetative/Tillering")</f>
        <v>Vegetative/Tillering</v>
      </c>
    </row>
    <row r="1466" ht="15.75" customHeight="1">
      <c r="A1466" s="3">
        <v>1465.0</v>
      </c>
      <c r="B1466" s="3" t="s">
        <v>23</v>
      </c>
      <c r="C1466" s="3" t="s">
        <v>919</v>
      </c>
      <c r="D1466" s="3" t="s">
        <v>2558</v>
      </c>
      <c r="E1466" s="3" t="s">
        <v>571</v>
      </c>
      <c r="F1466" s="3">
        <v>1184075.0</v>
      </c>
      <c r="G1466" s="4">
        <v>46019.0</v>
      </c>
      <c r="H1466" s="4">
        <v>46114.0</v>
      </c>
      <c r="I1466" s="3" t="s">
        <v>3659</v>
      </c>
      <c r="J1466" s="3" t="s">
        <v>3441</v>
      </c>
      <c r="K1466" s="3" t="s">
        <v>3660</v>
      </c>
      <c r="L1466" s="3">
        <v>1.4</v>
      </c>
      <c r="M1466" s="3">
        <v>35000.0</v>
      </c>
      <c r="N1466" s="3">
        <v>3.0</v>
      </c>
      <c r="O1466" s="3">
        <v>104339.0</v>
      </c>
      <c r="P1466" s="3" t="s">
        <v>3661</v>
      </c>
      <c r="Q1466" s="3">
        <v>813353.0</v>
      </c>
      <c r="R1466" s="3"/>
      <c r="S1466" s="3">
        <v>28000.0</v>
      </c>
      <c r="T1466" s="3" t="s">
        <v>37</v>
      </c>
      <c r="U1466" s="3">
        <v>28000.0</v>
      </c>
      <c r="V1466" s="5">
        <f>(DATE(2026,2,3)-'RICE_Insured Farms_with PPI Pol'!$G1466)+IF('RICE_Insured Farms_with PPI Pol'!$H1466&lt;&gt;'RICE_Insured Farms_with PPI Pol'!$G1466,18,0)</f>
        <v>55</v>
      </c>
      <c r="W1466" s="3" t="str">
        <f t="array" ref="W1466">IFS(V1466&gt;120, "Harvested", V1466&gt;=113, "Yellow Ripening", V1466&gt;=101, "Dough Stage", V1466&gt;=93, "Milking Stage", V1466&gt;=86, "Flowering", V1466&gt;=56, "Panicle Initiation/Booting", V1466&lt;56, "Vegetative/Tillering")</f>
        <v>Vegetative/Tillering</v>
      </c>
    </row>
    <row r="1467" ht="15.75" customHeight="1">
      <c r="A1467" s="3">
        <v>1466.0</v>
      </c>
      <c r="B1467" s="3" t="s">
        <v>23</v>
      </c>
      <c r="C1467" s="3" t="s">
        <v>24</v>
      </c>
      <c r="D1467" s="3" t="s">
        <v>538</v>
      </c>
      <c r="E1467" s="3" t="s">
        <v>1138</v>
      </c>
      <c r="F1467" s="3">
        <v>1190664.0</v>
      </c>
      <c r="G1467" s="4">
        <v>46023.0</v>
      </c>
      <c r="H1467" s="4">
        <v>46118.0</v>
      </c>
      <c r="I1467" s="3" t="s">
        <v>3662</v>
      </c>
      <c r="J1467" s="3" t="s">
        <v>3663</v>
      </c>
      <c r="K1467" s="3" t="s">
        <v>2086</v>
      </c>
      <c r="L1467" s="3">
        <v>0.6537</v>
      </c>
      <c r="M1467" s="3">
        <v>16342.5</v>
      </c>
      <c r="N1467" s="3">
        <v>3.0</v>
      </c>
      <c r="O1467" s="3">
        <v>70281.0</v>
      </c>
      <c r="P1467" s="3"/>
      <c r="Q1467" s="3">
        <v>1155779.0</v>
      </c>
      <c r="R1467" s="3"/>
      <c r="S1467" s="3">
        <v>13074.0</v>
      </c>
      <c r="T1467" s="3" t="s">
        <v>37</v>
      </c>
      <c r="U1467" s="3">
        <v>13074.0</v>
      </c>
      <c r="V1467" s="5">
        <f>(DATE(2026,2,3)-'RICE_Insured Farms_with PPI Pol'!$G1467)+IF('RICE_Insured Farms_with PPI Pol'!$H1467&lt;&gt;'RICE_Insured Farms_with PPI Pol'!$G1467,18,0)</f>
        <v>51</v>
      </c>
      <c r="W1467" s="3" t="str">
        <f t="array" ref="W1467">IFS(V1467&gt;120, "Harvested", V1467&gt;=113, "Yellow Ripening", V1467&gt;=101, "Dough Stage", V1467&gt;=93, "Milking Stage", V1467&gt;=86, "Flowering", V1467&gt;=56, "Panicle Initiation/Booting", V1467&lt;56, "Vegetative/Tillering")</f>
        <v>Vegetative/Tillering</v>
      </c>
    </row>
    <row r="1468" ht="15.75" hidden="1" customHeight="1">
      <c r="A1468" s="3">
        <v>1467.0</v>
      </c>
      <c r="B1468" s="3" t="s">
        <v>23</v>
      </c>
      <c r="C1468" s="3" t="s">
        <v>68</v>
      </c>
      <c r="D1468" s="3" t="s">
        <v>289</v>
      </c>
      <c r="E1468" s="3" t="s">
        <v>352</v>
      </c>
      <c r="F1468" s="3">
        <v>1760053.0</v>
      </c>
      <c r="G1468" s="4">
        <v>46049.0</v>
      </c>
      <c r="H1468" s="4">
        <v>46169.0</v>
      </c>
      <c r="I1468" s="3" t="s">
        <v>3664</v>
      </c>
      <c r="J1468" s="3" t="s">
        <v>3665</v>
      </c>
      <c r="K1468" s="3" t="s">
        <v>688</v>
      </c>
      <c r="L1468" s="3">
        <v>0.9175</v>
      </c>
      <c r="M1468" s="3">
        <v>22937.5</v>
      </c>
      <c r="N1468" s="3">
        <v>0.0</v>
      </c>
      <c r="O1468" s="3">
        <v>293670.0</v>
      </c>
      <c r="P1468" s="3"/>
      <c r="Q1468" s="3">
        <v>1151440.0</v>
      </c>
      <c r="R1468" s="3"/>
      <c r="S1468" s="3">
        <v>13762.5</v>
      </c>
      <c r="T1468" s="3" t="s">
        <v>191</v>
      </c>
      <c r="U1468" s="3">
        <v>13762.5</v>
      </c>
      <c r="V1468" s="5">
        <f>(DATE(2026,2,3)-'RICE_Insured Farms_with PPI Pol'!$G1468)+IF('RICE_Insured Farms_with PPI Pol'!$H1468&lt;&gt;'RICE_Insured Farms_with PPI Pol'!$G1468,18,0)</f>
        <v>25</v>
      </c>
      <c r="W1468" s="3" t="str">
        <f t="array" ref="W1468">IFS(V1468&gt;120, "Harvested", V1468&gt;=113, "Yellow Ripening", V1468&gt;=101, "Dough Stage", V1468&gt;=93, "Milking Stage", V1468&gt;=86, "Flowering", V1468&gt;=56, "Panicle Initiation/Booting", V1468&lt;56, "Vegetative/Tillering")</f>
        <v>Vegetative/Tillering</v>
      </c>
    </row>
    <row r="1469" ht="15.75" hidden="1" customHeight="1">
      <c r="A1469" s="3">
        <v>1468.0</v>
      </c>
      <c r="B1469" s="3" t="s">
        <v>23</v>
      </c>
      <c r="C1469" s="3" t="s">
        <v>68</v>
      </c>
      <c r="D1469" s="3" t="s">
        <v>289</v>
      </c>
      <c r="E1469" s="3" t="s">
        <v>352</v>
      </c>
      <c r="F1469" s="3">
        <v>1760053.0</v>
      </c>
      <c r="G1469" s="4">
        <v>46026.0</v>
      </c>
      <c r="H1469" s="4">
        <v>46136.0</v>
      </c>
      <c r="I1469" s="3" t="s">
        <v>3664</v>
      </c>
      <c r="J1469" s="3" t="s">
        <v>3665</v>
      </c>
      <c r="K1469" s="3" t="s">
        <v>688</v>
      </c>
      <c r="L1469" s="3">
        <v>0.3698</v>
      </c>
      <c r="M1469" s="3">
        <v>9245.0</v>
      </c>
      <c r="N1469" s="3">
        <v>2.0</v>
      </c>
      <c r="O1469" s="3">
        <v>293670.0</v>
      </c>
      <c r="P1469" s="3"/>
      <c r="Q1469" s="3">
        <v>1285762.0</v>
      </c>
      <c r="R1469" s="3"/>
      <c r="S1469" s="3">
        <v>6471.5</v>
      </c>
      <c r="T1469" s="3" t="s">
        <v>31</v>
      </c>
      <c r="U1469" s="3">
        <v>6471.5</v>
      </c>
      <c r="V1469" s="5">
        <f>(DATE(2026,2,3)-'RICE_Insured Farms_with PPI Pol'!$G1469)+IF('RICE_Insured Farms_with PPI Pol'!$H1469&lt;&gt;'RICE_Insured Farms_with PPI Pol'!$G1469,18,0)</f>
        <v>48</v>
      </c>
      <c r="W1469" s="3" t="str">
        <f t="array" ref="W1469">IFS(V1469&gt;120, "Harvested", V1469&gt;=113, "Yellow Ripening", V1469&gt;=101, "Dough Stage", V1469&gt;=93, "Milking Stage", V1469&gt;=86, "Flowering", V1469&gt;=56, "Panicle Initiation/Booting", V1469&lt;56, "Vegetative/Tillering")</f>
        <v>Vegetative/Tillering</v>
      </c>
    </row>
    <row r="1470" ht="15.75" hidden="1" customHeight="1">
      <c r="A1470" s="3">
        <v>1469.0</v>
      </c>
      <c r="B1470" s="3" t="s">
        <v>23</v>
      </c>
      <c r="C1470" s="3" t="s">
        <v>24</v>
      </c>
      <c r="D1470" s="3" t="s">
        <v>25</v>
      </c>
      <c r="E1470" s="3" t="s">
        <v>1374</v>
      </c>
      <c r="F1470" s="3">
        <v>1760468.0</v>
      </c>
      <c r="G1470" s="4">
        <v>46016.0</v>
      </c>
      <c r="H1470" s="4">
        <v>46136.0</v>
      </c>
      <c r="I1470" s="3" t="s">
        <v>3666</v>
      </c>
      <c r="J1470" s="3" t="s">
        <v>3667</v>
      </c>
      <c r="K1470" s="3" t="s">
        <v>442</v>
      </c>
      <c r="L1470" s="3">
        <v>0.4797</v>
      </c>
      <c r="M1470" s="3">
        <v>11992.5</v>
      </c>
      <c r="N1470" s="3">
        <v>2.0</v>
      </c>
      <c r="O1470" s="3">
        <v>334444.0</v>
      </c>
      <c r="P1470" s="3" t="s">
        <v>3668</v>
      </c>
      <c r="Q1470" s="3">
        <v>1321107.0</v>
      </c>
      <c r="R1470" s="3"/>
      <c r="S1470" s="3">
        <v>8394.75</v>
      </c>
      <c r="T1470" s="3" t="s">
        <v>31</v>
      </c>
      <c r="U1470" s="3">
        <v>8394.75</v>
      </c>
      <c r="V1470" s="5">
        <f>(DATE(2026,2,3)-'RICE_Insured Farms_with PPI Pol'!$G1470)+IF('RICE_Insured Farms_with PPI Pol'!$H1470&lt;&gt;'RICE_Insured Farms_with PPI Pol'!$G1470,18,0)</f>
        <v>58</v>
      </c>
      <c r="W1470" s="3" t="str">
        <f t="array" ref="W1470">IFS(V1470&gt;120, "Harvested", V1470&gt;=113, "Yellow Ripening", V1470&gt;=101, "Dough Stage", V1470&gt;=93, "Milking Stage", V1470&gt;=86, "Flowering", V1470&gt;=56, "Panicle Initiation/Booting", V1470&lt;56, "Vegetative/Tillering")</f>
        <v>Panicle Initiation/Booting</v>
      </c>
    </row>
    <row r="1471" ht="15.75" customHeight="1">
      <c r="A1471" s="3">
        <v>1470.0</v>
      </c>
      <c r="B1471" s="3" t="s">
        <v>756</v>
      </c>
      <c r="C1471" s="3" t="s">
        <v>919</v>
      </c>
      <c r="D1471" s="3" t="s">
        <v>1615</v>
      </c>
      <c r="E1471" s="3" t="s">
        <v>1616</v>
      </c>
      <c r="F1471" s="3">
        <v>1760815.0</v>
      </c>
      <c r="G1471" s="4">
        <v>46020.0</v>
      </c>
      <c r="H1471" s="4">
        <v>46115.0</v>
      </c>
      <c r="I1471" s="3" t="s">
        <v>3669</v>
      </c>
      <c r="J1471" s="3" t="s">
        <v>3670</v>
      </c>
      <c r="K1471" s="3" t="s">
        <v>1200</v>
      </c>
      <c r="L1471" s="3">
        <v>2.978</v>
      </c>
      <c r="M1471" s="3">
        <v>232284.0</v>
      </c>
      <c r="N1471" s="3">
        <v>3.0</v>
      </c>
      <c r="O1471" s="3">
        <v>44302.0</v>
      </c>
      <c r="P1471" s="3" t="s">
        <v>3671</v>
      </c>
      <c r="Q1471" s="3">
        <v>1081199.0</v>
      </c>
      <c r="R1471" s="3"/>
      <c r="S1471" s="3">
        <v>185827.2</v>
      </c>
      <c r="T1471" s="3" t="s">
        <v>37</v>
      </c>
      <c r="U1471" s="3">
        <v>185827.2</v>
      </c>
      <c r="V1471" s="5">
        <f>(DATE(2026,2,3)-'RICE_Insured Farms_with PPI Pol'!$G1471)+IF('RICE_Insured Farms_with PPI Pol'!$H1471&lt;&gt;'RICE_Insured Farms_with PPI Pol'!$G1471,18,0)</f>
        <v>54</v>
      </c>
      <c r="W1471" s="3" t="str">
        <f t="array" ref="W1471">IFS(V1471&gt;120, "Harvested", V1471&gt;=113, "Yellow Ripening", V1471&gt;=101, "Dough Stage", V1471&gt;=93, "Milking Stage", V1471&gt;=86, "Flowering", V1471&gt;=56, "Panicle Initiation/Booting", V1471&lt;56, "Vegetative/Tillering")</f>
        <v>Vegetative/Tillering</v>
      </c>
    </row>
    <row r="1472" ht="15.75" hidden="1" customHeight="1">
      <c r="A1472" s="3">
        <v>1471.0</v>
      </c>
      <c r="B1472" s="3" t="s">
        <v>23</v>
      </c>
      <c r="C1472" s="3" t="s">
        <v>24</v>
      </c>
      <c r="D1472" s="3" t="s">
        <v>25</v>
      </c>
      <c r="E1472" s="3" t="s">
        <v>1164</v>
      </c>
      <c r="F1472" s="3">
        <v>1761008.0</v>
      </c>
      <c r="G1472" s="4">
        <v>46013.0</v>
      </c>
      <c r="H1472" s="4">
        <v>46133.0</v>
      </c>
      <c r="I1472" s="3" t="s">
        <v>3672</v>
      </c>
      <c r="J1472" s="3" t="s">
        <v>3673</v>
      </c>
      <c r="K1472" s="3" t="s">
        <v>2082</v>
      </c>
      <c r="L1472" s="3">
        <v>0.8474</v>
      </c>
      <c r="M1472" s="3">
        <v>21185.0</v>
      </c>
      <c r="N1472" s="3">
        <v>2.0</v>
      </c>
      <c r="O1472" s="3">
        <v>131788.0</v>
      </c>
      <c r="P1472" s="3" t="s">
        <v>3674</v>
      </c>
      <c r="Q1472" s="3">
        <v>1330235.0</v>
      </c>
      <c r="R1472" s="3"/>
      <c r="S1472" s="3">
        <v>14829.5</v>
      </c>
      <c r="T1472" s="3" t="s">
        <v>31</v>
      </c>
      <c r="U1472" s="3">
        <v>14829.5</v>
      </c>
      <c r="V1472" s="5">
        <f>(DATE(2026,2,3)-'RICE_Insured Farms_with PPI Pol'!$G1472)+IF('RICE_Insured Farms_with PPI Pol'!$H1472&lt;&gt;'RICE_Insured Farms_with PPI Pol'!$G1472,18,0)</f>
        <v>61</v>
      </c>
      <c r="W1472" s="3" t="str">
        <f t="array" ref="W1472">IFS(V1472&gt;120, "Harvested", V1472&gt;=113, "Yellow Ripening", V1472&gt;=101, "Dough Stage", V1472&gt;=93, "Milking Stage", V1472&gt;=86, "Flowering", V1472&gt;=56, "Panicle Initiation/Booting", V1472&lt;56, "Vegetative/Tillering")</f>
        <v>Panicle Initiation/Booting</v>
      </c>
    </row>
    <row r="1473" ht="15.75" hidden="1" customHeight="1">
      <c r="A1473" s="3">
        <v>1472.0</v>
      </c>
      <c r="B1473" s="3" t="s">
        <v>23</v>
      </c>
      <c r="C1473" s="3" t="s">
        <v>68</v>
      </c>
      <c r="D1473" s="3" t="s">
        <v>289</v>
      </c>
      <c r="E1473" s="3" t="s">
        <v>743</v>
      </c>
      <c r="F1473" s="3">
        <v>1760040.0</v>
      </c>
      <c r="G1473" s="4">
        <v>46036.0</v>
      </c>
      <c r="H1473" s="4">
        <v>46138.0</v>
      </c>
      <c r="I1473" s="3" t="s">
        <v>1337</v>
      </c>
      <c r="J1473" s="3" t="s">
        <v>2731</v>
      </c>
      <c r="K1473" s="3" t="s">
        <v>3675</v>
      </c>
      <c r="L1473" s="3">
        <v>0.4088</v>
      </c>
      <c r="M1473" s="3">
        <v>10220.0</v>
      </c>
      <c r="N1473" s="3">
        <v>2.0</v>
      </c>
      <c r="O1473" s="3">
        <v>21065.0</v>
      </c>
      <c r="P1473" s="3" t="s">
        <v>3676</v>
      </c>
      <c r="Q1473" s="3">
        <v>970616.0</v>
      </c>
      <c r="R1473" s="3"/>
      <c r="S1473" s="3">
        <v>7154.0</v>
      </c>
      <c r="T1473" s="3" t="s">
        <v>31</v>
      </c>
      <c r="U1473" s="3">
        <v>7154.0</v>
      </c>
      <c r="V1473" s="5">
        <f>(DATE(2026,2,3)-'RICE_Insured Farms_with PPI Pol'!$G1473)+IF('RICE_Insured Farms_with PPI Pol'!$H1473&lt;&gt;'RICE_Insured Farms_with PPI Pol'!$G1473,18,0)</f>
        <v>38</v>
      </c>
      <c r="W1473" s="3" t="str">
        <f t="array" ref="W1473">IFS(V1473&gt;120, "Harvested", V1473&gt;=113, "Yellow Ripening", V1473&gt;=101, "Dough Stage", V1473&gt;=93, "Milking Stage", V1473&gt;=86, "Flowering", V1473&gt;=56, "Panicle Initiation/Booting", V1473&lt;56, "Vegetative/Tillering")</f>
        <v>Vegetative/Tillering</v>
      </c>
    </row>
    <row r="1474" ht="15.75" hidden="1" customHeight="1">
      <c r="A1474" s="3">
        <v>1473.0</v>
      </c>
      <c r="B1474" s="3" t="s">
        <v>23</v>
      </c>
      <c r="C1474" s="3" t="s">
        <v>68</v>
      </c>
      <c r="D1474" s="3" t="s">
        <v>289</v>
      </c>
      <c r="E1474" s="3" t="s">
        <v>290</v>
      </c>
      <c r="F1474" s="3">
        <v>1760035.0</v>
      </c>
      <c r="G1474" s="4">
        <v>46034.0</v>
      </c>
      <c r="H1474" s="4">
        <v>46136.0</v>
      </c>
      <c r="I1474" s="3" t="s">
        <v>1758</v>
      </c>
      <c r="J1474" s="3" t="s">
        <v>1074</v>
      </c>
      <c r="K1474" s="3" t="s">
        <v>3677</v>
      </c>
      <c r="L1474" s="3">
        <v>0.825</v>
      </c>
      <c r="M1474" s="3">
        <v>20625.0</v>
      </c>
      <c r="N1474" s="3">
        <v>2.0</v>
      </c>
      <c r="O1474" s="3">
        <v>298713.0</v>
      </c>
      <c r="P1474" s="3" t="s">
        <v>3678</v>
      </c>
      <c r="Q1474" s="3">
        <v>1136018.0</v>
      </c>
      <c r="R1474" s="3"/>
      <c r="S1474" s="3">
        <v>14437.5</v>
      </c>
      <c r="T1474" s="3" t="s">
        <v>31</v>
      </c>
      <c r="U1474" s="3">
        <v>14437.5</v>
      </c>
      <c r="V1474" s="5">
        <f>(DATE(2026,2,3)-'RICE_Insured Farms_with PPI Pol'!$G1474)+IF('RICE_Insured Farms_with PPI Pol'!$H1474&lt;&gt;'RICE_Insured Farms_with PPI Pol'!$G1474,18,0)</f>
        <v>40</v>
      </c>
      <c r="W1474" s="3" t="str">
        <f t="array" ref="W1474">IFS(V1474&gt;120, "Harvested", V1474&gt;=113, "Yellow Ripening", V1474&gt;=101, "Dough Stage", V1474&gt;=93, "Milking Stage", V1474&gt;=86, "Flowering", V1474&gt;=56, "Panicle Initiation/Booting", V1474&lt;56, "Vegetative/Tillering")</f>
        <v>Vegetative/Tillering</v>
      </c>
    </row>
    <row r="1475" ht="15.75" hidden="1" customHeight="1">
      <c r="A1475" s="3">
        <v>1474.0</v>
      </c>
      <c r="B1475" s="3" t="s">
        <v>23</v>
      </c>
      <c r="C1475" s="3" t="s">
        <v>68</v>
      </c>
      <c r="D1475" s="3" t="s">
        <v>289</v>
      </c>
      <c r="E1475" s="3" t="s">
        <v>702</v>
      </c>
      <c r="F1475" s="3">
        <v>1760007.0</v>
      </c>
      <c r="G1475" s="4">
        <v>46014.0</v>
      </c>
      <c r="H1475" s="4">
        <v>46106.0</v>
      </c>
      <c r="I1475" s="3" t="s">
        <v>1758</v>
      </c>
      <c r="J1475" s="3" t="s">
        <v>1893</v>
      </c>
      <c r="K1475" s="3" t="s">
        <v>3679</v>
      </c>
      <c r="L1475" s="3">
        <v>0.8597</v>
      </c>
      <c r="M1475" s="3">
        <v>21492.5</v>
      </c>
      <c r="N1475" s="3">
        <v>4.0</v>
      </c>
      <c r="O1475" s="3">
        <v>31366.0</v>
      </c>
      <c r="P1475" s="3" t="s">
        <v>3680</v>
      </c>
      <c r="Q1475" s="3">
        <v>509586.0</v>
      </c>
      <c r="R1475" s="3"/>
      <c r="S1475" s="3">
        <v>17194.0</v>
      </c>
      <c r="T1475" s="3" t="s">
        <v>56</v>
      </c>
      <c r="U1475" s="3">
        <v>17194.0</v>
      </c>
      <c r="V1475" s="5">
        <f>(DATE(2026,2,3)-'RICE_Insured Farms_with PPI Pol'!$G1475)+IF('RICE_Insured Farms_with PPI Pol'!$H1475&lt;&gt;'RICE_Insured Farms_with PPI Pol'!$G1475,18,0)</f>
        <v>60</v>
      </c>
      <c r="W1475" s="3" t="str">
        <f t="array" ref="W1475">IFS(V1475&gt;120, "Harvested", V1475&gt;=113, "Yellow Ripening", V1475&gt;=101, "Dough Stage", V1475&gt;=93, "Milking Stage", V1475&gt;=86, "Flowering", V1475&gt;=56, "Panicle Initiation/Booting", V1475&lt;56, "Vegetative/Tillering")</f>
        <v>Panicle Initiation/Booting</v>
      </c>
    </row>
    <row r="1476" ht="15.75" hidden="1" customHeight="1">
      <c r="A1476" s="3">
        <v>1475.0</v>
      </c>
      <c r="B1476" s="3" t="s">
        <v>23</v>
      </c>
      <c r="C1476" s="3" t="s">
        <v>68</v>
      </c>
      <c r="D1476" s="3" t="s">
        <v>289</v>
      </c>
      <c r="E1476" s="3" t="s">
        <v>290</v>
      </c>
      <c r="F1476" s="3">
        <v>1760035.0</v>
      </c>
      <c r="G1476" s="4">
        <v>46031.0</v>
      </c>
      <c r="H1476" s="4">
        <v>46133.0</v>
      </c>
      <c r="I1476" s="3" t="s">
        <v>1758</v>
      </c>
      <c r="J1476" s="3" t="s">
        <v>665</v>
      </c>
      <c r="K1476" s="3" t="s">
        <v>1642</v>
      </c>
      <c r="L1476" s="3">
        <v>0.79</v>
      </c>
      <c r="M1476" s="3">
        <v>19750.0</v>
      </c>
      <c r="N1476" s="3">
        <v>2.0</v>
      </c>
      <c r="O1476" s="3">
        <v>309160.0</v>
      </c>
      <c r="P1476" s="3" t="s">
        <v>3681</v>
      </c>
      <c r="Q1476" s="3">
        <v>1281285.0</v>
      </c>
      <c r="R1476" s="3"/>
      <c r="S1476" s="3">
        <v>13825.0</v>
      </c>
      <c r="T1476" s="3" t="s">
        <v>31</v>
      </c>
      <c r="U1476" s="3">
        <v>13825.0</v>
      </c>
      <c r="V1476" s="5">
        <f>(DATE(2026,2,3)-'RICE_Insured Farms_with PPI Pol'!$G1476)+IF('RICE_Insured Farms_with PPI Pol'!$H1476&lt;&gt;'RICE_Insured Farms_with PPI Pol'!$G1476,18,0)</f>
        <v>43</v>
      </c>
      <c r="W1476" s="3" t="str">
        <f t="array" ref="W1476">IFS(V1476&gt;120, "Harvested", V1476&gt;=113, "Yellow Ripening", V1476&gt;=101, "Dough Stage", V1476&gt;=93, "Milking Stage", V1476&gt;=86, "Flowering", V1476&gt;=56, "Panicle Initiation/Booting", V1476&lt;56, "Vegetative/Tillering")</f>
        <v>Vegetative/Tillering</v>
      </c>
    </row>
    <row r="1477" ht="15.75" hidden="1" customHeight="1">
      <c r="A1477" s="3">
        <v>1476.0</v>
      </c>
      <c r="B1477" s="3" t="s">
        <v>23</v>
      </c>
      <c r="C1477" s="3" t="s">
        <v>68</v>
      </c>
      <c r="D1477" s="3" t="s">
        <v>289</v>
      </c>
      <c r="E1477" s="3" t="s">
        <v>431</v>
      </c>
      <c r="F1477" s="3">
        <v>1760039.0</v>
      </c>
      <c r="G1477" s="4">
        <v>46032.0</v>
      </c>
      <c r="H1477" s="4">
        <v>46134.0</v>
      </c>
      <c r="I1477" s="3" t="s">
        <v>3243</v>
      </c>
      <c r="J1477" s="3" t="s">
        <v>3682</v>
      </c>
      <c r="K1477" s="3" t="s">
        <v>432</v>
      </c>
      <c r="L1477" s="3">
        <v>1.4804</v>
      </c>
      <c r="M1477" s="3">
        <v>37010.0</v>
      </c>
      <c r="N1477" s="3">
        <v>2.0</v>
      </c>
      <c r="O1477" s="3">
        <v>199450.0</v>
      </c>
      <c r="P1477" s="3" t="s">
        <v>3683</v>
      </c>
      <c r="Q1477" s="3">
        <v>1316383.0</v>
      </c>
      <c r="R1477" s="3"/>
      <c r="S1477" s="3">
        <v>25907.0</v>
      </c>
      <c r="T1477" s="3" t="s">
        <v>31</v>
      </c>
      <c r="U1477" s="3">
        <v>25907.0</v>
      </c>
      <c r="V1477" s="5">
        <f>(DATE(2026,2,3)-'RICE_Insured Farms_with PPI Pol'!$G1477)+IF('RICE_Insured Farms_with PPI Pol'!$H1477&lt;&gt;'RICE_Insured Farms_with PPI Pol'!$G1477,18,0)</f>
        <v>42</v>
      </c>
      <c r="W1477" s="3" t="str">
        <f t="array" ref="W1477">IFS(V1477&gt;120, "Harvested", V1477&gt;=113, "Yellow Ripening", V1477&gt;=101, "Dough Stage", V1477&gt;=93, "Milking Stage", V1477&gt;=86, "Flowering", V1477&gt;=56, "Panicle Initiation/Booting", V1477&lt;56, "Vegetative/Tillering")</f>
        <v>Vegetative/Tillering</v>
      </c>
    </row>
    <row r="1478" ht="15.75" customHeight="1">
      <c r="A1478" s="3">
        <v>1477.0</v>
      </c>
      <c r="B1478" s="3" t="s">
        <v>23</v>
      </c>
      <c r="C1478" s="3" t="s">
        <v>68</v>
      </c>
      <c r="D1478" s="3" t="s">
        <v>289</v>
      </c>
      <c r="E1478" s="3" t="s">
        <v>743</v>
      </c>
      <c r="F1478" s="3">
        <v>1760034.0</v>
      </c>
      <c r="G1478" s="4">
        <v>46024.0</v>
      </c>
      <c r="H1478" s="4">
        <v>46126.0</v>
      </c>
      <c r="I1478" s="3" t="s">
        <v>3684</v>
      </c>
      <c r="J1478" s="3" t="s">
        <v>888</v>
      </c>
      <c r="K1478" s="3" t="s">
        <v>1802</v>
      </c>
      <c r="L1478" s="3">
        <v>0.5653</v>
      </c>
      <c r="M1478" s="3">
        <v>14132.5</v>
      </c>
      <c r="N1478" s="3">
        <v>3.0</v>
      </c>
      <c r="O1478" s="3">
        <v>48827.0</v>
      </c>
      <c r="P1478" s="3" t="s">
        <v>3685</v>
      </c>
      <c r="Q1478" s="3">
        <v>1136385.0</v>
      </c>
      <c r="R1478" s="3"/>
      <c r="S1478" s="3">
        <v>11306.0</v>
      </c>
      <c r="T1478" s="3" t="s">
        <v>37</v>
      </c>
      <c r="U1478" s="3">
        <v>11306.0</v>
      </c>
      <c r="V1478" s="5">
        <f>(DATE(2026,2,3)-'RICE_Insured Farms_with PPI Pol'!$G1478)+IF('RICE_Insured Farms_with PPI Pol'!$H1478&lt;&gt;'RICE_Insured Farms_with PPI Pol'!$G1478,18,0)</f>
        <v>50</v>
      </c>
      <c r="W1478" s="3" t="str">
        <f t="array" ref="W1478">IFS(V1478&gt;120, "Harvested", V1478&gt;=113, "Yellow Ripening", V1478&gt;=101, "Dough Stage", V1478&gt;=93, "Milking Stage", V1478&gt;=86, "Flowering", V1478&gt;=56, "Panicle Initiation/Booting", V1478&lt;56, "Vegetative/Tillering")</f>
        <v>Vegetative/Tillering</v>
      </c>
    </row>
    <row r="1479" ht="15.75" hidden="1" customHeight="1">
      <c r="A1479" s="3">
        <v>862.0</v>
      </c>
      <c r="B1479" s="3" t="s">
        <v>23</v>
      </c>
      <c r="C1479" s="3" t="s">
        <v>1453</v>
      </c>
      <c r="D1479" s="3" t="s">
        <v>1454</v>
      </c>
      <c r="E1479" s="3" t="s">
        <v>2912</v>
      </c>
      <c r="F1479" s="3">
        <v>1742041.0</v>
      </c>
      <c r="G1479" s="4">
        <v>46009.0</v>
      </c>
      <c r="H1479" s="4">
        <v>46111.0</v>
      </c>
      <c r="I1479" s="3" t="s">
        <v>3686</v>
      </c>
      <c r="J1479" s="3" t="s">
        <v>3687</v>
      </c>
      <c r="K1479" s="3" t="s">
        <v>685</v>
      </c>
      <c r="L1479" s="3">
        <v>0.3924</v>
      </c>
      <c r="M1479" s="3">
        <v>9810.0</v>
      </c>
      <c r="N1479" s="3">
        <v>4.0</v>
      </c>
      <c r="O1479" s="3">
        <v>525395.0</v>
      </c>
      <c r="P1479" s="3"/>
      <c r="Q1479" s="3">
        <v>1317735.0</v>
      </c>
      <c r="R1479" s="3"/>
      <c r="S1479" s="3">
        <v>7848.0</v>
      </c>
      <c r="T1479" s="3" t="s">
        <v>56</v>
      </c>
      <c r="U1479" s="3">
        <v>7848.0</v>
      </c>
      <c r="V1479" s="5">
        <f>(DATE(2026,2,3)-'RICE_Insured Farms_with PPI Pol'!$G1479)+IF('RICE_Insured Farms_with PPI Pol'!$H1479&lt;&gt;'RICE_Insured Farms_with PPI Pol'!$G1479,18,0)</f>
        <v>65</v>
      </c>
      <c r="W1479" s="3" t="str">
        <f t="array" ref="W1479">IFS(V1479&gt;120, "Harvested", V1479&gt;=113, "Yellow Ripening", V1479&gt;=101, "Dough Stage", V1479&gt;=93, "Milking Stage", V1479&gt;=86, "Flowering", V1479&gt;=56, "Panicle Initiation/Booting", V1479&lt;56, "Vegetative/Tillering")</f>
        <v>Panicle Initiation/Booting</v>
      </c>
    </row>
    <row r="1480" ht="15.75" hidden="1" customHeight="1">
      <c r="A1480" s="3">
        <v>1261.0</v>
      </c>
      <c r="B1480" s="3" t="s">
        <v>23</v>
      </c>
      <c r="C1480" s="3" t="s">
        <v>1453</v>
      </c>
      <c r="D1480" s="3" t="s">
        <v>1454</v>
      </c>
      <c r="E1480" s="3" t="s">
        <v>1455</v>
      </c>
      <c r="F1480" s="3">
        <v>1742048.0</v>
      </c>
      <c r="G1480" s="4">
        <v>46009.0</v>
      </c>
      <c r="H1480" s="4">
        <v>46111.0</v>
      </c>
      <c r="I1480" s="3" t="s">
        <v>3253</v>
      </c>
      <c r="J1480" s="3" t="s">
        <v>852</v>
      </c>
      <c r="K1480" s="3" t="s">
        <v>3254</v>
      </c>
      <c r="L1480" s="3">
        <v>0.4672</v>
      </c>
      <c r="M1480" s="3">
        <v>11680.0</v>
      </c>
      <c r="N1480" s="3">
        <v>4.0</v>
      </c>
      <c r="O1480" s="3">
        <v>17024.0</v>
      </c>
      <c r="P1480" s="3" t="s">
        <v>3255</v>
      </c>
      <c r="Q1480" s="3">
        <v>1318395.0</v>
      </c>
      <c r="R1480" s="3"/>
      <c r="S1480" s="3">
        <v>9344.0</v>
      </c>
      <c r="T1480" s="3" t="s">
        <v>56</v>
      </c>
      <c r="U1480" s="3">
        <v>9344.0</v>
      </c>
      <c r="V1480" s="5">
        <f>(DATE(2026,2,3)-'RICE_Insured Farms_with PPI Pol'!$G1480)+IF('RICE_Insured Farms_with PPI Pol'!$H1480&lt;&gt;'RICE_Insured Farms_with PPI Pol'!$G1480,18,0)</f>
        <v>65</v>
      </c>
      <c r="W1480" s="3" t="str">
        <f t="array" ref="W1480">IFS(V1480&gt;120, "Harvested", V1480&gt;=113, "Yellow Ripening", V1480&gt;=101, "Dough Stage", V1480&gt;=93, "Milking Stage", V1480&gt;=86, "Flowering", V1480&gt;=56, "Panicle Initiation/Booting", V1480&lt;56, "Vegetative/Tillering")</f>
        <v>Panicle Initiation/Booting</v>
      </c>
    </row>
    <row r="1481" ht="15.75" hidden="1" customHeight="1">
      <c r="A1481" s="3">
        <v>1480.0</v>
      </c>
      <c r="B1481" s="3" t="s">
        <v>23</v>
      </c>
      <c r="C1481" s="3" t="s">
        <v>68</v>
      </c>
      <c r="D1481" s="3" t="s">
        <v>289</v>
      </c>
      <c r="E1481" s="3" t="s">
        <v>743</v>
      </c>
      <c r="F1481" s="3">
        <v>1760048.0</v>
      </c>
      <c r="G1481" s="4">
        <v>46042.0</v>
      </c>
      <c r="H1481" s="4">
        <v>46144.0</v>
      </c>
      <c r="I1481" s="3" t="s">
        <v>3688</v>
      </c>
      <c r="J1481" s="3" t="s">
        <v>3362</v>
      </c>
      <c r="K1481" s="3" t="s">
        <v>1327</v>
      </c>
      <c r="L1481" s="3">
        <v>0.865</v>
      </c>
      <c r="M1481" s="3">
        <v>21625.0</v>
      </c>
      <c r="N1481" s="3">
        <v>2.0</v>
      </c>
      <c r="O1481" s="3">
        <v>49608.0</v>
      </c>
      <c r="P1481" s="3" t="s">
        <v>3689</v>
      </c>
      <c r="Q1481" s="3">
        <v>1035806.0</v>
      </c>
      <c r="R1481" s="3"/>
      <c r="S1481" s="3">
        <v>15137.5</v>
      </c>
      <c r="T1481" s="3" t="s">
        <v>31</v>
      </c>
      <c r="U1481" s="3">
        <v>15137.5</v>
      </c>
      <c r="V1481" s="5">
        <f>(DATE(2026,2,3)-'RICE_Insured Farms_with PPI Pol'!$G1481)+IF('RICE_Insured Farms_with PPI Pol'!$H1481&lt;&gt;'RICE_Insured Farms_with PPI Pol'!$G1481,18,0)</f>
        <v>32</v>
      </c>
      <c r="W1481" s="3" t="str">
        <f t="array" ref="W1481">IFS(V1481&gt;120, "Harvested", V1481&gt;=113, "Yellow Ripening", V1481&gt;=101, "Dough Stage", V1481&gt;=93, "Milking Stage", V1481&gt;=86, "Flowering", V1481&gt;=56, "Panicle Initiation/Booting", V1481&lt;56, "Vegetative/Tillering")</f>
        <v>Vegetative/Tillering</v>
      </c>
    </row>
    <row r="1482" ht="15.75" hidden="1" customHeight="1">
      <c r="A1482" s="3">
        <v>1481.0</v>
      </c>
      <c r="B1482" s="3" t="s">
        <v>23</v>
      </c>
      <c r="C1482" s="3" t="s">
        <v>68</v>
      </c>
      <c r="D1482" s="3" t="s">
        <v>289</v>
      </c>
      <c r="E1482" s="3" t="s">
        <v>743</v>
      </c>
      <c r="F1482" s="3">
        <v>1760048.0</v>
      </c>
      <c r="G1482" s="4">
        <v>46040.0</v>
      </c>
      <c r="H1482" s="4">
        <v>46142.0</v>
      </c>
      <c r="I1482" s="3" t="s">
        <v>3688</v>
      </c>
      <c r="J1482" s="3" t="s">
        <v>3362</v>
      </c>
      <c r="K1482" s="3" t="s">
        <v>1327</v>
      </c>
      <c r="L1482" s="3">
        <v>0.2932</v>
      </c>
      <c r="M1482" s="3">
        <v>7330.0</v>
      </c>
      <c r="N1482" s="3">
        <v>2.0</v>
      </c>
      <c r="O1482" s="3">
        <v>49608.0</v>
      </c>
      <c r="P1482" s="3" t="s">
        <v>3689</v>
      </c>
      <c r="Q1482" s="3">
        <v>1186327.0</v>
      </c>
      <c r="R1482" s="3"/>
      <c r="S1482" s="3">
        <v>5131.0</v>
      </c>
      <c r="T1482" s="3" t="s">
        <v>31</v>
      </c>
      <c r="U1482" s="3">
        <v>5131.0</v>
      </c>
      <c r="V1482" s="5">
        <f>(DATE(2026,2,3)-'RICE_Insured Farms_with PPI Pol'!$G1482)+IF('RICE_Insured Farms_with PPI Pol'!$H1482&lt;&gt;'RICE_Insured Farms_with PPI Pol'!$G1482,18,0)</f>
        <v>34</v>
      </c>
      <c r="W1482" s="3" t="str">
        <f t="array" ref="W1482">IFS(V1482&gt;120, "Harvested", V1482&gt;=113, "Yellow Ripening", V1482&gt;=101, "Dough Stage", V1482&gt;=93, "Milking Stage", V1482&gt;=86, "Flowering", V1482&gt;=56, "Panicle Initiation/Booting", V1482&lt;56, "Vegetative/Tillering")</f>
        <v>Vegetative/Tillering</v>
      </c>
    </row>
    <row r="1483" ht="15.75" hidden="1" customHeight="1">
      <c r="A1483" s="3">
        <v>1482.0</v>
      </c>
      <c r="B1483" s="3" t="s">
        <v>23</v>
      </c>
      <c r="C1483" s="3" t="s">
        <v>68</v>
      </c>
      <c r="D1483" s="3" t="s">
        <v>679</v>
      </c>
      <c r="E1483" s="3" t="s">
        <v>680</v>
      </c>
      <c r="F1483" s="3">
        <v>1175384.0</v>
      </c>
      <c r="G1483" s="4">
        <v>46038.0</v>
      </c>
      <c r="H1483" s="4">
        <v>46140.0</v>
      </c>
      <c r="I1483" s="3" t="s">
        <v>3690</v>
      </c>
      <c r="J1483" s="3" t="s">
        <v>3691</v>
      </c>
      <c r="K1483" s="3" t="s">
        <v>3692</v>
      </c>
      <c r="L1483" s="3">
        <v>1.7537</v>
      </c>
      <c r="M1483" s="3">
        <v>43842.5</v>
      </c>
      <c r="N1483" s="3">
        <v>2.0</v>
      </c>
      <c r="O1483" s="3">
        <v>15527.0</v>
      </c>
      <c r="P1483" s="3"/>
      <c r="Q1483" s="3">
        <v>1143111.0</v>
      </c>
      <c r="R1483" s="3"/>
      <c r="S1483" s="3">
        <v>30689.75</v>
      </c>
      <c r="T1483" s="3" t="s">
        <v>31</v>
      </c>
      <c r="U1483" s="3">
        <v>30689.75</v>
      </c>
      <c r="V1483" s="5">
        <f>(DATE(2026,2,3)-'RICE_Insured Farms_with PPI Pol'!$G1483)+IF('RICE_Insured Farms_with PPI Pol'!$H1483&lt;&gt;'RICE_Insured Farms_with PPI Pol'!$G1483,18,0)</f>
        <v>36</v>
      </c>
      <c r="W1483" s="3" t="str">
        <f t="array" ref="W1483">IFS(V1483&gt;120, "Harvested", V1483&gt;=113, "Yellow Ripening", V1483&gt;=101, "Dough Stage", V1483&gt;=93, "Milking Stage", V1483&gt;=86, "Flowering", V1483&gt;=56, "Panicle Initiation/Booting", V1483&lt;56, "Vegetative/Tillering")</f>
        <v>Vegetative/Tillering</v>
      </c>
    </row>
    <row r="1484" ht="15.75" hidden="1" customHeight="1">
      <c r="A1484" s="3">
        <v>1483.0</v>
      </c>
      <c r="B1484" s="3" t="s">
        <v>23</v>
      </c>
      <c r="C1484" s="3" t="s">
        <v>68</v>
      </c>
      <c r="D1484" s="3" t="s">
        <v>289</v>
      </c>
      <c r="E1484" s="3" t="s">
        <v>431</v>
      </c>
      <c r="F1484" s="3">
        <v>1760048.0</v>
      </c>
      <c r="G1484" s="4">
        <v>46034.0</v>
      </c>
      <c r="H1484" s="4">
        <v>46136.0</v>
      </c>
      <c r="I1484" s="3" t="s">
        <v>3693</v>
      </c>
      <c r="J1484" s="3" t="s">
        <v>3694</v>
      </c>
      <c r="K1484" s="3" t="s">
        <v>2492</v>
      </c>
      <c r="L1484" s="3">
        <v>1.171</v>
      </c>
      <c r="M1484" s="3">
        <v>29275.0</v>
      </c>
      <c r="N1484" s="3">
        <v>2.0</v>
      </c>
      <c r="O1484" s="3">
        <v>479776.0</v>
      </c>
      <c r="P1484" s="3" t="s">
        <v>3695</v>
      </c>
      <c r="Q1484" s="3">
        <v>1276875.0</v>
      </c>
      <c r="R1484" s="3"/>
      <c r="S1484" s="3">
        <v>20492.5</v>
      </c>
      <c r="T1484" s="3" t="s">
        <v>31</v>
      </c>
      <c r="U1484" s="3">
        <v>20492.5</v>
      </c>
      <c r="V1484" s="5">
        <f>(DATE(2026,2,3)-'RICE_Insured Farms_with PPI Pol'!$G1484)+IF('RICE_Insured Farms_with PPI Pol'!$H1484&lt;&gt;'RICE_Insured Farms_with PPI Pol'!$G1484,18,0)</f>
        <v>40</v>
      </c>
      <c r="W1484" s="3" t="str">
        <f t="array" ref="W1484">IFS(V1484&gt;120, "Harvested", V1484&gt;=113, "Yellow Ripening", V1484&gt;=101, "Dough Stage", V1484&gt;=93, "Milking Stage", V1484&gt;=86, "Flowering", V1484&gt;=56, "Panicle Initiation/Booting", V1484&lt;56, "Vegetative/Tillering")</f>
        <v>Vegetative/Tillering</v>
      </c>
    </row>
    <row r="1485" ht="15.75" hidden="1" customHeight="1">
      <c r="A1485" s="3">
        <v>1484.0</v>
      </c>
      <c r="B1485" s="3" t="s">
        <v>23</v>
      </c>
      <c r="C1485" s="3" t="s">
        <v>68</v>
      </c>
      <c r="D1485" s="3" t="s">
        <v>289</v>
      </c>
      <c r="E1485" s="3" t="s">
        <v>290</v>
      </c>
      <c r="F1485" s="3">
        <v>1760035.0</v>
      </c>
      <c r="G1485" s="4">
        <v>46029.0</v>
      </c>
      <c r="H1485" s="4">
        <v>46131.0</v>
      </c>
      <c r="I1485" s="3" t="s">
        <v>1948</v>
      </c>
      <c r="J1485" s="3" t="s">
        <v>2368</v>
      </c>
      <c r="K1485" s="3" t="s">
        <v>667</v>
      </c>
      <c r="L1485" s="3">
        <v>1.286</v>
      </c>
      <c r="M1485" s="3">
        <v>32150.0</v>
      </c>
      <c r="N1485" s="3">
        <v>2.0</v>
      </c>
      <c r="O1485" s="3">
        <v>328420.0</v>
      </c>
      <c r="P1485" s="3" t="s">
        <v>3696</v>
      </c>
      <c r="Q1485" s="3">
        <v>1280387.0</v>
      </c>
      <c r="R1485" s="3"/>
      <c r="S1485" s="3">
        <v>22505.0</v>
      </c>
      <c r="T1485" s="3" t="s">
        <v>31</v>
      </c>
      <c r="U1485" s="3">
        <v>22505.0</v>
      </c>
      <c r="V1485" s="5">
        <f>(DATE(2026,2,3)-'RICE_Insured Farms_with PPI Pol'!$G1485)+IF('RICE_Insured Farms_with PPI Pol'!$H1485&lt;&gt;'RICE_Insured Farms_with PPI Pol'!$G1485,18,0)</f>
        <v>45</v>
      </c>
      <c r="W1485" s="3" t="str">
        <f t="array" ref="W1485">IFS(V1485&gt;120, "Harvested", V1485&gt;=113, "Yellow Ripening", V1485&gt;=101, "Dough Stage", V1485&gt;=93, "Milking Stage", V1485&gt;=86, "Flowering", V1485&gt;=56, "Panicle Initiation/Booting", V1485&lt;56, "Vegetative/Tillering")</f>
        <v>Vegetative/Tillering</v>
      </c>
    </row>
    <row r="1486" ht="15.75" customHeight="1">
      <c r="A1486" s="3">
        <v>1485.0</v>
      </c>
      <c r="B1486" s="3" t="s">
        <v>23</v>
      </c>
      <c r="C1486" s="3" t="s">
        <v>68</v>
      </c>
      <c r="D1486" s="3" t="s">
        <v>289</v>
      </c>
      <c r="E1486" s="3" t="s">
        <v>1535</v>
      </c>
      <c r="F1486" s="3">
        <v>1760009.0</v>
      </c>
      <c r="G1486" s="4">
        <v>46017.0</v>
      </c>
      <c r="H1486" s="4">
        <v>46119.0</v>
      </c>
      <c r="I1486" s="3" t="s">
        <v>3697</v>
      </c>
      <c r="J1486" s="3" t="s">
        <v>3698</v>
      </c>
      <c r="K1486" s="3" t="s">
        <v>1658</v>
      </c>
      <c r="L1486" s="3">
        <v>0.56</v>
      </c>
      <c r="M1486" s="3">
        <v>14000.0</v>
      </c>
      <c r="N1486" s="3">
        <v>3.0</v>
      </c>
      <c r="O1486" s="3">
        <v>436178.0</v>
      </c>
      <c r="P1486" s="3"/>
      <c r="Q1486" s="3">
        <v>1269686.0</v>
      </c>
      <c r="R1486" s="3"/>
      <c r="S1486" s="3">
        <v>11200.0</v>
      </c>
      <c r="T1486" s="3" t="s">
        <v>37</v>
      </c>
      <c r="U1486" s="3">
        <v>11200.0</v>
      </c>
      <c r="V1486" s="5">
        <f>(DATE(2026,2,3)-'RICE_Insured Farms_with PPI Pol'!$G1486)+IF('RICE_Insured Farms_with PPI Pol'!$H1486&lt;&gt;'RICE_Insured Farms_with PPI Pol'!$G1486,18,0)</f>
        <v>57</v>
      </c>
      <c r="W1486" s="3" t="str">
        <f t="array" ref="W1486">IFS(V1486&gt;120, "Harvested", V1486&gt;=113, "Yellow Ripening", V1486&gt;=101, "Dough Stage", V1486&gt;=93, "Milking Stage", V1486&gt;=86, "Flowering", V1486&gt;=56, "Panicle Initiation/Booting", V1486&lt;56, "Vegetative/Tillering")</f>
        <v>Panicle Initiation/Booting</v>
      </c>
    </row>
    <row r="1487" ht="15.75" hidden="1" customHeight="1">
      <c r="A1487" s="3">
        <v>1486.0</v>
      </c>
      <c r="B1487" s="3" t="s">
        <v>23</v>
      </c>
      <c r="C1487" s="3" t="s">
        <v>121</v>
      </c>
      <c r="D1487" s="3" t="s">
        <v>1492</v>
      </c>
      <c r="E1487" s="3" t="s">
        <v>1493</v>
      </c>
      <c r="F1487" s="3">
        <v>1740649.0</v>
      </c>
      <c r="G1487" s="4">
        <v>46027.0</v>
      </c>
      <c r="H1487" s="4">
        <v>46147.0</v>
      </c>
      <c r="I1487" s="3" t="s">
        <v>3699</v>
      </c>
      <c r="J1487" s="3" t="s">
        <v>3700</v>
      </c>
      <c r="K1487" s="3" t="s">
        <v>1743</v>
      </c>
      <c r="L1487" s="3">
        <v>1.2318</v>
      </c>
      <c r="M1487" s="3">
        <v>30795.0</v>
      </c>
      <c r="N1487" s="3">
        <v>1.0</v>
      </c>
      <c r="O1487" s="3">
        <v>18615.0</v>
      </c>
      <c r="P1487" s="3" t="s">
        <v>3701</v>
      </c>
      <c r="Q1487" s="3">
        <v>1229227.0</v>
      </c>
      <c r="R1487" s="3"/>
      <c r="S1487" s="3">
        <v>18477.0</v>
      </c>
      <c r="T1487" s="3" t="s">
        <v>62</v>
      </c>
      <c r="U1487" s="3">
        <v>18477.0</v>
      </c>
      <c r="V1487" s="5">
        <f>(DATE(2026,2,3)-'RICE_Insured Farms_with PPI Pol'!$G1487)+IF('RICE_Insured Farms_with PPI Pol'!$H1487&lt;&gt;'RICE_Insured Farms_with PPI Pol'!$G1487,18,0)</f>
        <v>47</v>
      </c>
      <c r="W1487" s="3" t="str">
        <f t="array" ref="W1487">IFS(V1487&gt;120, "Harvested", V1487&gt;=113, "Yellow Ripening", V1487&gt;=101, "Dough Stage", V1487&gt;=93, "Milking Stage", V1487&gt;=86, "Flowering", V1487&gt;=56, "Panicle Initiation/Booting", V1487&lt;56, "Vegetative/Tillering")</f>
        <v>Vegetative/Tillering</v>
      </c>
    </row>
    <row r="1488" ht="15.75" hidden="1" customHeight="1">
      <c r="A1488" s="3">
        <v>1487.0</v>
      </c>
      <c r="B1488" s="3" t="s">
        <v>23</v>
      </c>
      <c r="C1488" s="3" t="s">
        <v>68</v>
      </c>
      <c r="D1488" s="3" t="s">
        <v>289</v>
      </c>
      <c r="E1488" s="3" t="s">
        <v>352</v>
      </c>
      <c r="F1488" s="3">
        <v>1760050.0</v>
      </c>
      <c r="G1488" s="4">
        <v>46030.0</v>
      </c>
      <c r="H1488" s="4">
        <v>46132.0</v>
      </c>
      <c r="I1488" s="3" t="s">
        <v>3702</v>
      </c>
      <c r="J1488" s="3" t="s">
        <v>1644</v>
      </c>
      <c r="K1488" s="3" t="s">
        <v>3703</v>
      </c>
      <c r="L1488" s="3">
        <v>0.3339</v>
      </c>
      <c r="M1488" s="3">
        <v>8347.5</v>
      </c>
      <c r="N1488" s="3">
        <v>2.0</v>
      </c>
      <c r="O1488" s="3">
        <v>329706.0</v>
      </c>
      <c r="P1488" s="3"/>
      <c r="Q1488" s="3">
        <v>1283352.0</v>
      </c>
      <c r="R1488" s="3"/>
      <c r="S1488" s="3">
        <v>5843.25</v>
      </c>
      <c r="T1488" s="3" t="s">
        <v>31</v>
      </c>
      <c r="U1488" s="3">
        <v>5843.25</v>
      </c>
      <c r="V1488" s="5">
        <f>(DATE(2026,2,3)-'RICE_Insured Farms_with PPI Pol'!$G1488)+IF('RICE_Insured Farms_with PPI Pol'!$H1488&lt;&gt;'RICE_Insured Farms_with PPI Pol'!$G1488,18,0)</f>
        <v>44</v>
      </c>
      <c r="W1488" s="3" t="str">
        <f t="array" ref="W1488">IFS(V1488&gt;120, "Harvested", V1488&gt;=113, "Yellow Ripening", V1488&gt;=101, "Dough Stage", V1488&gt;=93, "Milking Stage", V1488&gt;=86, "Flowering", V1488&gt;=56, "Panicle Initiation/Booting", V1488&lt;56, "Vegetative/Tillering")</f>
        <v>Vegetative/Tillering</v>
      </c>
    </row>
    <row r="1489" ht="15.75" hidden="1" customHeight="1">
      <c r="A1489" s="3">
        <v>1488.0</v>
      </c>
      <c r="B1489" s="3" t="s">
        <v>23</v>
      </c>
      <c r="C1489" s="3" t="s">
        <v>68</v>
      </c>
      <c r="D1489" s="3" t="s">
        <v>289</v>
      </c>
      <c r="E1489" s="3" t="s">
        <v>352</v>
      </c>
      <c r="F1489" s="3">
        <v>1760050.0</v>
      </c>
      <c r="G1489" s="4">
        <v>46030.0</v>
      </c>
      <c r="H1489" s="4">
        <v>46132.0</v>
      </c>
      <c r="I1489" s="3" t="s">
        <v>3702</v>
      </c>
      <c r="J1489" s="3" t="s">
        <v>1644</v>
      </c>
      <c r="K1489" s="3" t="s">
        <v>3703</v>
      </c>
      <c r="L1489" s="3">
        <v>0.5803</v>
      </c>
      <c r="M1489" s="3">
        <v>14507.5</v>
      </c>
      <c r="N1489" s="3">
        <v>2.0</v>
      </c>
      <c r="O1489" s="3">
        <v>329706.0</v>
      </c>
      <c r="P1489" s="3"/>
      <c r="Q1489" s="3">
        <v>1283353.0</v>
      </c>
      <c r="R1489" s="3"/>
      <c r="S1489" s="3">
        <v>10155.25</v>
      </c>
      <c r="T1489" s="3" t="s">
        <v>31</v>
      </c>
      <c r="U1489" s="3">
        <v>10155.25</v>
      </c>
      <c r="V1489" s="5">
        <f>(DATE(2026,2,3)-'RICE_Insured Farms_with PPI Pol'!$G1489)+IF('RICE_Insured Farms_with PPI Pol'!$H1489&lt;&gt;'RICE_Insured Farms_with PPI Pol'!$G1489,18,0)</f>
        <v>44</v>
      </c>
      <c r="W1489" s="3" t="str">
        <f t="array" ref="W1489">IFS(V1489&gt;120, "Harvested", V1489&gt;=113, "Yellow Ripening", V1489&gt;=101, "Dough Stage", V1489&gt;=93, "Milking Stage", V1489&gt;=86, "Flowering", V1489&gt;=56, "Panicle Initiation/Booting", V1489&lt;56, "Vegetative/Tillering")</f>
        <v>Vegetative/Tillering</v>
      </c>
    </row>
    <row r="1490" ht="15.75" hidden="1" customHeight="1">
      <c r="A1490" s="3">
        <v>1111.0</v>
      </c>
      <c r="B1490" s="3" t="s">
        <v>756</v>
      </c>
      <c r="C1490" s="3" t="s">
        <v>919</v>
      </c>
      <c r="D1490" s="3" t="s">
        <v>3704</v>
      </c>
      <c r="E1490" s="3" t="s">
        <v>3705</v>
      </c>
      <c r="F1490" s="3">
        <v>1760809.0</v>
      </c>
      <c r="G1490" s="4">
        <v>46005.0</v>
      </c>
      <c r="H1490" s="4">
        <v>46100.0</v>
      </c>
      <c r="I1490" s="3" t="s">
        <v>1137</v>
      </c>
      <c r="J1490" s="3" t="s">
        <v>1009</v>
      </c>
      <c r="K1490" s="3" t="s">
        <v>3706</v>
      </c>
      <c r="L1490" s="3">
        <v>4.5931</v>
      </c>
      <c r="M1490" s="3">
        <v>295000.0</v>
      </c>
      <c r="N1490" s="3">
        <v>5.0</v>
      </c>
      <c r="O1490" s="3">
        <v>474162.0</v>
      </c>
      <c r="P1490" s="3"/>
      <c r="Q1490" s="3">
        <v>1174484.0</v>
      </c>
      <c r="R1490" s="3"/>
      <c r="S1490" s="3">
        <v>265500.0</v>
      </c>
      <c r="T1490" s="3" t="s">
        <v>1002</v>
      </c>
      <c r="U1490" s="3">
        <v>265500.0</v>
      </c>
      <c r="V1490" s="5">
        <f>(DATE(2026,2,3)-'RICE_Insured Farms_with PPI Pol'!$G1490)+IF('RICE_Insured Farms_with PPI Pol'!$H1490&lt;&gt;'RICE_Insured Farms_with PPI Pol'!$G1490,18,0)</f>
        <v>69</v>
      </c>
      <c r="W1490" s="3" t="str">
        <f t="array" ref="W1490">IFS(V1490&gt;120, "Harvested", V1490&gt;=113, "Yellow Ripening", V1490&gt;=101, "Dough Stage", V1490&gt;=93, "Milking Stage", V1490&gt;=86, "Flowering", V1490&gt;=56, "Panicle Initiation/Booting", V1490&lt;56, "Vegetative/Tillering")</f>
        <v>Panicle Initiation/Booting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9.71"/>
    <col customWidth="1" min="3" max="3" width="16.57"/>
    <col customWidth="1" min="4" max="4" width="17.29"/>
    <col customWidth="1" min="5" max="5" width="18.29"/>
    <col customWidth="1" min="6" max="6" width="12.0"/>
    <col customWidth="1" min="7" max="7" width="16.71"/>
    <col customWidth="1" min="8" max="8" width="13.14"/>
    <col customWidth="1" min="9" max="9" width="13.29"/>
    <col customWidth="1" min="10" max="10" width="16.29"/>
    <col customWidth="1" min="11" max="11" width="14.43"/>
    <col customWidth="1" min="12" max="12" width="14.0"/>
    <col customWidth="1" min="13" max="13" width="17.29"/>
    <col customWidth="1" min="14" max="14" width="11.57"/>
    <col customWidth="1" min="15" max="15" width="12.14"/>
    <col customWidth="1" min="16" max="16" width="25.14"/>
    <col customWidth="1" min="17" max="17" width="9.86"/>
    <col customWidth="1" min="18" max="18" width="11.57"/>
    <col customWidth="1" min="19" max="19" width="22.0"/>
    <col customWidth="1" min="20" max="20" width="30.14"/>
    <col customWidth="1" min="21" max="21" width="19.14"/>
    <col customWidth="1" min="22" max="22" width="40.14"/>
    <col customWidth="1" min="23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3707</v>
      </c>
    </row>
    <row r="2">
      <c r="A2" s="3">
        <v>11.0</v>
      </c>
      <c r="B2" s="3" t="s">
        <v>23</v>
      </c>
      <c r="C2" s="3" t="s">
        <v>24</v>
      </c>
      <c r="D2" s="3" t="s">
        <v>283</v>
      </c>
      <c r="E2" s="3" t="s">
        <v>284</v>
      </c>
      <c r="F2" s="3">
        <v>1741165.0</v>
      </c>
      <c r="G2" s="4">
        <v>46015.0</v>
      </c>
      <c r="H2" s="4">
        <v>46110.0</v>
      </c>
      <c r="I2" s="3" t="s">
        <v>285</v>
      </c>
      <c r="J2" s="3" t="s">
        <v>286</v>
      </c>
      <c r="K2" s="3" t="s">
        <v>287</v>
      </c>
      <c r="L2" s="3">
        <v>0.4145</v>
      </c>
      <c r="M2" s="3">
        <v>10362.5</v>
      </c>
      <c r="N2" s="3">
        <v>4.0</v>
      </c>
      <c r="O2" s="3">
        <v>122316.0</v>
      </c>
      <c r="P2" s="3" t="s">
        <v>288</v>
      </c>
      <c r="Q2" s="3">
        <v>1085574.0</v>
      </c>
      <c r="R2" s="3"/>
      <c r="S2" s="3">
        <v>8290.0</v>
      </c>
      <c r="T2" s="3" t="s">
        <v>56</v>
      </c>
      <c r="U2" s="3">
        <v>8290.0</v>
      </c>
      <c r="V2" s="5">
        <f>VLOOKUP(Additional!$D2, 'Period of Exposures'!B:C, 2, FALSE)</f>
        <v>33</v>
      </c>
    </row>
    <row r="3">
      <c r="A3" s="3">
        <v>12.0</v>
      </c>
      <c r="B3" s="3" t="s">
        <v>23</v>
      </c>
      <c r="C3" s="3" t="s">
        <v>24</v>
      </c>
      <c r="D3" s="3" t="s">
        <v>283</v>
      </c>
      <c r="E3" s="3" t="s">
        <v>344</v>
      </c>
      <c r="F3" s="3">
        <v>1741169.0</v>
      </c>
      <c r="G3" s="4">
        <v>46015.0</v>
      </c>
      <c r="H3" s="4">
        <v>46110.0</v>
      </c>
      <c r="I3" s="3" t="s">
        <v>345</v>
      </c>
      <c r="J3" s="3" t="s">
        <v>346</v>
      </c>
      <c r="K3" s="3" t="s">
        <v>347</v>
      </c>
      <c r="L3" s="3">
        <v>0.75</v>
      </c>
      <c r="M3" s="3">
        <v>18750.0</v>
      </c>
      <c r="N3" s="3">
        <v>4.0</v>
      </c>
      <c r="O3" s="3">
        <v>515354.0</v>
      </c>
      <c r="P3" s="3"/>
      <c r="Q3" s="3">
        <v>1298433.0</v>
      </c>
      <c r="R3" s="3"/>
      <c r="S3" s="3">
        <v>15000.0</v>
      </c>
      <c r="T3" s="3" t="s">
        <v>56</v>
      </c>
      <c r="U3" s="3">
        <v>15000.0</v>
      </c>
      <c r="V3" s="5">
        <f>VLOOKUP(Additional!$D3, 'Period of Exposures'!B:C, 2, FALSE)</f>
        <v>33</v>
      </c>
    </row>
    <row r="4">
      <c r="A4" s="3">
        <v>13.0</v>
      </c>
      <c r="B4" s="3" t="s">
        <v>23</v>
      </c>
      <c r="C4" s="3" t="s">
        <v>24</v>
      </c>
      <c r="D4" s="3" t="s">
        <v>25</v>
      </c>
      <c r="E4" s="3" t="s">
        <v>26</v>
      </c>
      <c r="F4" s="3">
        <v>1760459.0</v>
      </c>
      <c r="G4" s="4">
        <v>46016.0</v>
      </c>
      <c r="H4" s="4">
        <v>46111.0</v>
      </c>
      <c r="I4" s="3" t="s">
        <v>46</v>
      </c>
      <c r="J4" s="3" t="s">
        <v>356</v>
      </c>
      <c r="K4" s="3" t="s">
        <v>357</v>
      </c>
      <c r="L4" s="3">
        <v>1.0</v>
      </c>
      <c r="M4" s="3">
        <v>25000.0</v>
      </c>
      <c r="N4" s="3">
        <v>4.0</v>
      </c>
      <c r="O4" s="3">
        <v>85805.0</v>
      </c>
      <c r="P4" s="3" t="s">
        <v>358</v>
      </c>
      <c r="Q4" s="3">
        <v>193526.0</v>
      </c>
      <c r="R4" s="3"/>
      <c r="S4" s="3">
        <v>20000.0</v>
      </c>
      <c r="T4" s="3" t="s">
        <v>56</v>
      </c>
      <c r="U4" s="3">
        <v>20000.0</v>
      </c>
      <c r="V4" s="5">
        <f>VLOOKUP(Additional!$D4, 'Period of Exposures'!B:C, 2, FALSE)</f>
        <v>33</v>
      </c>
    </row>
    <row r="5">
      <c r="A5" s="3">
        <v>14.0</v>
      </c>
      <c r="B5" s="3" t="s">
        <v>23</v>
      </c>
      <c r="C5" s="3" t="s">
        <v>24</v>
      </c>
      <c r="D5" s="3" t="s">
        <v>25</v>
      </c>
      <c r="E5" s="3" t="s">
        <v>144</v>
      </c>
      <c r="F5" s="3">
        <v>1760463.0</v>
      </c>
      <c r="G5" s="4">
        <v>46016.0</v>
      </c>
      <c r="H5" s="4">
        <v>46111.0</v>
      </c>
      <c r="I5" s="3" t="s">
        <v>440</v>
      </c>
      <c r="J5" s="3" t="s">
        <v>441</v>
      </c>
      <c r="K5" s="3" t="s">
        <v>442</v>
      </c>
      <c r="L5" s="3">
        <v>0.9345</v>
      </c>
      <c r="M5" s="3">
        <v>23362.5</v>
      </c>
      <c r="N5" s="3">
        <v>4.0</v>
      </c>
      <c r="O5" s="3">
        <v>1803.0</v>
      </c>
      <c r="P5" s="3" t="s">
        <v>443</v>
      </c>
      <c r="Q5" s="3">
        <v>696356.0</v>
      </c>
      <c r="R5" s="3"/>
      <c r="S5" s="3">
        <v>18690.0</v>
      </c>
      <c r="T5" s="3" t="s">
        <v>56</v>
      </c>
      <c r="U5" s="3">
        <v>18690.0</v>
      </c>
      <c r="V5" s="5">
        <f>VLOOKUP(Additional!$D5, 'Period of Exposures'!B:C, 2, FALSE)</f>
        <v>33</v>
      </c>
    </row>
    <row r="6">
      <c r="A6" s="3">
        <v>15.0</v>
      </c>
      <c r="B6" s="3" t="s">
        <v>23</v>
      </c>
      <c r="C6" s="3" t="s">
        <v>24</v>
      </c>
      <c r="D6" s="3" t="s">
        <v>25</v>
      </c>
      <c r="E6" s="3" t="s">
        <v>32</v>
      </c>
      <c r="F6" s="3">
        <v>1760479.0</v>
      </c>
      <c r="G6" s="4">
        <v>46007.0</v>
      </c>
      <c r="H6" s="4">
        <v>46109.0</v>
      </c>
      <c r="I6" s="3" t="s">
        <v>473</v>
      </c>
      <c r="J6" s="3" t="s">
        <v>474</v>
      </c>
      <c r="K6" s="3" t="s">
        <v>475</v>
      </c>
      <c r="L6" s="3">
        <v>1.76</v>
      </c>
      <c r="M6" s="3">
        <v>44000.0</v>
      </c>
      <c r="N6" s="3">
        <v>4.0</v>
      </c>
      <c r="O6" s="3">
        <v>226842.0</v>
      </c>
      <c r="P6" s="3"/>
      <c r="Q6" s="3">
        <v>602937.0</v>
      </c>
      <c r="R6" s="3"/>
      <c r="S6" s="3">
        <v>35200.0</v>
      </c>
      <c r="T6" s="3" t="s">
        <v>56</v>
      </c>
      <c r="U6" s="3">
        <v>35200.0</v>
      </c>
      <c r="V6" s="5">
        <f>VLOOKUP(Additional!$D6, 'Period of Exposures'!B:C, 2, FALSE)</f>
        <v>33</v>
      </c>
    </row>
    <row r="7">
      <c r="A7" s="3">
        <v>16.0</v>
      </c>
      <c r="B7" s="3" t="s">
        <v>23</v>
      </c>
      <c r="C7" s="3" t="s">
        <v>24</v>
      </c>
      <c r="D7" s="3" t="s">
        <v>25</v>
      </c>
      <c r="E7" s="3" t="s">
        <v>476</v>
      </c>
      <c r="F7" s="3">
        <v>1760476.0</v>
      </c>
      <c r="G7" s="4">
        <v>46011.0</v>
      </c>
      <c r="H7" s="4">
        <v>46102.0</v>
      </c>
      <c r="I7" s="3" t="s">
        <v>257</v>
      </c>
      <c r="J7" s="3" t="s">
        <v>477</v>
      </c>
      <c r="K7" s="3" t="s">
        <v>478</v>
      </c>
      <c r="L7" s="3">
        <v>0.7502</v>
      </c>
      <c r="M7" s="3">
        <v>18755.0</v>
      </c>
      <c r="N7" s="3">
        <v>4.0</v>
      </c>
      <c r="O7" s="3">
        <v>324686.0</v>
      </c>
      <c r="P7" s="3"/>
      <c r="Q7" s="3">
        <v>604277.0</v>
      </c>
      <c r="R7" s="3"/>
      <c r="S7" s="3">
        <v>15004.0</v>
      </c>
      <c r="T7" s="3" t="s">
        <v>56</v>
      </c>
      <c r="U7" s="3">
        <v>15004.0</v>
      </c>
      <c r="V7" s="5">
        <f>VLOOKUP(Additional!$D7, 'Period of Exposures'!B:C, 2, FALSE)</f>
        <v>33</v>
      </c>
    </row>
    <row r="8">
      <c r="A8" s="3">
        <v>17.0</v>
      </c>
      <c r="B8" s="3" t="s">
        <v>23</v>
      </c>
      <c r="C8" s="3" t="s">
        <v>24</v>
      </c>
      <c r="D8" s="3" t="s">
        <v>25</v>
      </c>
      <c r="E8" s="3" t="s">
        <v>32</v>
      </c>
      <c r="F8" s="3">
        <v>1760479.0</v>
      </c>
      <c r="G8" s="4">
        <v>46007.0</v>
      </c>
      <c r="H8" s="4">
        <v>46109.0</v>
      </c>
      <c r="I8" s="3" t="s">
        <v>499</v>
      </c>
      <c r="J8" s="3" t="s">
        <v>500</v>
      </c>
      <c r="K8" s="3" t="s">
        <v>501</v>
      </c>
      <c r="L8" s="3">
        <v>0.8</v>
      </c>
      <c r="M8" s="3">
        <v>20000.0</v>
      </c>
      <c r="N8" s="3">
        <v>4.0</v>
      </c>
      <c r="O8" s="3">
        <v>16093.0</v>
      </c>
      <c r="P8" s="3" t="s">
        <v>502</v>
      </c>
      <c r="Q8" s="3">
        <v>603981.0</v>
      </c>
      <c r="R8" s="3"/>
      <c r="S8" s="3">
        <v>16000.0</v>
      </c>
      <c r="T8" s="3" t="s">
        <v>56</v>
      </c>
      <c r="U8" s="3">
        <v>16000.0</v>
      </c>
      <c r="V8" s="5">
        <f>VLOOKUP(Additional!$D8, 'Period of Exposures'!B:C, 2, FALSE)</f>
        <v>33</v>
      </c>
    </row>
    <row r="9">
      <c r="A9" s="3">
        <v>18.0</v>
      </c>
      <c r="B9" s="3" t="s">
        <v>23</v>
      </c>
      <c r="C9" s="3" t="s">
        <v>24</v>
      </c>
      <c r="D9" s="3" t="s">
        <v>25</v>
      </c>
      <c r="E9" s="3" t="s">
        <v>57</v>
      </c>
      <c r="F9" s="3">
        <v>1760483.0</v>
      </c>
      <c r="G9" s="4">
        <v>46011.0</v>
      </c>
      <c r="H9" s="4">
        <v>46106.0</v>
      </c>
      <c r="I9" s="3" t="s">
        <v>503</v>
      </c>
      <c r="J9" s="3" t="s">
        <v>504</v>
      </c>
      <c r="K9" s="3" t="s">
        <v>505</v>
      </c>
      <c r="L9" s="3">
        <v>0.8</v>
      </c>
      <c r="M9" s="3">
        <v>20000.0</v>
      </c>
      <c r="N9" s="3">
        <v>4.0</v>
      </c>
      <c r="O9" s="3">
        <v>362061.0</v>
      </c>
      <c r="P9" s="3" t="s">
        <v>506</v>
      </c>
      <c r="Q9" s="3">
        <v>708053.0</v>
      </c>
      <c r="R9" s="3"/>
      <c r="S9" s="3">
        <v>16000.0</v>
      </c>
      <c r="T9" s="3" t="s">
        <v>56</v>
      </c>
      <c r="U9" s="3">
        <v>16000.0</v>
      </c>
      <c r="V9" s="5">
        <f>VLOOKUP(Additional!$D9, 'Period of Exposures'!B:C, 2, FALSE)</f>
        <v>33</v>
      </c>
    </row>
    <row r="10">
      <c r="A10" s="3">
        <v>19.0</v>
      </c>
      <c r="B10" s="3" t="s">
        <v>23</v>
      </c>
      <c r="C10" s="3" t="s">
        <v>24</v>
      </c>
      <c r="D10" s="3" t="s">
        <v>25</v>
      </c>
      <c r="E10" s="3" t="s">
        <v>32</v>
      </c>
      <c r="F10" s="3">
        <v>1760482.0</v>
      </c>
      <c r="G10" s="4">
        <v>46011.0</v>
      </c>
      <c r="H10" s="4">
        <v>46106.0</v>
      </c>
      <c r="I10" s="3" t="s">
        <v>77</v>
      </c>
      <c r="J10" s="3" t="s">
        <v>512</v>
      </c>
      <c r="K10" s="3" t="s">
        <v>513</v>
      </c>
      <c r="L10" s="3">
        <v>0.828</v>
      </c>
      <c r="M10" s="3">
        <v>20700.0</v>
      </c>
      <c r="N10" s="3">
        <v>4.0</v>
      </c>
      <c r="O10" s="3">
        <v>16086.0</v>
      </c>
      <c r="P10" s="3" t="s">
        <v>514</v>
      </c>
      <c r="Q10" s="3">
        <v>603991.0</v>
      </c>
      <c r="R10" s="3"/>
      <c r="S10" s="3">
        <v>16560.0</v>
      </c>
      <c r="T10" s="3" t="s">
        <v>56</v>
      </c>
      <c r="U10" s="3">
        <v>16560.0</v>
      </c>
      <c r="V10" s="5">
        <f>VLOOKUP(Additional!$D10, 'Period of Exposures'!B:C, 2, FALSE)</f>
        <v>33</v>
      </c>
    </row>
    <row r="11">
      <c r="A11" s="3">
        <v>20.0</v>
      </c>
      <c r="B11" s="3" t="s">
        <v>23</v>
      </c>
      <c r="C11" s="3" t="s">
        <v>24</v>
      </c>
      <c r="D11" s="3" t="s">
        <v>25</v>
      </c>
      <c r="E11" s="3" t="s">
        <v>32</v>
      </c>
      <c r="F11" s="3">
        <v>1760482.0</v>
      </c>
      <c r="G11" s="4">
        <v>46011.0</v>
      </c>
      <c r="H11" s="4">
        <v>46106.0</v>
      </c>
      <c r="I11" s="3" t="s">
        <v>515</v>
      </c>
      <c r="J11" s="3" t="s">
        <v>516</v>
      </c>
      <c r="K11" s="3" t="s">
        <v>517</v>
      </c>
      <c r="L11" s="3">
        <v>1.8465</v>
      </c>
      <c r="M11" s="3">
        <v>46162.5</v>
      </c>
      <c r="N11" s="3">
        <v>4.0</v>
      </c>
      <c r="O11" s="3">
        <v>192451.0</v>
      </c>
      <c r="P11" s="3"/>
      <c r="Q11" s="3">
        <v>556963.0</v>
      </c>
      <c r="R11" s="3"/>
      <c r="S11" s="3">
        <v>36930.0</v>
      </c>
      <c r="T11" s="3" t="s">
        <v>56</v>
      </c>
      <c r="U11" s="3">
        <v>36930.0</v>
      </c>
      <c r="V11" s="5">
        <f>VLOOKUP(Additional!$D11, 'Period of Exposures'!B:C, 2, FALSE)</f>
        <v>33</v>
      </c>
    </row>
    <row r="12">
      <c r="A12" s="3">
        <v>21.0</v>
      </c>
      <c r="B12" s="3" t="s">
        <v>23</v>
      </c>
      <c r="C12" s="3" t="s">
        <v>24</v>
      </c>
      <c r="D12" s="3" t="s">
        <v>25</v>
      </c>
      <c r="E12" s="3" t="s">
        <v>32</v>
      </c>
      <c r="F12" s="3">
        <v>1760482.0</v>
      </c>
      <c r="G12" s="4">
        <v>46011.0</v>
      </c>
      <c r="H12" s="4">
        <v>46106.0</v>
      </c>
      <c r="I12" s="3" t="s">
        <v>518</v>
      </c>
      <c r="J12" s="3" t="s">
        <v>519</v>
      </c>
      <c r="K12" s="3" t="s">
        <v>520</v>
      </c>
      <c r="L12" s="3">
        <v>1.12</v>
      </c>
      <c r="M12" s="3">
        <v>28000.0</v>
      </c>
      <c r="N12" s="3">
        <v>4.0</v>
      </c>
      <c r="O12" s="3">
        <v>294848.0</v>
      </c>
      <c r="P12" s="3" t="s">
        <v>521</v>
      </c>
      <c r="Q12" s="3">
        <v>604291.0</v>
      </c>
      <c r="R12" s="3"/>
      <c r="S12" s="3">
        <v>22400.0</v>
      </c>
      <c r="T12" s="3" t="s">
        <v>56</v>
      </c>
      <c r="U12" s="3">
        <v>22400.0</v>
      </c>
      <c r="V12" s="5">
        <f>VLOOKUP(Additional!$D12, 'Period of Exposures'!B:C, 2, FALSE)</f>
        <v>33</v>
      </c>
    </row>
    <row r="13">
      <c r="A13" s="3">
        <v>22.0</v>
      </c>
      <c r="B13" s="3" t="s">
        <v>23</v>
      </c>
      <c r="C13" s="3" t="s">
        <v>24</v>
      </c>
      <c r="D13" s="3" t="s">
        <v>25</v>
      </c>
      <c r="E13" s="3" t="s">
        <v>348</v>
      </c>
      <c r="F13" s="3">
        <v>1760496.0</v>
      </c>
      <c r="G13" s="4">
        <v>46013.0</v>
      </c>
      <c r="H13" s="4">
        <v>46108.0</v>
      </c>
      <c r="I13" s="3" t="s">
        <v>349</v>
      </c>
      <c r="J13" s="3" t="s">
        <v>592</v>
      </c>
      <c r="K13" s="3" t="s">
        <v>351</v>
      </c>
      <c r="L13" s="3">
        <v>0.8532</v>
      </c>
      <c r="M13" s="3">
        <v>21330.0</v>
      </c>
      <c r="N13" s="3">
        <v>4.0</v>
      </c>
      <c r="O13" s="3">
        <v>296062.0</v>
      </c>
      <c r="P13" s="3" t="s">
        <v>593</v>
      </c>
      <c r="Q13" s="3">
        <v>875837.0</v>
      </c>
      <c r="R13" s="3"/>
      <c r="S13" s="3">
        <v>17064.0</v>
      </c>
      <c r="T13" s="3" t="s">
        <v>56</v>
      </c>
      <c r="U13" s="3">
        <v>17064.0</v>
      </c>
      <c r="V13" s="5">
        <f>VLOOKUP(Additional!$D13, 'Period of Exposures'!B:C, 2, FALSE)</f>
        <v>33</v>
      </c>
    </row>
    <row r="14">
      <c r="A14" s="3">
        <v>23.0</v>
      </c>
      <c r="B14" s="3" t="s">
        <v>23</v>
      </c>
      <c r="C14" s="3" t="s">
        <v>24</v>
      </c>
      <c r="D14" s="3" t="s">
        <v>25</v>
      </c>
      <c r="E14" s="3" t="s">
        <v>348</v>
      </c>
      <c r="F14" s="3">
        <v>1760495.0</v>
      </c>
      <c r="G14" s="4">
        <v>46010.0</v>
      </c>
      <c r="H14" s="4">
        <v>46105.0</v>
      </c>
      <c r="I14" s="3" t="s">
        <v>633</v>
      </c>
      <c r="J14" s="3" t="s">
        <v>634</v>
      </c>
      <c r="K14" s="3" t="s">
        <v>635</v>
      </c>
      <c r="L14" s="3">
        <v>1.0879</v>
      </c>
      <c r="M14" s="3">
        <v>27197.5</v>
      </c>
      <c r="N14" s="3">
        <v>4.0</v>
      </c>
      <c r="O14" s="3">
        <v>175178.0</v>
      </c>
      <c r="P14" s="3" t="s">
        <v>636</v>
      </c>
      <c r="Q14" s="3">
        <v>874926.0</v>
      </c>
      <c r="R14" s="3"/>
      <c r="S14" s="3">
        <v>21758.0</v>
      </c>
      <c r="T14" s="3" t="s">
        <v>56</v>
      </c>
      <c r="U14" s="3">
        <v>21758.0</v>
      </c>
      <c r="V14" s="5">
        <f>VLOOKUP(Additional!$D14, 'Period of Exposures'!B:C, 2, FALSE)</f>
        <v>33</v>
      </c>
    </row>
    <row r="15">
      <c r="A15" s="3">
        <v>24.0</v>
      </c>
      <c r="B15" s="3" t="s">
        <v>23</v>
      </c>
      <c r="C15" s="3" t="s">
        <v>24</v>
      </c>
      <c r="D15" s="3" t="s">
        <v>25</v>
      </c>
      <c r="E15" s="3" t="s">
        <v>637</v>
      </c>
      <c r="F15" s="3">
        <v>1760486.0</v>
      </c>
      <c r="G15" s="4">
        <v>46015.0</v>
      </c>
      <c r="H15" s="4">
        <v>46111.0</v>
      </c>
      <c r="I15" s="3" t="s">
        <v>638</v>
      </c>
      <c r="J15" s="3" t="s">
        <v>639</v>
      </c>
      <c r="K15" s="3" t="s">
        <v>640</v>
      </c>
      <c r="L15" s="3">
        <v>1.4924</v>
      </c>
      <c r="M15" s="3">
        <v>37310.0</v>
      </c>
      <c r="N15" s="3">
        <v>4.0</v>
      </c>
      <c r="O15" s="3">
        <v>109575.0</v>
      </c>
      <c r="P15" s="3"/>
      <c r="Q15" s="3">
        <v>606105.0</v>
      </c>
      <c r="R15" s="3"/>
      <c r="S15" s="3">
        <v>29848.0</v>
      </c>
      <c r="T15" s="3" t="s">
        <v>56</v>
      </c>
      <c r="U15" s="3">
        <v>29848.0</v>
      </c>
      <c r="V15" s="5">
        <f>VLOOKUP(Additional!$D15, 'Period of Exposures'!B:C, 2, FALSE)</f>
        <v>33</v>
      </c>
    </row>
    <row r="16">
      <c r="A16" s="3">
        <v>25.0</v>
      </c>
      <c r="B16" s="3" t="s">
        <v>23</v>
      </c>
      <c r="C16" s="3" t="s">
        <v>24</v>
      </c>
      <c r="D16" s="3" t="s">
        <v>25</v>
      </c>
      <c r="E16" s="3" t="s">
        <v>781</v>
      </c>
      <c r="F16" s="3">
        <v>1760497.0</v>
      </c>
      <c r="G16" s="4">
        <v>46016.0</v>
      </c>
      <c r="H16" s="4">
        <v>46111.0</v>
      </c>
      <c r="I16" s="3" t="s">
        <v>782</v>
      </c>
      <c r="J16" s="3" t="s">
        <v>783</v>
      </c>
      <c r="K16" s="3" t="s">
        <v>784</v>
      </c>
      <c r="L16" s="3">
        <v>0.3833</v>
      </c>
      <c r="M16" s="3">
        <v>9582.5</v>
      </c>
      <c r="N16" s="3">
        <v>4.0</v>
      </c>
      <c r="O16" s="3">
        <v>182255.0</v>
      </c>
      <c r="P16" s="3" t="s">
        <v>785</v>
      </c>
      <c r="Q16" s="3">
        <v>548181.0</v>
      </c>
      <c r="R16" s="3"/>
      <c r="S16" s="3">
        <v>7666.0</v>
      </c>
      <c r="T16" s="3" t="s">
        <v>56</v>
      </c>
      <c r="U16" s="3">
        <v>7666.0</v>
      </c>
      <c r="V16" s="5">
        <f>VLOOKUP(Additional!$D16, 'Period of Exposures'!B:C, 2, FALSE)</f>
        <v>33</v>
      </c>
    </row>
    <row r="17">
      <c r="A17" s="3">
        <v>26.0</v>
      </c>
      <c r="B17" s="3" t="s">
        <v>23</v>
      </c>
      <c r="C17" s="3" t="s">
        <v>24</v>
      </c>
      <c r="D17" s="3" t="s">
        <v>25</v>
      </c>
      <c r="E17" s="3" t="s">
        <v>637</v>
      </c>
      <c r="F17" s="3">
        <v>1760486.0</v>
      </c>
      <c r="G17" s="4">
        <v>46014.0</v>
      </c>
      <c r="H17" s="4">
        <v>46109.0</v>
      </c>
      <c r="I17" s="3" t="s">
        <v>818</v>
      </c>
      <c r="J17" s="3" t="s">
        <v>819</v>
      </c>
      <c r="K17" s="3" t="s">
        <v>820</v>
      </c>
      <c r="L17" s="3">
        <v>2.0</v>
      </c>
      <c r="M17" s="3">
        <v>50000.0</v>
      </c>
      <c r="N17" s="3">
        <v>4.0</v>
      </c>
      <c r="O17" s="3">
        <v>159083.0</v>
      </c>
      <c r="P17" s="3"/>
      <c r="Q17" s="3">
        <v>696421.0</v>
      </c>
      <c r="R17" s="3"/>
      <c r="S17" s="3">
        <v>40000.0</v>
      </c>
      <c r="T17" s="3" t="s">
        <v>56</v>
      </c>
      <c r="U17" s="3">
        <v>40000.0</v>
      </c>
      <c r="V17" s="5">
        <f>VLOOKUP(Additional!$D17, 'Period of Exposures'!B:C, 2, FALSE)</f>
        <v>33</v>
      </c>
    </row>
    <row r="18">
      <c r="A18" s="3">
        <v>27.0</v>
      </c>
      <c r="B18" s="3" t="s">
        <v>23</v>
      </c>
      <c r="C18" s="3" t="s">
        <v>24</v>
      </c>
      <c r="D18" s="3" t="s">
        <v>25</v>
      </c>
      <c r="E18" s="3" t="s">
        <v>781</v>
      </c>
      <c r="F18" s="3">
        <v>1760497.0</v>
      </c>
      <c r="G18" s="4">
        <v>46014.0</v>
      </c>
      <c r="H18" s="4">
        <v>46110.0</v>
      </c>
      <c r="I18" s="3" t="s">
        <v>945</v>
      </c>
      <c r="J18" s="3" t="s">
        <v>234</v>
      </c>
      <c r="K18" s="3" t="s">
        <v>946</v>
      </c>
      <c r="L18" s="3">
        <v>1.2494</v>
      </c>
      <c r="M18" s="3">
        <v>31235.0</v>
      </c>
      <c r="N18" s="3">
        <v>4.0</v>
      </c>
      <c r="O18" s="3">
        <v>98353.0</v>
      </c>
      <c r="P18" s="3" t="s">
        <v>947</v>
      </c>
      <c r="Q18" s="3">
        <v>602926.0</v>
      </c>
      <c r="R18" s="3"/>
      <c r="S18" s="3">
        <v>24988.0</v>
      </c>
      <c r="T18" s="3" t="s">
        <v>56</v>
      </c>
      <c r="U18" s="3">
        <v>24988.0</v>
      </c>
      <c r="V18" s="5">
        <f>VLOOKUP(Additional!$D18, 'Period of Exposures'!B:C, 2, FALSE)</f>
        <v>33</v>
      </c>
    </row>
    <row r="19">
      <c r="A19" s="3">
        <v>28.0</v>
      </c>
      <c r="B19" s="3" t="s">
        <v>995</v>
      </c>
      <c r="C19" s="3" t="s">
        <v>24</v>
      </c>
      <c r="D19" s="3" t="s">
        <v>25</v>
      </c>
      <c r="E19" s="3" t="s">
        <v>637</v>
      </c>
      <c r="F19" s="3">
        <v>1760852.0</v>
      </c>
      <c r="G19" s="4">
        <v>46014.0</v>
      </c>
      <c r="H19" s="4">
        <v>46109.0</v>
      </c>
      <c r="I19" s="3" t="s">
        <v>250</v>
      </c>
      <c r="J19" s="3" t="s">
        <v>170</v>
      </c>
      <c r="K19" s="3" t="s">
        <v>996</v>
      </c>
      <c r="L19" s="3">
        <v>1.2175</v>
      </c>
      <c r="M19" s="3">
        <v>60000.0</v>
      </c>
      <c r="N19" s="3">
        <v>4.0</v>
      </c>
      <c r="O19" s="3">
        <v>1282.0</v>
      </c>
      <c r="P19" s="3" t="s">
        <v>997</v>
      </c>
      <c r="Q19" s="3">
        <v>717030.0</v>
      </c>
      <c r="R19" s="3"/>
      <c r="S19" s="3">
        <v>48000.0</v>
      </c>
      <c r="T19" s="3" t="s">
        <v>56</v>
      </c>
      <c r="U19" s="3">
        <v>48000.0</v>
      </c>
      <c r="V19" s="5">
        <f>VLOOKUP(Additional!$D19, 'Period of Exposures'!B:C, 2, FALSE)</f>
        <v>33</v>
      </c>
    </row>
    <row r="20">
      <c r="A20" s="3">
        <v>29.0</v>
      </c>
      <c r="B20" s="3" t="s">
        <v>23</v>
      </c>
      <c r="C20" s="3" t="s">
        <v>24</v>
      </c>
      <c r="D20" s="3" t="s">
        <v>25</v>
      </c>
      <c r="E20" s="3" t="s">
        <v>781</v>
      </c>
      <c r="F20" s="3">
        <v>1760497.0</v>
      </c>
      <c r="G20" s="4">
        <v>46015.0</v>
      </c>
      <c r="H20" s="4">
        <v>46110.0</v>
      </c>
      <c r="I20" s="3" t="s">
        <v>1052</v>
      </c>
      <c r="J20" s="3" t="s">
        <v>1053</v>
      </c>
      <c r="K20" s="3" t="s">
        <v>1054</v>
      </c>
      <c r="L20" s="3">
        <v>0.6575</v>
      </c>
      <c r="M20" s="3">
        <v>16437.5</v>
      </c>
      <c r="N20" s="3">
        <v>4.0</v>
      </c>
      <c r="O20" s="3">
        <v>111328.0</v>
      </c>
      <c r="P20" s="3"/>
      <c r="Q20" s="3">
        <v>689094.0</v>
      </c>
      <c r="R20" s="3"/>
      <c r="S20" s="3">
        <v>13150.0</v>
      </c>
      <c r="T20" s="3" t="s">
        <v>56</v>
      </c>
      <c r="U20" s="3">
        <v>13150.0</v>
      </c>
      <c r="V20" s="5">
        <f>VLOOKUP(Additional!$D20, 'Period of Exposures'!B:C, 2, FALSE)</f>
        <v>33</v>
      </c>
    </row>
    <row r="21" ht="15.75" customHeight="1">
      <c r="A21" s="3">
        <v>30.0</v>
      </c>
      <c r="B21" s="3" t="s">
        <v>23</v>
      </c>
      <c r="C21" s="3" t="s">
        <v>24</v>
      </c>
      <c r="D21" s="3" t="s">
        <v>25</v>
      </c>
      <c r="E21" s="3" t="s">
        <v>781</v>
      </c>
      <c r="F21" s="3">
        <v>1760497.0</v>
      </c>
      <c r="G21" s="4">
        <v>46014.0</v>
      </c>
      <c r="H21" s="4">
        <v>46109.0</v>
      </c>
      <c r="I21" s="3" t="s">
        <v>1052</v>
      </c>
      <c r="J21" s="3" t="s">
        <v>1081</v>
      </c>
      <c r="K21" s="3" t="s">
        <v>1054</v>
      </c>
      <c r="L21" s="3">
        <v>1.0825</v>
      </c>
      <c r="M21" s="3">
        <v>27062.5</v>
      </c>
      <c r="N21" s="3">
        <v>4.0</v>
      </c>
      <c r="O21" s="3">
        <v>354521.0</v>
      </c>
      <c r="P21" s="3"/>
      <c r="Q21" s="3">
        <v>688314.0</v>
      </c>
      <c r="R21" s="3"/>
      <c r="S21" s="3">
        <v>21650.0</v>
      </c>
      <c r="T21" s="3" t="s">
        <v>56</v>
      </c>
      <c r="U21" s="3">
        <v>21650.0</v>
      </c>
      <c r="V21" s="5">
        <f>VLOOKUP(Additional!$D21, 'Period of Exposures'!B:C, 2, FALSE)</f>
        <v>33</v>
      </c>
    </row>
    <row r="22" ht="15.75" customHeight="1">
      <c r="A22" s="3">
        <v>31.0</v>
      </c>
      <c r="B22" s="3" t="s">
        <v>23</v>
      </c>
      <c r="C22" s="3" t="s">
        <v>24</v>
      </c>
      <c r="D22" s="3" t="s">
        <v>25</v>
      </c>
      <c r="E22" s="3" t="s">
        <v>1164</v>
      </c>
      <c r="F22" s="3">
        <v>1761010.0</v>
      </c>
      <c r="G22" s="4">
        <v>46017.0</v>
      </c>
      <c r="H22" s="4">
        <v>46104.0</v>
      </c>
      <c r="I22" s="3" t="s">
        <v>1165</v>
      </c>
      <c r="J22" s="3" t="s">
        <v>1166</v>
      </c>
      <c r="K22" s="3" t="s">
        <v>1167</v>
      </c>
      <c r="L22" s="3">
        <v>0.1808</v>
      </c>
      <c r="M22" s="3">
        <v>4520.0</v>
      </c>
      <c r="N22" s="3">
        <v>4.0</v>
      </c>
      <c r="O22" s="3">
        <v>419037.0</v>
      </c>
      <c r="P22" s="3" t="s">
        <v>1168</v>
      </c>
      <c r="Q22" s="3">
        <v>1330925.0</v>
      </c>
      <c r="R22" s="3"/>
      <c r="S22" s="3">
        <v>3616.0</v>
      </c>
      <c r="T22" s="3" t="s">
        <v>56</v>
      </c>
      <c r="U22" s="3">
        <v>3616.0</v>
      </c>
      <c r="V22" s="5">
        <f>VLOOKUP(Additional!$D22, 'Period of Exposures'!B:C, 2, FALSE)</f>
        <v>33</v>
      </c>
    </row>
    <row r="23" ht="15.75" customHeight="1">
      <c r="A23" s="3">
        <v>32.0</v>
      </c>
      <c r="B23" s="3" t="s">
        <v>1213</v>
      </c>
      <c r="C23" s="3" t="s">
        <v>24</v>
      </c>
      <c r="D23" s="3" t="s">
        <v>25</v>
      </c>
      <c r="E23" s="3" t="s">
        <v>348</v>
      </c>
      <c r="F23" s="3">
        <v>1760484.0</v>
      </c>
      <c r="G23" s="4">
        <v>46009.0</v>
      </c>
      <c r="H23" s="4">
        <v>46104.0</v>
      </c>
      <c r="I23" s="3" t="s">
        <v>1214</v>
      </c>
      <c r="J23" s="3" t="s">
        <v>1215</v>
      </c>
      <c r="K23" s="3" t="s">
        <v>1216</v>
      </c>
      <c r="L23" s="3">
        <v>2.0</v>
      </c>
      <c r="M23" s="3">
        <v>80000.0</v>
      </c>
      <c r="N23" s="3">
        <v>4.0</v>
      </c>
      <c r="O23" s="3">
        <v>199112.0</v>
      </c>
      <c r="P23" s="3" t="s">
        <v>1217</v>
      </c>
      <c r="Q23" s="3">
        <v>1318899.0</v>
      </c>
      <c r="R23" s="3"/>
      <c r="S23" s="3">
        <v>64000.0</v>
      </c>
      <c r="T23" s="3" t="s">
        <v>56</v>
      </c>
      <c r="U23" s="3">
        <v>64000.0</v>
      </c>
      <c r="V23" s="5">
        <f>VLOOKUP(Additional!$D23, 'Period of Exposures'!B:C, 2, FALSE)</f>
        <v>33</v>
      </c>
    </row>
    <row r="24" ht="15.75" customHeight="1">
      <c r="A24" s="3">
        <v>33.0</v>
      </c>
      <c r="B24" s="3" t="s">
        <v>23</v>
      </c>
      <c r="C24" s="3" t="s">
        <v>24</v>
      </c>
      <c r="D24" s="3" t="s">
        <v>25</v>
      </c>
      <c r="E24" s="3" t="s">
        <v>1164</v>
      </c>
      <c r="F24" s="3">
        <v>1760491.0</v>
      </c>
      <c r="G24" s="4">
        <v>46013.0</v>
      </c>
      <c r="H24" s="4">
        <v>46109.0</v>
      </c>
      <c r="I24" s="3" t="s">
        <v>1341</v>
      </c>
      <c r="J24" s="3" t="s">
        <v>1342</v>
      </c>
      <c r="K24" s="3" t="s">
        <v>1343</v>
      </c>
      <c r="L24" s="3">
        <v>0.8537</v>
      </c>
      <c r="M24" s="3">
        <v>21342.5</v>
      </c>
      <c r="N24" s="3">
        <v>4.0</v>
      </c>
      <c r="O24" s="3">
        <v>496667.0</v>
      </c>
      <c r="P24" s="3"/>
      <c r="Q24" s="3">
        <v>1232068.0</v>
      </c>
      <c r="R24" s="3"/>
      <c r="S24" s="3">
        <v>17074.0</v>
      </c>
      <c r="T24" s="3" t="s">
        <v>56</v>
      </c>
      <c r="U24" s="3">
        <v>17074.0</v>
      </c>
      <c r="V24" s="5">
        <f>VLOOKUP(Additional!$D24, 'Period of Exposures'!B:C, 2, FALSE)</f>
        <v>33</v>
      </c>
    </row>
    <row r="25" ht="15.75" customHeight="1">
      <c r="A25" s="3">
        <v>34.0</v>
      </c>
      <c r="B25" s="3" t="s">
        <v>23</v>
      </c>
      <c r="C25" s="3" t="s">
        <v>24</v>
      </c>
      <c r="D25" s="3" t="s">
        <v>25</v>
      </c>
      <c r="E25" s="3" t="s">
        <v>1164</v>
      </c>
      <c r="F25" s="3">
        <v>1760491.0</v>
      </c>
      <c r="G25" s="4">
        <v>46013.0</v>
      </c>
      <c r="H25" s="4">
        <v>46109.0</v>
      </c>
      <c r="I25" s="3" t="s">
        <v>1359</v>
      </c>
      <c r="J25" s="3" t="s">
        <v>1360</v>
      </c>
      <c r="K25" s="3" t="s">
        <v>163</v>
      </c>
      <c r="L25" s="3">
        <v>0.3783</v>
      </c>
      <c r="M25" s="3">
        <v>9457.5</v>
      </c>
      <c r="N25" s="3">
        <v>4.0</v>
      </c>
      <c r="O25" s="3">
        <v>325595.0</v>
      </c>
      <c r="P25" s="3" t="s">
        <v>1361</v>
      </c>
      <c r="Q25" s="3">
        <v>1232069.0</v>
      </c>
      <c r="R25" s="3"/>
      <c r="S25" s="3">
        <v>7566.0</v>
      </c>
      <c r="T25" s="3" t="s">
        <v>56</v>
      </c>
      <c r="U25" s="3">
        <v>7566.0</v>
      </c>
      <c r="V25" s="5">
        <f>VLOOKUP(Additional!$D25, 'Period of Exposures'!B:C, 2, FALSE)</f>
        <v>33</v>
      </c>
    </row>
    <row r="26" ht="15.75" customHeight="1">
      <c r="A26" s="3">
        <v>35.0</v>
      </c>
      <c r="B26" s="3" t="s">
        <v>1213</v>
      </c>
      <c r="C26" s="3" t="s">
        <v>24</v>
      </c>
      <c r="D26" s="3" t="s">
        <v>25</v>
      </c>
      <c r="E26" s="3" t="s">
        <v>674</v>
      </c>
      <c r="F26" s="3">
        <v>1760484.0</v>
      </c>
      <c r="G26" s="4">
        <v>46007.0</v>
      </c>
      <c r="H26" s="4">
        <v>46102.0</v>
      </c>
      <c r="I26" s="3" t="s">
        <v>1378</v>
      </c>
      <c r="J26" s="3" t="s">
        <v>1379</v>
      </c>
      <c r="K26" s="3" t="s">
        <v>394</v>
      </c>
      <c r="L26" s="3">
        <v>2.6669</v>
      </c>
      <c r="M26" s="3">
        <v>120000.0</v>
      </c>
      <c r="N26" s="3">
        <v>4.0</v>
      </c>
      <c r="O26" s="3">
        <v>170895.0</v>
      </c>
      <c r="P26" s="3" t="s">
        <v>1380</v>
      </c>
      <c r="Q26" s="3">
        <v>1199086.0</v>
      </c>
      <c r="R26" s="3"/>
      <c r="S26" s="3">
        <v>96000.0</v>
      </c>
      <c r="T26" s="3" t="s">
        <v>56</v>
      </c>
      <c r="U26" s="3">
        <v>96000.0</v>
      </c>
      <c r="V26" s="5">
        <f>VLOOKUP(Additional!$D26, 'Period of Exposures'!B:C, 2, FALSE)</f>
        <v>33</v>
      </c>
    </row>
    <row r="27" ht="15.75" customHeight="1">
      <c r="A27" s="3">
        <v>36.0</v>
      </c>
      <c r="B27" s="3" t="s">
        <v>23</v>
      </c>
      <c r="C27" s="3" t="s">
        <v>24</v>
      </c>
      <c r="D27" s="3" t="s">
        <v>25</v>
      </c>
      <c r="E27" s="3" t="s">
        <v>1164</v>
      </c>
      <c r="F27" s="3">
        <v>1761008.0</v>
      </c>
      <c r="G27" s="4">
        <v>46017.0</v>
      </c>
      <c r="H27" s="4">
        <v>46109.0</v>
      </c>
      <c r="I27" s="3" t="s">
        <v>1395</v>
      </c>
      <c r="J27" s="3" t="s">
        <v>1396</v>
      </c>
      <c r="K27" s="3" t="s">
        <v>1397</v>
      </c>
      <c r="L27" s="3">
        <v>0.6385</v>
      </c>
      <c r="M27" s="3">
        <v>15962.5</v>
      </c>
      <c r="N27" s="3">
        <v>4.0</v>
      </c>
      <c r="O27" s="3">
        <v>131767.0</v>
      </c>
      <c r="P27" s="3" t="s">
        <v>1398</v>
      </c>
      <c r="Q27" s="3">
        <v>1330247.0</v>
      </c>
      <c r="R27" s="3"/>
      <c r="S27" s="3">
        <v>12770.0</v>
      </c>
      <c r="T27" s="3" t="s">
        <v>56</v>
      </c>
      <c r="U27" s="3">
        <v>12770.0</v>
      </c>
      <c r="V27" s="5">
        <f>VLOOKUP(Additional!$D27, 'Period of Exposures'!B:C, 2, FALSE)</f>
        <v>33</v>
      </c>
    </row>
    <row r="28" ht="15.75" customHeight="1">
      <c r="A28" s="3">
        <v>37.0</v>
      </c>
      <c r="B28" s="3" t="s">
        <v>23</v>
      </c>
      <c r="C28" s="3" t="s">
        <v>24</v>
      </c>
      <c r="D28" s="3" t="s">
        <v>25</v>
      </c>
      <c r="E28" s="3" t="s">
        <v>1164</v>
      </c>
      <c r="F28" s="3">
        <v>1760491.0</v>
      </c>
      <c r="G28" s="4">
        <v>46012.0</v>
      </c>
      <c r="H28" s="4">
        <v>46110.0</v>
      </c>
      <c r="I28" s="3" t="s">
        <v>1420</v>
      </c>
      <c r="J28" s="3" t="s">
        <v>540</v>
      </c>
      <c r="K28" s="3" t="s">
        <v>1421</v>
      </c>
      <c r="L28" s="3">
        <v>0.5893</v>
      </c>
      <c r="M28" s="3">
        <v>14732.5</v>
      </c>
      <c r="N28" s="3">
        <v>4.0</v>
      </c>
      <c r="O28" s="3">
        <v>441219.0</v>
      </c>
      <c r="P28" s="3" t="s">
        <v>1422</v>
      </c>
      <c r="Q28" s="3">
        <v>1149544.0</v>
      </c>
      <c r="R28" s="3"/>
      <c r="S28" s="3">
        <v>11786.0</v>
      </c>
      <c r="T28" s="3" t="s">
        <v>56</v>
      </c>
      <c r="U28" s="3">
        <v>11786.0</v>
      </c>
      <c r="V28" s="5">
        <f>VLOOKUP(Additional!$D28, 'Period of Exposures'!B:C, 2, FALSE)</f>
        <v>33</v>
      </c>
    </row>
    <row r="29" ht="15.75" customHeight="1">
      <c r="A29" s="3">
        <v>38.0</v>
      </c>
      <c r="B29" s="3" t="s">
        <v>23</v>
      </c>
      <c r="C29" s="3" t="s">
        <v>24</v>
      </c>
      <c r="D29" s="3" t="s">
        <v>25</v>
      </c>
      <c r="E29" s="3" t="s">
        <v>1164</v>
      </c>
      <c r="F29" s="3">
        <v>1760492.0</v>
      </c>
      <c r="G29" s="4">
        <v>46014.0</v>
      </c>
      <c r="H29" s="4">
        <v>46109.0</v>
      </c>
      <c r="I29" s="3" t="s">
        <v>1420</v>
      </c>
      <c r="J29" s="3" t="s">
        <v>544</v>
      </c>
      <c r="K29" s="3" t="s">
        <v>1423</v>
      </c>
      <c r="L29" s="3">
        <v>0.3</v>
      </c>
      <c r="M29" s="3">
        <v>7500.0</v>
      </c>
      <c r="N29" s="3">
        <v>4.0</v>
      </c>
      <c r="O29" s="3">
        <v>103007.0</v>
      </c>
      <c r="P29" s="3" t="s">
        <v>1424</v>
      </c>
      <c r="Q29" s="3">
        <v>1276853.0</v>
      </c>
      <c r="R29" s="3"/>
      <c r="S29" s="3">
        <v>6000.0</v>
      </c>
      <c r="T29" s="3" t="s">
        <v>56</v>
      </c>
      <c r="U29" s="3">
        <v>6000.0</v>
      </c>
      <c r="V29" s="5">
        <f>VLOOKUP(Additional!$D29, 'Period of Exposures'!B:C, 2, FALSE)</f>
        <v>33</v>
      </c>
    </row>
    <row r="30" ht="15.75" customHeight="1">
      <c r="A30" s="3">
        <v>39.0</v>
      </c>
      <c r="B30" s="3" t="s">
        <v>23</v>
      </c>
      <c r="C30" s="3" t="s">
        <v>24</v>
      </c>
      <c r="D30" s="3" t="s">
        <v>25</v>
      </c>
      <c r="E30" s="3" t="s">
        <v>32</v>
      </c>
      <c r="F30" s="3">
        <v>1760476.0</v>
      </c>
      <c r="G30" s="4">
        <v>46011.0</v>
      </c>
      <c r="H30" s="4">
        <v>46104.0</v>
      </c>
      <c r="I30" s="3" t="s">
        <v>1445</v>
      </c>
      <c r="J30" s="3" t="s">
        <v>1446</v>
      </c>
      <c r="K30" s="3" t="s">
        <v>515</v>
      </c>
      <c r="L30" s="3">
        <v>0.4313</v>
      </c>
      <c r="M30" s="3">
        <v>10782.5</v>
      </c>
      <c r="N30" s="3">
        <v>4.0</v>
      </c>
      <c r="O30" s="3">
        <v>496305.0</v>
      </c>
      <c r="P30" s="3" t="s">
        <v>1447</v>
      </c>
      <c r="Q30" s="3">
        <v>1276977.0</v>
      </c>
      <c r="R30" s="3"/>
      <c r="S30" s="3">
        <v>8626.0</v>
      </c>
      <c r="T30" s="3" t="s">
        <v>56</v>
      </c>
      <c r="U30" s="3">
        <v>8626.0</v>
      </c>
      <c r="V30" s="5">
        <f>VLOOKUP(Additional!$D30, 'Period of Exposures'!B:C, 2, FALSE)</f>
        <v>33</v>
      </c>
    </row>
    <row r="31" ht="15.75" customHeight="1">
      <c r="A31" s="3">
        <v>40.0</v>
      </c>
      <c r="B31" s="3" t="s">
        <v>23</v>
      </c>
      <c r="C31" s="3" t="s">
        <v>24</v>
      </c>
      <c r="D31" s="3" t="s">
        <v>25</v>
      </c>
      <c r="E31" s="3" t="s">
        <v>1374</v>
      </c>
      <c r="F31" s="3">
        <v>1760463.0</v>
      </c>
      <c r="G31" s="4">
        <v>46008.0</v>
      </c>
      <c r="H31" s="4">
        <v>46103.0</v>
      </c>
      <c r="I31" s="3" t="s">
        <v>1448</v>
      </c>
      <c r="J31" s="3" t="s">
        <v>1449</v>
      </c>
      <c r="K31" s="3" t="s">
        <v>1376</v>
      </c>
      <c r="L31" s="3">
        <v>2.0</v>
      </c>
      <c r="M31" s="3">
        <v>50000.0</v>
      </c>
      <c r="N31" s="3">
        <v>4.0</v>
      </c>
      <c r="O31" s="3">
        <v>87173.0</v>
      </c>
      <c r="P31" s="3" t="s">
        <v>1450</v>
      </c>
      <c r="Q31" s="3">
        <v>1133199.0</v>
      </c>
      <c r="R31" s="3"/>
      <c r="S31" s="3">
        <v>40000.0</v>
      </c>
      <c r="T31" s="3" t="s">
        <v>56</v>
      </c>
      <c r="U31" s="3">
        <v>40000.0</v>
      </c>
      <c r="V31" s="5">
        <f>VLOOKUP(Additional!$D31, 'Period of Exposures'!B:C, 2, FALSE)</f>
        <v>33</v>
      </c>
    </row>
    <row r="32" ht="15.75" customHeight="1">
      <c r="A32" s="3">
        <v>41.0</v>
      </c>
      <c r="B32" s="3" t="s">
        <v>23</v>
      </c>
      <c r="C32" s="3" t="s">
        <v>24</v>
      </c>
      <c r="D32" s="3" t="s">
        <v>25</v>
      </c>
      <c r="E32" s="3" t="s">
        <v>637</v>
      </c>
      <c r="F32" s="3">
        <v>1760465.0</v>
      </c>
      <c r="G32" s="4">
        <v>46016.0</v>
      </c>
      <c r="H32" s="4">
        <v>46111.0</v>
      </c>
      <c r="I32" s="3" t="s">
        <v>1460</v>
      </c>
      <c r="J32" s="3" t="s">
        <v>1461</v>
      </c>
      <c r="K32" s="3" t="s">
        <v>1462</v>
      </c>
      <c r="L32" s="3">
        <v>2.0</v>
      </c>
      <c r="M32" s="3">
        <v>50000.0</v>
      </c>
      <c r="N32" s="3">
        <v>4.0</v>
      </c>
      <c r="O32" s="3">
        <v>196783.0</v>
      </c>
      <c r="P32" s="3" t="s">
        <v>1463</v>
      </c>
      <c r="Q32" s="3">
        <v>1273079.0</v>
      </c>
      <c r="R32" s="3"/>
      <c r="S32" s="3">
        <v>40000.0</v>
      </c>
      <c r="T32" s="3" t="s">
        <v>56</v>
      </c>
      <c r="U32" s="3">
        <v>40000.0</v>
      </c>
      <c r="V32" s="5">
        <f>VLOOKUP(Additional!$D32, 'Period of Exposures'!B:C, 2, FALSE)</f>
        <v>33</v>
      </c>
    </row>
    <row r="33" ht="15.75" customHeight="1">
      <c r="A33" s="3">
        <v>42.0</v>
      </c>
      <c r="B33" s="3" t="s">
        <v>23</v>
      </c>
      <c r="C33" s="3" t="s">
        <v>24</v>
      </c>
      <c r="D33" s="3" t="s">
        <v>25</v>
      </c>
      <c r="E33" s="3" t="s">
        <v>32</v>
      </c>
      <c r="F33" s="3">
        <v>1760476.0</v>
      </c>
      <c r="G33" s="4">
        <v>46017.0</v>
      </c>
      <c r="H33" s="4">
        <v>46107.0</v>
      </c>
      <c r="I33" s="3" t="s">
        <v>99</v>
      </c>
      <c r="J33" s="3" t="s">
        <v>162</v>
      </c>
      <c r="K33" s="3" t="s">
        <v>1467</v>
      </c>
      <c r="L33" s="3">
        <v>0.4305</v>
      </c>
      <c r="M33" s="3">
        <v>10762.5</v>
      </c>
      <c r="N33" s="3">
        <v>4.0</v>
      </c>
      <c r="O33" s="3">
        <v>236229.0</v>
      </c>
      <c r="P33" s="3"/>
      <c r="Q33" s="3">
        <v>1272717.0</v>
      </c>
      <c r="R33" s="3"/>
      <c r="S33" s="3">
        <v>8610.0</v>
      </c>
      <c r="T33" s="3" t="s">
        <v>56</v>
      </c>
      <c r="U33" s="3">
        <v>8610.0</v>
      </c>
      <c r="V33" s="5">
        <f>VLOOKUP(Additional!$D33, 'Period of Exposures'!B:C, 2, FALSE)</f>
        <v>33</v>
      </c>
    </row>
    <row r="34" ht="15.75" customHeight="1">
      <c r="A34" s="3">
        <v>43.0</v>
      </c>
      <c r="B34" s="3" t="s">
        <v>23</v>
      </c>
      <c r="C34" s="3" t="s">
        <v>24</v>
      </c>
      <c r="D34" s="3" t="s">
        <v>25</v>
      </c>
      <c r="E34" s="3" t="s">
        <v>1164</v>
      </c>
      <c r="F34" s="3">
        <v>1761010.0</v>
      </c>
      <c r="G34" s="4">
        <v>46021.0</v>
      </c>
      <c r="H34" s="4">
        <v>46107.0</v>
      </c>
      <c r="I34" s="3" t="s">
        <v>1481</v>
      </c>
      <c r="J34" s="3" t="s">
        <v>1482</v>
      </c>
      <c r="K34" s="3" t="s">
        <v>613</v>
      </c>
      <c r="L34" s="3">
        <v>0.9957</v>
      </c>
      <c r="M34" s="3">
        <v>24892.5</v>
      </c>
      <c r="N34" s="3">
        <v>4.0</v>
      </c>
      <c r="O34" s="3">
        <v>473231.0</v>
      </c>
      <c r="P34" s="3" t="s">
        <v>1483</v>
      </c>
      <c r="Q34" s="3">
        <v>1113738.0</v>
      </c>
      <c r="R34" s="3"/>
      <c r="S34" s="3">
        <v>19914.0</v>
      </c>
      <c r="T34" s="3" t="s">
        <v>56</v>
      </c>
      <c r="U34" s="3">
        <v>19914.0</v>
      </c>
      <c r="V34" s="5">
        <f>VLOOKUP(Additional!$D34, 'Period of Exposures'!B:C, 2, FALSE)</f>
        <v>33</v>
      </c>
    </row>
    <row r="35" ht="15.75" customHeight="1">
      <c r="A35" s="3">
        <v>44.0</v>
      </c>
      <c r="B35" s="3" t="s">
        <v>23</v>
      </c>
      <c r="C35" s="3" t="s">
        <v>24</v>
      </c>
      <c r="D35" s="3" t="s">
        <v>25</v>
      </c>
      <c r="E35" s="3" t="s">
        <v>1164</v>
      </c>
      <c r="F35" s="3">
        <v>1761004.0</v>
      </c>
      <c r="G35" s="4">
        <v>46014.0</v>
      </c>
      <c r="H35" s="4">
        <v>46109.0</v>
      </c>
      <c r="I35" s="3" t="s">
        <v>1563</v>
      </c>
      <c r="J35" s="3" t="s">
        <v>1564</v>
      </c>
      <c r="K35" s="3" t="s">
        <v>1565</v>
      </c>
      <c r="L35" s="3">
        <v>0.4453</v>
      </c>
      <c r="M35" s="3">
        <v>11132.5</v>
      </c>
      <c r="N35" s="3">
        <v>4.0</v>
      </c>
      <c r="O35" s="3">
        <v>441221.0</v>
      </c>
      <c r="P35" s="3"/>
      <c r="Q35" s="3">
        <v>1276804.0</v>
      </c>
      <c r="R35" s="3"/>
      <c r="S35" s="3">
        <v>8906.0</v>
      </c>
      <c r="T35" s="3" t="s">
        <v>56</v>
      </c>
      <c r="U35" s="3">
        <v>8906.0</v>
      </c>
      <c r="V35" s="5">
        <f>VLOOKUP(Additional!$D35, 'Period of Exposures'!B:C, 2, FALSE)</f>
        <v>33</v>
      </c>
    </row>
    <row r="36" ht="15.75" customHeight="1">
      <c r="A36" s="3">
        <v>45.0</v>
      </c>
      <c r="B36" s="3" t="s">
        <v>23</v>
      </c>
      <c r="C36" s="3" t="s">
        <v>24</v>
      </c>
      <c r="D36" s="3" t="s">
        <v>25</v>
      </c>
      <c r="E36" s="3" t="s">
        <v>1164</v>
      </c>
      <c r="F36" s="3">
        <v>1760491.0</v>
      </c>
      <c r="G36" s="4">
        <v>46013.0</v>
      </c>
      <c r="H36" s="4">
        <v>46111.0</v>
      </c>
      <c r="I36" s="3" t="s">
        <v>1601</v>
      </c>
      <c r="J36" s="3" t="s">
        <v>930</v>
      </c>
      <c r="K36" s="3" t="s">
        <v>1602</v>
      </c>
      <c r="L36" s="3">
        <v>0.5018</v>
      </c>
      <c r="M36" s="3">
        <v>12545.0</v>
      </c>
      <c r="N36" s="3">
        <v>4.0</v>
      </c>
      <c r="O36" s="3">
        <v>315183.0</v>
      </c>
      <c r="P36" s="3" t="s">
        <v>1603</v>
      </c>
      <c r="Q36" s="3">
        <v>962621.0</v>
      </c>
      <c r="R36" s="3"/>
      <c r="S36" s="3">
        <v>10036.0</v>
      </c>
      <c r="T36" s="3" t="s">
        <v>56</v>
      </c>
      <c r="U36" s="3">
        <v>10036.0</v>
      </c>
      <c r="V36" s="5">
        <f>VLOOKUP(Additional!$D36, 'Period of Exposures'!B:C, 2, FALSE)</f>
        <v>33</v>
      </c>
    </row>
    <row r="37" ht="15.75" customHeight="1">
      <c r="A37" s="3">
        <v>46.0</v>
      </c>
      <c r="B37" s="3" t="s">
        <v>23</v>
      </c>
      <c r="C37" s="3" t="s">
        <v>24</v>
      </c>
      <c r="D37" s="3" t="s">
        <v>25</v>
      </c>
      <c r="E37" s="3" t="s">
        <v>1164</v>
      </c>
      <c r="F37" s="3">
        <v>1760491.0</v>
      </c>
      <c r="G37" s="4">
        <v>46014.0</v>
      </c>
      <c r="H37" s="4">
        <v>46111.0</v>
      </c>
      <c r="I37" s="3" t="s">
        <v>1601</v>
      </c>
      <c r="J37" s="3" t="s">
        <v>1651</v>
      </c>
      <c r="K37" s="3" t="s">
        <v>1652</v>
      </c>
      <c r="L37" s="3">
        <v>0.287</v>
      </c>
      <c r="M37" s="3">
        <v>7175.0</v>
      </c>
      <c r="N37" s="3">
        <v>4.0</v>
      </c>
      <c r="O37" s="3">
        <v>391963.0</v>
      </c>
      <c r="P37" s="3" t="s">
        <v>1653</v>
      </c>
      <c r="Q37" s="3">
        <v>1113886.0</v>
      </c>
      <c r="R37" s="3"/>
      <c r="S37" s="3">
        <v>5740.0</v>
      </c>
      <c r="T37" s="3" t="s">
        <v>56</v>
      </c>
      <c r="U37" s="3">
        <v>5740.0</v>
      </c>
      <c r="V37" s="5">
        <f>VLOOKUP(Additional!$D37, 'Period of Exposures'!B:C, 2, FALSE)</f>
        <v>33</v>
      </c>
    </row>
    <row r="38" ht="15.75" customHeight="1">
      <c r="A38" s="3">
        <v>47.0</v>
      </c>
      <c r="B38" s="3" t="s">
        <v>23</v>
      </c>
      <c r="C38" s="3" t="s">
        <v>24</v>
      </c>
      <c r="D38" s="3" t="s">
        <v>25</v>
      </c>
      <c r="E38" s="3" t="s">
        <v>1164</v>
      </c>
      <c r="F38" s="3">
        <v>1760491.0</v>
      </c>
      <c r="G38" s="4">
        <v>46013.0</v>
      </c>
      <c r="H38" s="4">
        <v>46111.0</v>
      </c>
      <c r="I38" s="3" t="s">
        <v>1601</v>
      </c>
      <c r="J38" s="3" t="s">
        <v>1727</v>
      </c>
      <c r="K38" s="3"/>
      <c r="L38" s="3">
        <v>0.4335</v>
      </c>
      <c r="M38" s="3">
        <v>10837.5</v>
      </c>
      <c r="N38" s="3">
        <v>4.0</v>
      </c>
      <c r="O38" s="3">
        <v>435870.0</v>
      </c>
      <c r="P38" s="3" t="s">
        <v>1728</v>
      </c>
      <c r="Q38" s="3">
        <v>1149514.0</v>
      </c>
      <c r="R38" s="3"/>
      <c r="S38" s="3">
        <v>8670.0</v>
      </c>
      <c r="T38" s="3" t="s">
        <v>56</v>
      </c>
      <c r="U38" s="3">
        <v>8670.0</v>
      </c>
      <c r="V38" s="5">
        <f>VLOOKUP(Additional!$D38, 'Period of Exposures'!B:C, 2, FALSE)</f>
        <v>33</v>
      </c>
    </row>
    <row r="39" ht="15.75" customHeight="1">
      <c r="A39" s="3">
        <v>48.0</v>
      </c>
      <c r="B39" s="3" t="s">
        <v>23</v>
      </c>
      <c r="C39" s="3" t="s">
        <v>24</v>
      </c>
      <c r="D39" s="3" t="s">
        <v>25</v>
      </c>
      <c r="E39" s="3" t="s">
        <v>1374</v>
      </c>
      <c r="F39" s="3">
        <v>1760463.0</v>
      </c>
      <c r="G39" s="4">
        <v>46016.0</v>
      </c>
      <c r="H39" s="4">
        <v>46111.0</v>
      </c>
      <c r="I39" s="3" t="s">
        <v>1732</v>
      </c>
      <c r="J39" s="3" t="s">
        <v>1733</v>
      </c>
      <c r="K39" s="3" t="s">
        <v>1734</v>
      </c>
      <c r="L39" s="3">
        <v>2.0</v>
      </c>
      <c r="M39" s="3">
        <v>50000.0</v>
      </c>
      <c r="N39" s="3">
        <v>4.0</v>
      </c>
      <c r="O39" s="3">
        <v>334509.0</v>
      </c>
      <c r="P39" s="3" t="s">
        <v>1735</v>
      </c>
      <c r="Q39" s="3">
        <v>1277293.0</v>
      </c>
      <c r="R39" s="3"/>
      <c r="S39" s="3">
        <v>40000.0</v>
      </c>
      <c r="T39" s="3" t="s">
        <v>56</v>
      </c>
      <c r="U39" s="3">
        <v>40000.0</v>
      </c>
      <c r="V39" s="5">
        <f>VLOOKUP(Additional!$D39, 'Period of Exposures'!B:C, 2, FALSE)</f>
        <v>33</v>
      </c>
    </row>
    <row r="40" ht="15.75" customHeight="1">
      <c r="A40" s="3">
        <v>49.0</v>
      </c>
      <c r="B40" s="3" t="s">
        <v>23</v>
      </c>
      <c r="C40" s="3" t="s">
        <v>24</v>
      </c>
      <c r="D40" s="3" t="s">
        <v>25</v>
      </c>
      <c r="E40" s="3" t="s">
        <v>1374</v>
      </c>
      <c r="F40" s="3">
        <v>1760463.0</v>
      </c>
      <c r="G40" s="4">
        <v>46012.0</v>
      </c>
      <c r="H40" s="4">
        <v>46107.0</v>
      </c>
      <c r="I40" s="3" t="s">
        <v>1732</v>
      </c>
      <c r="J40" s="3" t="s">
        <v>356</v>
      </c>
      <c r="K40" s="3" t="s">
        <v>1750</v>
      </c>
      <c r="L40" s="3">
        <v>2.0</v>
      </c>
      <c r="M40" s="3">
        <v>50000.0</v>
      </c>
      <c r="N40" s="3">
        <v>4.0</v>
      </c>
      <c r="O40" s="3">
        <v>95291.0</v>
      </c>
      <c r="P40" s="3" t="s">
        <v>1751</v>
      </c>
      <c r="Q40" s="3">
        <v>1319215.0</v>
      </c>
      <c r="R40" s="3"/>
      <c r="S40" s="3">
        <v>40000.0</v>
      </c>
      <c r="T40" s="3" t="s">
        <v>56</v>
      </c>
      <c r="U40" s="3">
        <v>40000.0</v>
      </c>
      <c r="V40" s="5">
        <f>VLOOKUP(Additional!$D40, 'Period of Exposures'!B:C, 2, FALSE)</f>
        <v>33</v>
      </c>
    </row>
    <row r="41" ht="15.75" customHeight="1">
      <c r="A41" s="3">
        <v>50.0</v>
      </c>
      <c r="B41" s="3" t="s">
        <v>1776</v>
      </c>
      <c r="C41" s="3" t="s">
        <v>24</v>
      </c>
      <c r="D41" s="3" t="s">
        <v>25</v>
      </c>
      <c r="E41" s="3" t="s">
        <v>1374</v>
      </c>
      <c r="F41" s="3">
        <v>1760471.0</v>
      </c>
      <c r="G41" s="4">
        <v>46016.0</v>
      </c>
      <c r="H41" s="4">
        <v>46111.0</v>
      </c>
      <c r="I41" s="3" t="s">
        <v>1732</v>
      </c>
      <c r="J41" s="3" t="s">
        <v>1781</v>
      </c>
      <c r="K41" s="3" t="s">
        <v>1734</v>
      </c>
      <c r="L41" s="3">
        <v>2.0</v>
      </c>
      <c r="M41" s="3">
        <v>40000.0</v>
      </c>
      <c r="N41" s="3">
        <v>4.0</v>
      </c>
      <c r="O41" s="3">
        <v>510020.0</v>
      </c>
      <c r="P41" s="3" t="s">
        <v>1782</v>
      </c>
      <c r="Q41" s="3">
        <v>1277317.0</v>
      </c>
      <c r="R41" s="3"/>
      <c r="S41" s="3">
        <v>32000.0</v>
      </c>
      <c r="T41" s="3" t="s">
        <v>56</v>
      </c>
      <c r="U41" s="3">
        <v>32000.0</v>
      </c>
      <c r="V41" s="5">
        <f>VLOOKUP(Additional!$D41, 'Period of Exposures'!B:C, 2, FALSE)</f>
        <v>33</v>
      </c>
    </row>
    <row r="42" ht="15.75" customHeight="1">
      <c r="A42" s="3">
        <v>51.0</v>
      </c>
      <c r="B42" s="3" t="s">
        <v>23</v>
      </c>
      <c r="C42" s="3" t="s">
        <v>24</v>
      </c>
      <c r="D42" s="3" t="s">
        <v>25</v>
      </c>
      <c r="E42" s="3" t="s">
        <v>1164</v>
      </c>
      <c r="F42" s="3">
        <v>1761008.0</v>
      </c>
      <c r="G42" s="4">
        <v>46015.0</v>
      </c>
      <c r="H42" s="4">
        <v>46106.0</v>
      </c>
      <c r="I42" s="3" t="s">
        <v>1786</v>
      </c>
      <c r="J42" s="3" t="s">
        <v>1787</v>
      </c>
      <c r="K42" s="3" t="s">
        <v>1788</v>
      </c>
      <c r="L42" s="3">
        <v>0.2437</v>
      </c>
      <c r="M42" s="3">
        <v>6092.5</v>
      </c>
      <c r="N42" s="3">
        <v>4.0</v>
      </c>
      <c r="O42" s="3">
        <v>418994.0</v>
      </c>
      <c r="P42" s="3" t="s">
        <v>1789</v>
      </c>
      <c r="Q42" s="3">
        <v>1330899.0</v>
      </c>
      <c r="R42" s="3"/>
      <c r="S42" s="3">
        <v>4874.0</v>
      </c>
      <c r="T42" s="3" t="s">
        <v>56</v>
      </c>
      <c r="U42" s="3">
        <v>4874.0</v>
      </c>
      <c r="V42" s="5">
        <f>VLOOKUP(Additional!$D42, 'Period of Exposures'!B:C, 2, FALSE)</f>
        <v>33</v>
      </c>
    </row>
    <row r="43" ht="15.75" customHeight="1">
      <c r="A43" s="3">
        <v>52.0</v>
      </c>
      <c r="B43" s="3" t="s">
        <v>23</v>
      </c>
      <c r="C43" s="3" t="s">
        <v>24</v>
      </c>
      <c r="D43" s="3" t="s">
        <v>25</v>
      </c>
      <c r="E43" s="3" t="s">
        <v>1826</v>
      </c>
      <c r="F43" s="3">
        <v>1761007.0</v>
      </c>
      <c r="G43" s="4">
        <v>46012.0</v>
      </c>
      <c r="H43" s="4">
        <v>46108.0</v>
      </c>
      <c r="I43" s="3" t="s">
        <v>1827</v>
      </c>
      <c r="J43" s="3" t="s">
        <v>1828</v>
      </c>
      <c r="K43" s="3" t="s">
        <v>1525</v>
      </c>
      <c r="L43" s="3">
        <v>0.6483</v>
      </c>
      <c r="M43" s="3">
        <v>16207.5</v>
      </c>
      <c r="N43" s="3">
        <v>4.0</v>
      </c>
      <c r="O43" s="3">
        <v>310514.0</v>
      </c>
      <c r="P43" s="3"/>
      <c r="Q43" s="3">
        <v>1282720.0</v>
      </c>
      <c r="R43" s="3"/>
      <c r="S43" s="3">
        <v>12966.0</v>
      </c>
      <c r="T43" s="3" t="s">
        <v>56</v>
      </c>
      <c r="U43" s="3">
        <v>12966.0</v>
      </c>
      <c r="V43" s="5">
        <f>VLOOKUP(Additional!$D43, 'Period of Exposures'!B:C, 2, FALSE)</f>
        <v>33</v>
      </c>
    </row>
    <row r="44" ht="15.75" customHeight="1">
      <c r="A44" s="3">
        <v>53.0</v>
      </c>
      <c r="B44" s="3" t="s">
        <v>1213</v>
      </c>
      <c r="C44" s="3" t="s">
        <v>24</v>
      </c>
      <c r="D44" s="3" t="s">
        <v>25</v>
      </c>
      <c r="E44" s="3" t="s">
        <v>348</v>
      </c>
      <c r="F44" s="3">
        <v>1760484.0</v>
      </c>
      <c r="G44" s="4">
        <v>46009.0</v>
      </c>
      <c r="H44" s="4">
        <v>46104.0</v>
      </c>
      <c r="I44" s="3" t="s">
        <v>1840</v>
      </c>
      <c r="J44" s="3" t="s">
        <v>1841</v>
      </c>
      <c r="K44" s="3" t="s">
        <v>1565</v>
      </c>
      <c r="L44" s="3">
        <v>1.5</v>
      </c>
      <c r="M44" s="3">
        <v>60000.0</v>
      </c>
      <c r="N44" s="3">
        <v>4.0</v>
      </c>
      <c r="O44" s="3">
        <v>1767.0</v>
      </c>
      <c r="P44" s="3" t="s">
        <v>1842</v>
      </c>
      <c r="Q44" s="3">
        <v>1044420.0</v>
      </c>
      <c r="R44" s="3"/>
      <c r="S44" s="3">
        <v>48000.0</v>
      </c>
      <c r="T44" s="3" t="s">
        <v>56</v>
      </c>
      <c r="U44" s="3">
        <v>48000.0</v>
      </c>
      <c r="V44" s="5">
        <f>VLOOKUP(Additional!$D44, 'Period of Exposures'!B:C, 2, FALSE)</f>
        <v>33</v>
      </c>
    </row>
    <row r="45" ht="15.75" customHeight="1">
      <c r="A45" s="3">
        <v>54.0</v>
      </c>
      <c r="B45" s="3" t="s">
        <v>23</v>
      </c>
      <c r="C45" s="3" t="s">
        <v>24</v>
      </c>
      <c r="D45" s="3" t="s">
        <v>25</v>
      </c>
      <c r="E45" s="3" t="s">
        <v>1164</v>
      </c>
      <c r="F45" s="3">
        <v>1761010.0</v>
      </c>
      <c r="G45" s="4">
        <v>46021.0</v>
      </c>
      <c r="H45" s="4">
        <v>46111.0</v>
      </c>
      <c r="I45" s="3" t="s">
        <v>1843</v>
      </c>
      <c r="J45" s="3" t="s">
        <v>738</v>
      </c>
      <c r="K45" s="3" t="s">
        <v>1423</v>
      </c>
      <c r="L45" s="3">
        <v>0.25</v>
      </c>
      <c r="M45" s="3">
        <v>6250.0</v>
      </c>
      <c r="N45" s="3">
        <v>4.0</v>
      </c>
      <c r="O45" s="3">
        <v>205362.0</v>
      </c>
      <c r="P45" s="3"/>
      <c r="Q45" s="3">
        <v>1330926.0</v>
      </c>
      <c r="R45" s="3"/>
      <c r="S45" s="3">
        <v>5000.0</v>
      </c>
      <c r="T45" s="3" t="s">
        <v>56</v>
      </c>
      <c r="U45" s="3">
        <v>5000.0</v>
      </c>
      <c r="V45" s="5">
        <f>VLOOKUP(Additional!$D45, 'Period of Exposures'!B:C, 2, FALSE)</f>
        <v>33</v>
      </c>
    </row>
    <row r="46" ht="15.75" customHeight="1">
      <c r="A46" s="3">
        <v>55.0</v>
      </c>
      <c r="B46" s="3" t="s">
        <v>23</v>
      </c>
      <c r="C46" s="3" t="s">
        <v>24</v>
      </c>
      <c r="D46" s="3" t="s">
        <v>25</v>
      </c>
      <c r="E46" s="3" t="s">
        <v>1826</v>
      </c>
      <c r="F46" s="3">
        <v>1761007.0</v>
      </c>
      <c r="G46" s="4">
        <v>46012.0</v>
      </c>
      <c r="H46" s="4">
        <v>46108.0</v>
      </c>
      <c r="I46" s="3" t="s">
        <v>1864</v>
      </c>
      <c r="J46" s="3" t="s">
        <v>1865</v>
      </c>
      <c r="K46" s="3" t="s">
        <v>671</v>
      </c>
      <c r="L46" s="3">
        <v>1.269</v>
      </c>
      <c r="M46" s="3">
        <v>31725.0</v>
      </c>
      <c r="N46" s="3">
        <v>4.0</v>
      </c>
      <c r="O46" s="3">
        <v>195325.0</v>
      </c>
      <c r="P46" s="3" t="s">
        <v>1866</v>
      </c>
      <c r="Q46" s="3">
        <v>1319157.0</v>
      </c>
      <c r="R46" s="3"/>
      <c r="S46" s="3">
        <v>25380.0</v>
      </c>
      <c r="T46" s="3" t="s">
        <v>56</v>
      </c>
      <c r="U46" s="3">
        <v>25380.0</v>
      </c>
      <c r="V46" s="5">
        <f>VLOOKUP(Additional!$D46, 'Period of Exposures'!B:C, 2, FALSE)</f>
        <v>33</v>
      </c>
    </row>
    <row r="47" ht="15.75" customHeight="1">
      <c r="A47" s="3">
        <v>56.0</v>
      </c>
      <c r="B47" s="3" t="s">
        <v>23</v>
      </c>
      <c r="C47" s="3" t="s">
        <v>24</v>
      </c>
      <c r="D47" s="3" t="s">
        <v>25</v>
      </c>
      <c r="E47" s="3" t="s">
        <v>1164</v>
      </c>
      <c r="F47" s="3">
        <v>1760491.0</v>
      </c>
      <c r="G47" s="4">
        <v>46012.0</v>
      </c>
      <c r="H47" s="4">
        <v>46110.0</v>
      </c>
      <c r="I47" s="3" t="s">
        <v>1913</v>
      </c>
      <c r="J47" s="3" t="s">
        <v>1914</v>
      </c>
      <c r="K47" s="3" t="s">
        <v>163</v>
      </c>
      <c r="L47" s="3">
        <v>0.3503</v>
      </c>
      <c r="M47" s="3">
        <v>8757.5</v>
      </c>
      <c r="N47" s="3">
        <v>4.0</v>
      </c>
      <c r="O47" s="3">
        <v>356338.0</v>
      </c>
      <c r="P47" s="3"/>
      <c r="Q47" s="3">
        <v>1276808.0</v>
      </c>
      <c r="R47" s="3"/>
      <c r="S47" s="3">
        <v>7006.0</v>
      </c>
      <c r="T47" s="3" t="s">
        <v>56</v>
      </c>
      <c r="U47" s="3">
        <v>7006.0</v>
      </c>
      <c r="V47" s="5">
        <f>VLOOKUP(Additional!$D47, 'Period of Exposures'!B:C, 2, FALSE)</f>
        <v>33</v>
      </c>
    </row>
    <row r="48" ht="15.75" customHeight="1">
      <c r="A48" s="3">
        <v>57.0</v>
      </c>
      <c r="B48" s="3" t="s">
        <v>23</v>
      </c>
      <c r="C48" s="3" t="s">
        <v>24</v>
      </c>
      <c r="D48" s="3" t="s">
        <v>25</v>
      </c>
      <c r="E48" s="3" t="s">
        <v>1164</v>
      </c>
      <c r="F48" s="3">
        <v>1760491.0</v>
      </c>
      <c r="G48" s="4">
        <v>46012.0</v>
      </c>
      <c r="H48" s="4">
        <v>46110.0</v>
      </c>
      <c r="I48" s="3" t="s">
        <v>1913</v>
      </c>
      <c r="J48" s="3" t="s">
        <v>1914</v>
      </c>
      <c r="K48" s="3" t="s">
        <v>163</v>
      </c>
      <c r="L48" s="3">
        <v>0.3442</v>
      </c>
      <c r="M48" s="3">
        <v>8605.0</v>
      </c>
      <c r="N48" s="3">
        <v>4.0</v>
      </c>
      <c r="O48" s="3">
        <v>356338.0</v>
      </c>
      <c r="P48" s="3"/>
      <c r="Q48" s="3">
        <v>1276810.0</v>
      </c>
      <c r="R48" s="3"/>
      <c r="S48" s="3">
        <v>6884.0</v>
      </c>
      <c r="T48" s="3" t="s">
        <v>56</v>
      </c>
      <c r="U48" s="3">
        <v>6884.0</v>
      </c>
      <c r="V48" s="5">
        <f>VLOOKUP(Additional!$D48, 'Period of Exposures'!B:C, 2, FALSE)</f>
        <v>33</v>
      </c>
    </row>
    <row r="49" ht="15.75" customHeight="1">
      <c r="A49" s="3">
        <v>58.0</v>
      </c>
      <c r="B49" s="3" t="s">
        <v>23</v>
      </c>
      <c r="C49" s="3" t="s">
        <v>24</v>
      </c>
      <c r="D49" s="3" t="s">
        <v>25</v>
      </c>
      <c r="E49" s="3" t="s">
        <v>1164</v>
      </c>
      <c r="F49" s="3">
        <v>1760492.0</v>
      </c>
      <c r="G49" s="4">
        <v>46012.0</v>
      </c>
      <c r="H49" s="4">
        <v>46107.0</v>
      </c>
      <c r="I49" s="3" t="s">
        <v>1956</v>
      </c>
      <c r="J49" s="3" t="s">
        <v>1957</v>
      </c>
      <c r="K49" s="3" t="s">
        <v>1601</v>
      </c>
      <c r="L49" s="3">
        <v>0.6036</v>
      </c>
      <c r="M49" s="3">
        <v>15090.0</v>
      </c>
      <c r="N49" s="3">
        <v>4.0</v>
      </c>
      <c r="O49" s="3">
        <v>435767.0</v>
      </c>
      <c r="P49" s="3" t="s">
        <v>1958</v>
      </c>
      <c r="Q49" s="3">
        <v>1328496.0</v>
      </c>
      <c r="R49" s="3"/>
      <c r="S49" s="3">
        <v>12072.0</v>
      </c>
      <c r="T49" s="3" t="s">
        <v>56</v>
      </c>
      <c r="U49" s="3">
        <v>12072.0</v>
      </c>
      <c r="V49" s="5">
        <f>VLOOKUP(Additional!$D49, 'Period of Exposures'!B:C, 2, FALSE)</f>
        <v>33</v>
      </c>
    </row>
    <row r="50" ht="15.75" customHeight="1">
      <c r="A50" s="3">
        <v>59.0</v>
      </c>
      <c r="B50" s="3" t="s">
        <v>23</v>
      </c>
      <c r="C50" s="3" t="s">
        <v>24</v>
      </c>
      <c r="D50" s="3" t="s">
        <v>25</v>
      </c>
      <c r="E50" s="3" t="s">
        <v>1164</v>
      </c>
      <c r="F50" s="3">
        <v>1760492.0</v>
      </c>
      <c r="G50" s="4">
        <v>46012.0</v>
      </c>
      <c r="H50" s="4">
        <v>46107.0</v>
      </c>
      <c r="I50" s="3" t="s">
        <v>1956</v>
      </c>
      <c r="J50" s="3" t="s">
        <v>1957</v>
      </c>
      <c r="K50" s="3" t="s">
        <v>1601</v>
      </c>
      <c r="L50" s="3">
        <v>0.3513</v>
      </c>
      <c r="M50" s="3">
        <v>8782.5</v>
      </c>
      <c r="N50" s="3">
        <v>4.0</v>
      </c>
      <c r="O50" s="3">
        <v>435767.0</v>
      </c>
      <c r="P50" s="3" t="s">
        <v>1958</v>
      </c>
      <c r="Q50" s="3">
        <v>1328504.0</v>
      </c>
      <c r="R50" s="3"/>
      <c r="S50" s="3">
        <v>7026.0</v>
      </c>
      <c r="T50" s="3" t="s">
        <v>56</v>
      </c>
      <c r="U50" s="3">
        <v>7026.0</v>
      </c>
      <c r="V50" s="5">
        <f>VLOOKUP(Additional!$D50, 'Period of Exposures'!B:C, 2, FALSE)</f>
        <v>33</v>
      </c>
    </row>
    <row r="51" ht="15.75" customHeight="1">
      <c r="A51" s="3">
        <v>60.0</v>
      </c>
      <c r="B51" s="3" t="s">
        <v>23</v>
      </c>
      <c r="C51" s="3" t="s">
        <v>24</v>
      </c>
      <c r="D51" s="3" t="s">
        <v>25</v>
      </c>
      <c r="E51" s="3" t="s">
        <v>1164</v>
      </c>
      <c r="F51" s="3">
        <v>1760492.0</v>
      </c>
      <c r="G51" s="4">
        <v>46011.0</v>
      </c>
      <c r="H51" s="4">
        <v>46106.0</v>
      </c>
      <c r="I51" s="3" t="s">
        <v>2025</v>
      </c>
      <c r="J51" s="3" t="s">
        <v>2026</v>
      </c>
      <c r="K51" s="3" t="s">
        <v>169</v>
      </c>
      <c r="L51" s="3">
        <v>0.2365</v>
      </c>
      <c r="M51" s="3">
        <v>5912.5</v>
      </c>
      <c r="N51" s="3">
        <v>4.0</v>
      </c>
      <c r="O51" s="3">
        <v>496586.0</v>
      </c>
      <c r="P51" s="3" t="s">
        <v>2027</v>
      </c>
      <c r="Q51" s="3">
        <v>1231582.0</v>
      </c>
      <c r="R51" s="3"/>
      <c r="S51" s="3">
        <v>4730.0</v>
      </c>
      <c r="T51" s="3" t="s">
        <v>56</v>
      </c>
      <c r="U51" s="3">
        <v>4730.0</v>
      </c>
      <c r="V51" s="5">
        <f>VLOOKUP(Additional!$D51, 'Period of Exposures'!B:C, 2, FALSE)</f>
        <v>33</v>
      </c>
    </row>
    <row r="52" ht="15.75" customHeight="1">
      <c r="A52" s="3">
        <v>61.0</v>
      </c>
      <c r="B52" s="3" t="s">
        <v>23</v>
      </c>
      <c r="C52" s="3" t="s">
        <v>24</v>
      </c>
      <c r="D52" s="3" t="s">
        <v>25</v>
      </c>
      <c r="E52" s="3" t="s">
        <v>1164</v>
      </c>
      <c r="F52" s="3">
        <v>1760491.0</v>
      </c>
      <c r="G52" s="4">
        <v>46014.0</v>
      </c>
      <c r="H52" s="4">
        <v>46111.0</v>
      </c>
      <c r="I52" s="3" t="s">
        <v>2044</v>
      </c>
      <c r="J52" s="3" t="s">
        <v>2045</v>
      </c>
      <c r="K52" s="3" t="s">
        <v>1601</v>
      </c>
      <c r="L52" s="3">
        <v>0.1384</v>
      </c>
      <c r="M52" s="3">
        <v>3460.0</v>
      </c>
      <c r="N52" s="3">
        <v>4.0</v>
      </c>
      <c r="O52" s="3">
        <v>313942.0</v>
      </c>
      <c r="P52" s="3" t="s">
        <v>2046</v>
      </c>
      <c r="Q52" s="3">
        <v>1328111.0</v>
      </c>
      <c r="R52" s="3"/>
      <c r="S52" s="3">
        <v>2768.0</v>
      </c>
      <c r="T52" s="3" t="s">
        <v>56</v>
      </c>
      <c r="U52" s="3">
        <v>2768.0</v>
      </c>
      <c r="V52" s="5">
        <f>VLOOKUP(Additional!$D52, 'Period of Exposures'!B:C, 2, FALSE)</f>
        <v>33</v>
      </c>
    </row>
    <row r="53" ht="15.75" customHeight="1">
      <c r="A53" s="3">
        <v>62.0</v>
      </c>
      <c r="B53" s="3" t="s">
        <v>23</v>
      </c>
      <c r="C53" s="3" t="s">
        <v>24</v>
      </c>
      <c r="D53" s="3" t="s">
        <v>25</v>
      </c>
      <c r="E53" s="3" t="s">
        <v>1164</v>
      </c>
      <c r="F53" s="3">
        <v>1760491.0</v>
      </c>
      <c r="G53" s="4">
        <v>46014.0</v>
      </c>
      <c r="H53" s="4">
        <v>46111.0</v>
      </c>
      <c r="I53" s="3" t="s">
        <v>2065</v>
      </c>
      <c r="J53" s="3" t="s">
        <v>1482</v>
      </c>
      <c r="K53" s="3" t="s">
        <v>2066</v>
      </c>
      <c r="L53" s="3">
        <v>0.3555</v>
      </c>
      <c r="M53" s="3">
        <v>8887.5</v>
      </c>
      <c r="N53" s="3">
        <v>4.0</v>
      </c>
      <c r="O53" s="3">
        <v>297195.0</v>
      </c>
      <c r="P53" s="3" t="s">
        <v>2067</v>
      </c>
      <c r="Q53" s="3">
        <v>1276785.0</v>
      </c>
      <c r="R53" s="3"/>
      <c r="S53" s="3">
        <v>7110.0</v>
      </c>
      <c r="T53" s="3" t="s">
        <v>56</v>
      </c>
      <c r="U53" s="3">
        <v>7110.0</v>
      </c>
      <c r="V53" s="5">
        <f>VLOOKUP(Additional!$D53, 'Period of Exposures'!B:C, 2, FALSE)</f>
        <v>33</v>
      </c>
    </row>
    <row r="54" ht="15.75" customHeight="1">
      <c r="A54" s="3">
        <v>63.0</v>
      </c>
      <c r="B54" s="3" t="s">
        <v>23</v>
      </c>
      <c r="C54" s="3" t="s">
        <v>24</v>
      </c>
      <c r="D54" s="3" t="s">
        <v>25</v>
      </c>
      <c r="E54" s="3" t="s">
        <v>1164</v>
      </c>
      <c r="F54" s="3">
        <v>1760491.0</v>
      </c>
      <c r="G54" s="4">
        <v>46014.0</v>
      </c>
      <c r="H54" s="4">
        <v>46111.0</v>
      </c>
      <c r="I54" s="3" t="s">
        <v>2065</v>
      </c>
      <c r="J54" s="3" t="s">
        <v>1482</v>
      </c>
      <c r="K54" s="3" t="s">
        <v>2066</v>
      </c>
      <c r="L54" s="3">
        <v>0.3527</v>
      </c>
      <c r="M54" s="3">
        <v>8817.5</v>
      </c>
      <c r="N54" s="3">
        <v>4.0</v>
      </c>
      <c r="O54" s="3">
        <v>297195.0</v>
      </c>
      <c r="P54" s="3" t="s">
        <v>2067</v>
      </c>
      <c r="Q54" s="3">
        <v>1328510.0</v>
      </c>
      <c r="R54" s="3"/>
      <c r="S54" s="3">
        <v>7054.0</v>
      </c>
      <c r="T54" s="3" t="s">
        <v>56</v>
      </c>
      <c r="U54" s="3">
        <v>7054.0</v>
      </c>
      <c r="V54" s="5">
        <f>VLOOKUP(Additional!$D54, 'Period of Exposures'!B:C, 2, FALSE)</f>
        <v>33</v>
      </c>
    </row>
    <row r="55" ht="15.75" customHeight="1">
      <c r="A55" s="3">
        <v>64.0</v>
      </c>
      <c r="B55" s="3" t="s">
        <v>23</v>
      </c>
      <c r="C55" s="3" t="s">
        <v>24</v>
      </c>
      <c r="D55" s="3" t="s">
        <v>25</v>
      </c>
      <c r="E55" s="3" t="s">
        <v>1164</v>
      </c>
      <c r="F55" s="3">
        <v>1761008.0</v>
      </c>
      <c r="G55" s="4">
        <v>46020.0</v>
      </c>
      <c r="H55" s="4">
        <v>46111.0</v>
      </c>
      <c r="I55" s="3" t="s">
        <v>2065</v>
      </c>
      <c r="J55" s="3" t="s">
        <v>530</v>
      </c>
      <c r="K55" s="3" t="s">
        <v>2084</v>
      </c>
      <c r="L55" s="3">
        <v>1.0334</v>
      </c>
      <c r="M55" s="3">
        <v>25835.0</v>
      </c>
      <c r="N55" s="3">
        <v>4.0</v>
      </c>
      <c r="O55" s="3">
        <v>358816.0</v>
      </c>
      <c r="P55" s="3" t="s">
        <v>2085</v>
      </c>
      <c r="Q55" s="3">
        <v>1225811.0</v>
      </c>
      <c r="R55" s="3"/>
      <c r="S55" s="3">
        <v>20668.0</v>
      </c>
      <c r="T55" s="3" t="s">
        <v>56</v>
      </c>
      <c r="U55" s="3">
        <v>20668.0</v>
      </c>
      <c r="V55" s="5">
        <f>VLOOKUP(Additional!$D55, 'Period of Exposures'!B:C, 2, FALSE)</f>
        <v>33</v>
      </c>
    </row>
    <row r="56" ht="15.75" customHeight="1">
      <c r="A56" s="3">
        <v>65.0</v>
      </c>
      <c r="B56" s="3" t="s">
        <v>23</v>
      </c>
      <c r="C56" s="3" t="s">
        <v>24</v>
      </c>
      <c r="D56" s="3" t="s">
        <v>25</v>
      </c>
      <c r="E56" s="3" t="s">
        <v>1164</v>
      </c>
      <c r="F56" s="3">
        <v>1760492.0</v>
      </c>
      <c r="G56" s="4">
        <v>46011.0</v>
      </c>
      <c r="H56" s="4">
        <v>46106.0</v>
      </c>
      <c r="I56" s="3" t="s">
        <v>214</v>
      </c>
      <c r="J56" s="3" t="s">
        <v>485</v>
      </c>
      <c r="K56" s="3" t="s">
        <v>2099</v>
      </c>
      <c r="L56" s="3">
        <v>0.6784</v>
      </c>
      <c r="M56" s="3">
        <v>16960.0</v>
      </c>
      <c r="N56" s="3">
        <v>4.0</v>
      </c>
      <c r="O56" s="3">
        <v>315205.0</v>
      </c>
      <c r="P56" s="3" t="s">
        <v>2100</v>
      </c>
      <c r="Q56" s="3">
        <v>1328384.0</v>
      </c>
      <c r="R56" s="3"/>
      <c r="S56" s="3">
        <v>13568.0</v>
      </c>
      <c r="T56" s="3" t="s">
        <v>56</v>
      </c>
      <c r="U56" s="3">
        <v>13568.0</v>
      </c>
      <c r="V56" s="5">
        <f>VLOOKUP(Additional!$D56, 'Period of Exposures'!B:C, 2, FALSE)</f>
        <v>33</v>
      </c>
    </row>
    <row r="57" ht="15.75" customHeight="1">
      <c r="A57" s="3">
        <v>66.0</v>
      </c>
      <c r="B57" s="3" t="s">
        <v>23</v>
      </c>
      <c r="C57" s="3" t="s">
        <v>24</v>
      </c>
      <c r="D57" s="3" t="s">
        <v>25</v>
      </c>
      <c r="E57" s="3" t="s">
        <v>1164</v>
      </c>
      <c r="F57" s="3">
        <v>1760492.0</v>
      </c>
      <c r="G57" s="4">
        <v>46011.0</v>
      </c>
      <c r="H57" s="4">
        <v>46106.0</v>
      </c>
      <c r="I57" s="3" t="s">
        <v>214</v>
      </c>
      <c r="J57" s="3" t="s">
        <v>485</v>
      </c>
      <c r="K57" s="3" t="s">
        <v>2099</v>
      </c>
      <c r="L57" s="3">
        <v>0.24</v>
      </c>
      <c r="M57" s="3">
        <v>6000.0</v>
      </c>
      <c r="N57" s="3">
        <v>4.0</v>
      </c>
      <c r="O57" s="3">
        <v>315205.0</v>
      </c>
      <c r="P57" s="3" t="s">
        <v>2100</v>
      </c>
      <c r="Q57" s="3">
        <v>1328388.0</v>
      </c>
      <c r="R57" s="3"/>
      <c r="S57" s="3">
        <v>4800.0</v>
      </c>
      <c r="T57" s="3" t="s">
        <v>56</v>
      </c>
      <c r="U57" s="3">
        <v>4800.0</v>
      </c>
      <c r="V57" s="5">
        <f>VLOOKUP(Additional!$D57, 'Period of Exposures'!B:C, 2, FALSE)</f>
        <v>33</v>
      </c>
    </row>
    <row r="58" ht="15.75" customHeight="1">
      <c r="A58" s="3">
        <v>67.0</v>
      </c>
      <c r="B58" s="3" t="s">
        <v>23</v>
      </c>
      <c r="C58" s="3" t="s">
        <v>24</v>
      </c>
      <c r="D58" s="3" t="s">
        <v>25</v>
      </c>
      <c r="E58" s="3" t="s">
        <v>1164</v>
      </c>
      <c r="F58" s="3">
        <v>1760492.0</v>
      </c>
      <c r="G58" s="4">
        <v>46011.0</v>
      </c>
      <c r="H58" s="4">
        <v>46106.0</v>
      </c>
      <c r="I58" s="3" t="s">
        <v>214</v>
      </c>
      <c r="J58" s="3" t="s">
        <v>2105</v>
      </c>
      <c r="K58" s="3" t="s">
        <v>2106</v>
      </c>
      <c r="L58" s="3">
        <v>0.7497</v>
      </c>
      <c r="M58" s="3">
        <v>18742.5</v>
      </c>
      <c r="N58" s="3">
        <v>4.0</v>
      </c>
      <c r="O58" s="3">
        <v>325546.0</v>
      </c>
      <c r="P58" s="3" t="s">
        <v>2107</v>
      </c>
      <c r="Q58" s="3">
        <v>1328097.0</v>
      </c>
      <c r="R58" s="3"/>
      <c r="S58" s="3">
        <v>14994.0</v>
      </c>
      <c r="T58" s="3" t="s">
        <v>56</v>
      </c>
      <c r="U58" s="3">
        <v>14994.0</v>
      </c>
      <c r="V58" s="5">
        <f>VLOOKUP(Additional!$D58, 'Period of Exposures'!B:C, 2, FALSE)</f>
        <v>33</v>
      </c>
    </row>
    <row r="59" ht="15.75" customHeight="1">
      <c r="A59" s="3">
        <v>68.0</v>
      </c>
      <c r="B59" s="3" t="s">
        <v>1776</v>
      </c>
      <c r="C59" s="3" t="s">
        <v>24</v>
      </c>
      <c r="D59" s="3" t="s">
        <v>25</v>
      </c>
      <c r="E59" s="3" t="s">
        <v>1374</v>
      </c>
      <c r="F59" s="3">
        <v>1760471.0</v>
      </c>
      <c r="G59" s="4">
        <v>46007.0</v>
      </c>
      <c r="H59" s="4">
        <v>46102.0</v>
      </c>
      <c r="I59" s="3" t="s">
        <v>2132</v>
      </c>
      <c r="J59" s="3" t="s">
        <v>2133</v>
      </c>
      <c r="K59" s="3" t="s">
        <v>2134</v>
      </c>
      <c r="L59" s="3">
        <v>0.2814</v>
      </c>
      <c r="M59" s="3">
        <v>5628.0</v>
      </c>
      <c r="N59" s="3">
        <v>4.0</v>
      </c>
      <c r="O59" s="3">
        <v>481939.0</v>
      </c>
      <c r="P59" s="3"/>
      <c r="Q59" s="3">
        <v>1321167.0</v>
      </c>
      <c r="R59" s="3"/>
      <c r="S59" s="3">
        <v>4502.4</v>
      </c>
      <c r="T59" s="3" t="s">
        <v>56</v>
      </c>
      <c r="U59" s="3">
        <v>4502.4</v>
      </c>
      <c r="V59" s="5">
        <f>VLOOKUP(Additional!$D59, 'Period of Exposures'!B:C, 2, FALSE)</f>
        <v>33</v>
      </c>
    </row>
    <row r="60" ht="15.75" customHeight="1">
      <c r="A60" s="3">
        <v>69.0</v>
      </c>
      <c r="B60" s="3" t="s">
        <v>23</v>
      </c>
      <c r="C60" s="3" t="s">
        <v>24</v>
      </c>
      <c r="D60" s="3" t="s">
        <v>25</v>
      </c>
      <c r="E60" s="3" t="s">
        <v>594</v>
      </c>
      <c r="F60" s="3">
        <v>1760481.0</v>
      </c>
      <c r="G60" s="4">
        <v>46013.0</v>
      </c>
      <c r="H60" s="4">
        <v>46108.0</v>
      </c>
      <c r="I60" s="3" t="s">
        <v>2166</v>
      </c>
      <c r="J60" s="3" t="s">
        <v>2167</v>
      </c>
      <c r="K60" s="3" t="s">
        <v>2168</v>
      </c>
      <c r="L60" s="3">
        <v>1.1306</v>
      </c>
      <c r="M60" s="3">
        <v>28265.0</v>
      </c>
      <c r="N60" s="3">
        <v>4.0</v>
      </c>
      <c r="O60" s="3">
        <v>128793.0</v>
      </c>
      <c r="P60" s="3"/>
      <c r="Q60" s="3">
        <v>1326038.0</v>
      </c>
      <c r="R60" s="3"/>
      <c r="S60" s="3">
        <v>22612.0</v>
      </c>
      <c r="T60" s="3" t="s">
        <v>56</v>
      </c>
      <c r="U60" s="3">
        <v>22612.0</v>
      </c>
      <c r="V60" s="5">
        <f>VLOOKUP(Additional!$D60, 'Period of Exposures'!B:C, 2, FALSE)</f>
        <v>33</v>
      </c>
    </row>
    <row r="61" ht="15.75" customHeight="1">
      <c r="A61" s="3">
        <v>70.0</v>
      </c>
      <c r="B61" s="3" t="s">
        <v>23</v>
      </c>
      <c r="C61" s="3" t="s">
        <v>24</v>
      </c>
      <c r="D61" s="3" t="s">
        <v>25</v>
      </c>
      <c r="E61" s="3" t="s">
        <v>594</v>
      </c>
      <c r="F61" s="3">
        <v>1760481.0</v>
      </c>
      <c r="G61" s="4">
        <v>46014.0</v>
      </c>
      <c r="H61" s="4">
        <v>46109.0</v>
      </c>
      <c r="I61" s="3" t="s">
        <v>2166</v>
      </c>
      <c r="J61" s="3" t="s">
        <v>2167</v>
      </c>
      <c r="K61" s="3" t="s">
        <v>2168</v>
      </c>
      <c r="L61" s="3">
        <v>0.53</v>
      </c>
      <c r="M61" s="3">
        <v>13250.0</v>
      </c>
      <c r="N61" s="3">
        <v>4.0</v>
      </c>
      <c r="O61" s="3">
        <v>128793.0</v>
      </c>
      <c r="P61" s="3"/>
      <c r="Q61" s="3">
        <v>1326039.0</v>
      </c>
      <c r="R61" s="3"/>
      <c r="S61" s="3">
        <v>10600.0</v>
      </c>
      <c r="T61" s="3" t="s">
        <v>56</v>
      </c>
      <c r="U61" s="3">
        <v>10600.0</v>
      </c>
      <c r="V61" s="5">
        <f>VLOOKUP(Additional!$D61, 'Period of Exposures'!B:C, 2, FALSE)</f>
        <v>33</v>
      </c>
    </row>
    <row r="62" ht="15.75" customHeight="1">
      <c r="A62" s="3">
        <v>71.0</v>
      </c>
      <c r="B62" s="3" t="s">
        <v>23</v>
      </c>
      <c r="C62" s="3" t="s">
        <v>24</v>
      </c>
      <c r="D62" s="3" t="s">
        <v>25</v>
      </c>
      <c r="E62" s="3" t="s">
        <v>1164</v>
      </c>
      <c r="F62" s="3">
        <v>1760492.0</v>
      </c>
      <c r="G62" s="4">
        <v>46012.0</v>
      </c>
      <c r="H62" s="4">
        <v>46107.0</v>
      </c>
      <c r="I62" s="3" t="s">
        <v>2171</v>
      </c>
      <c r="J62" s="3" t="s">
        <v>901</v>
      </c>
      <c r="K62" s="3" t="s">
        <v>163</v>
      </c>
      <c r="L62" s="3">
        <v>0.5298</v>
      </c>
      <c r="M62" s="3">
        <v>13245.0</v>
      </c>
      <c r="N62" s="3">
        <v>4.0</v>
      </c>
      <c r="O62" s="3">
        <v>421676.0</v>
      </c>
      <c r="P62" s="3" t="s">
        <v>2172</v>
      </c>
      <c r="Q62" s="3">
        <v>1232116.0</v>
      </c>
      <c r="R62" s="3"/>
      <c r="S62" s="3">
        <v>10596.0</v>
      </c>
      <c r="T62" s="3" t="s">
        <v>56</v>
      </c>
      <c r="U62" s="3">
        <v>10596.0</v>
      </c>
      <c r="V62" s="5">
        <f>VLOOKUP(Additional!$D62, 'Period of Exposures'!B:C, 2, FALSE)</f>
        <v>33</v>
      </c>
    </row>
    <row r="63" ht="15.75" customHeight="1">
      <c r="A63" s="3">
        <v>72.0</v>
      </c>
      <c r="B63" s="3" t="s">
        <v>1776</v>
      </c>
      <c r="C63" s="3" t="s">
        <v>24</v>
      </c>
      <c r="D63" s="3" t="s">
        <v>25</v>
      </c>
      <c r="E63" s="3" t="s">
        <v>1374</v>
      </c>
      <c r="F63" s="3">
        <v>1760471.0</v>
      </c>
      <c r="G63" s="4">
        <v>46016.0</v>
      </c>
      <c r="H63" s="4">
        <v>46111.0</v>
      </c>
      <c r="I63" s="3" t="s">
        <v>2173</v>
      </c>
      <c r="J63" s="3" t="s">
        <v>2174</v>
      </c>
      <c r="K63" s="3" t="s">
        <v>2175</v>
      </c>
      <c r="L63" s="3">
        <v>0.1152</v>
      </c>
      <c r="M63" s="3">
        <v>2304.0</v>
      </c>
      <c r="N63" s="3">
        <v>4.0</v>
      </c>
      <c r="O63" s="3">
        <v>480868.0</v>
      </c>
      <c r="P63" s="3" t="s">
        <v>2176</v>
      </c>
      <c r="Q63" s="3">
        <v>1321465.0</v>
      </c>
      <c r="R63" s="3"/>
      <c r="S63" s="3">
        <v>1843.2</v>
      </c>
      <c r="T63" s="3" t="s">
        <v>56</v>
      </c>
      <c r="U63" s="3">
        <v>1843.2</v>
      </c>
      <c r="V63" s="5">
        <f>VLOOKUP(Additional!$D63, 'Period of Exposures'!B:C, 2, FALSE)</f>
        <v>33</v>
      </c>
    </row>
    <row r="64" ht="15.75" customHeight="1">
      <c r="A64" s="3">
        <v>73.0</v>
      </c>
      <c r="B64" s="3" t="s">
        <v>1776</v>
      </c>
      <c r="C64" s="3" t="s">
        <v>24</v>
      </c>
      <c r="D64" s="3" t="s">
        <v>25</v>
      </c>
      <c r="E64" s="3" t="s">
        <v>1374</v>
      </c>
      <c r="F64" s="3">
        <v>1760471.0</v>
      </c>
      <c r="G64" s="4">
        <v>46016.0</v>
      </c>
      <c r="H64" s="4">
        <v>46111.0</v>
      </c>
      <c r="I64" s="3" t="s">
        <v>2173</v>
      </c>
      <c r="J64" s="3" t="s">
        <v>2174</v>
      </c>
      <c r="K64" s="3" t="s">
        <v>2175</v>
      </c>
      <c r="L64" s="3">
        <v>0.1992</v>
      </c>
      <c r="M64" s="3">
        <v>3984.0</v>
      </c>
      <c r="N64" s="3">
        <v>4.0</v>
      </c>
      <c r="O64" s="3">
        <v>480868.0</v>
      </c>
      <c r="P64" s="3" t="s">
        <v>2176</v>
      </c>
      <c r="Q64" s="3">
        <v>1321466.0</v>
      </c>
      <c r="R64" s="3"/>
      <c r="S64" s="3">
        <v>3187.2</v>
      </c>
      <c r="T64" s="3" t="s">
        <v>56</v>
      </c>
      <c r="U64" s="3">
        <v>3187.2</v>
      </c>
      <c r="V64" s="5">
        <f>VLOOKUP(Additional!$D64, 'Period of Exposures'!B:C, 2, FALSE)</f>
        <v>33</v>
      </c>
    </row>
    <row r="65" ht="15.75" customHeight="1">
      <c r="A65" s="3">
        <v>74.0</v>
      </c>
      <c r="B65" s="3" t="s">
        <v>23</v>
      </c>
      <c r="C65" s="3" t="s">
        <v>24</v>
      </c>
      <c r="D65" s="3" t="s">
        <v>25</v>
      </c>
      <c r="E65" s="3" t="s">
        <v>1164</v>
      </c>
      <c r="F65" s="3">
        <v>1760492.0</v>
      </c>
      <c r="G65" s="4">
        <v>46011.0</v>
      </c>
      <c r="H65" s="4">
        <v>46106.0</v>
      </c>
      <c r="I65" s="3" t="s">
        <v>2239</v>
      </c>
      <c r="J65" s="3" t="s">
        <v>722</v>
      </c>
      <c r="K65" s="3" t="s">
        <v>1563</v>
      </c>
      <c r="L65" s="3">
        <v>0.3185</v>
      </c>
      <c r="M65" s="3">
        <v>7962.5</v>
      </c>
      <c r="N65" s="3">
        <v>4.0</v>
      </c>
      <c r="O65" s="3">
        <v>473254.0</v>
      </c>
      <c r="P65" s="3" t="s">
        <v>2240</v>
      </c>
      <c r="Q65" s="3">
        <v>1328106.0</v>
      </c>
      <c r="R65" s="3"/>
      <c r="S65" s="3">
        <v>6370.0</v>
      </c>
      <c r="T65" s="3" t="s">
        <v>56</v>
      </c>
      <c r="U65" s="3">
        <v>6370.0</v>
      </c>
      <c r="V65" s="5">
        <f>VLOOKUP(Additional!$D65, 'Period of Exposures'!B:C, 2, FALSE)</f>
        <v>33</v>
      </c>
    </row>
    <row r="66" ht="15.75" customHeight="1">
      <c r="A66" s="3">
        <v>75.0</v>
      </c>
      <c r="B66" s="3" t="s">
        <v>23</v>
      </c>
      <c r="C66" s="3" t="s">
        <v>24</v>
      </c>
      <c r="D66" s="3" t="s">
        <v>25</v>
      </c>
      <c r="E66" s="3" t="s">
        <v>1164</v>
      </c>
      <c r="F66" s="3">
        <v>1760492.0</v>
      </c>
      <c r="G66" s="4">
        <v>46011.0</v>
      </c>
      <c r="H66" s="4">
        <v>46106.0</v>
      </c>
      <c r="I66" s="3" t="s">
        <v>2239</v>
      </c>
      <c r="J66" s="3" t="s">
        <v>722</v>
      </c>
      <c r="K66" s="3" t="s">
        <v>1563</v>
      </c>
      <c r="L66" s="3">
        <v>0.3403</v>
      </c>
      <c r="M66" s="3">
        <v>8507.5</v>
      </c>
      <c r="N66" s="3">
        <v>4.0</v>
      </c>
      <c r="O66" s="3">
        <v>473254.0</v>
      </c>
      <c r="P66" s="3" t="s">
        <v>2240</v>
      </c>
      <c r="Q66" s="3">
        <v>1328108.0</v>
      </c>
      <c r="R66" s="3"/>
      <c r="S66" s="3">
        <v>6806.0</v>
      </c>
      <c r="T66" s="3" t="s">
        <v>56</v>
      </c>
      <c r="U66" s="3">
        <v>6806.0</v>
      </c>
      <c r="V66" s="5">
        <f>VLOOKUP(Additional!$D66, 'Period of Exposures'!B:C, 2, FALSE)</f>
        <v>33</v>
      </c>
    </row>
    <row r="67" ht="15.75" customHeight="1">
      <c r="A67" s="3">
        <v>76.0</v>
      </c>
      <c r="B67" s="3" t="s">
        <v>23</v>
      </c>
      <c r="C67" s="3" t="s">
        <v>24</v>
      </c>
      <c r="D67" s="3" t="s">
        <v>25</v>
      </c>
      <c r="E67" s="3" t="s">
        <v>1164</v>
      </c>
      <c r="F67" s="3">
        <v>1760492.0</v>
      </c>
      <c r="G67" s="4">
        <v>46011.0</v>
      </c>
      <c r="H67" s="4">
        <v>46106.0</v>
      </c>
      <c r="I67" s="3" t="s">
        <v>2239</v>
      </c>
      <c r="J67" s="3" t="s">
        <v>174</v>
      </c>
      <c r="K67" s="3" t="s">
        <v>2265</v>
      </c>
      <c r="L67" s="3">
        <v>0.4051</v>
      </c>
      <c r="M67" s="3">
        <v>10127.5</v>
      </c>
      <c r="N67" s="3">
        <v>4.0</v>
      </c>
      <c r="O67" s="3">
        <v>370035.0</v>
      </c>
      <c r="P67" s="3" t="s">
        <v>2266</v>
      </c>
      <c r="Q67" s="3">
        <v>1159016.0</v>
      </c>
      <c r="R67" s="3"/>
      <c r="S67" s="3">
        <v>8102.0</v>
      </c>
      <c r="T67" s="3" t="s">
        <v>56</v>
      </c>
      <c r="U67" s="3">
        <v>8102.0</v>
      </c>
      <c r="V67" s="5">
        <f>VLOOKUP(Additional!$D67, 'Period of Exposures'!B:C, 2, FALSE)</f>
        <v>33</v>
      </c>
    </row>
    <row r="68" ht="15.75" customHeight="1">
      <c r="A68" s="3">
        <v>77.0</v>
      </c>
      <c r="B68" s="3" t="s">
        <v>23</v>
      </c>
      <c r="C68" s="3" t="s">
        <v>24</v>
      </c>
      <c r="D68" s="3" t="s">
        <v>25</v>
      </c>
      <c r="E68" s="3" t="s">
        <v>1826</v>
      </c>
      <c r="F68" s="3">
        <v>1761007.0</v>
      </c>
      <c r="G68" s="4">
        <v>46012.0</v>
      </c>
      <c r="H68" s="4">
        <v>46107.0</v>
      </c>
      <c r="I68" s="3" t="s">
        <v>671</v>
      </c>
      <c r="J68" s="3" t="s">
        <v>2287</v>
      </c>
      <c r="K68" s="3" t="s">
        <v>2288</v>
      </c>
      <c r="L68" s="3">
        <v>1.3053</v>
      </c>
      <c r="M68" s="3">
        <v>32632.5</v>
      </c>
      <c r="N68" s="3">
        <v>4.0</v>
      </c>
      <c r="O68" s="3">
        <v>195336.0</v>
      </c>
      <c r="P68" s="3"/>
      <c r="Q68" s="3">
        <v>1319155.0</v>
      </c>
      <c r="R68" s="3"/>
      <c r="S68" s="3">
        <v>26106.0</v>
      </c>
      <c r="T68" s="3" t="s">
        <v>56</v>
      </c>
      <c r="U68" s="3">
        <v>26106.0</v>
      </c>
      <c r="V68" s="5">
        <f>VLOOKUP(Additional!$D68, 'Period of Exposures'!B:C, 2, FALSE)</f>
        <v>33</v>
      </c>
    </row>
    <row r="69" ht="15.75" customHeight="1">
      <c r="A69" s="3">
        <v>78.0</v>
      </c>
      <c r="B69" s="3" t="s">
        <v>23</v>
      </c>
      <c r="C69" s="3" t="s">
        <v>24</v>
      </c>
      <c r="D69" s="3" t="s">
        <v>25</v>
      </c>
      <c r="E69" s="3" t="s">
        <v>1164</v>
      </c>
      <c r="F69" s="3">
        <v>1760492.0</v>
      </c>
      <c r="G69" s="4">
        <v>46011.0</v>
      </c>
      <c r="H69" s="4">
        <v>46106.0</v>
      </c>
      <c r="I69" s="3" t="s">
        <v>2317</v>
      </c>
      <c r="J69" s="3" t="s">
        <v>2318</v>
      </c>
      <c r="K69" s="3" t="s">
        <v>1563</v>
      </c>
      <c r="L69" s="3">
        <v>0.5</v>
      </c>
      <c r="M69" s="3">
        <v>12500.0</v>
      </c>
      <c r="N69" s="3">
        <v>4.0</v>
      </c>
      <c r="O69" s="3">
        <v>391960.0</v>
      </c>
      <c r="P69" s="3" t="s">
        <v>2319</v>
      </c>
      <c r="Q69" s="3">
        <v>1231578.0</v>
      </c>
      <c r="R69" s="3"/>
      <c r="S69" s="3">
        <v>10000.0</v>
      </c>
      <c r="T69" s="3" t="s">
        <v>56</v>
      </c>
      <c r="U69" s="3">
        <v>10000.0</v>
      </c>
      <c r="V69" s="5">
        <f>VLOOKUP(Additional!$D69, 'Period of Exposures'!B:C, 2, FALSE)</f>
        <v>33</v>
      </c>
    </row>
    <row r="70" ht="15.75" customHeight="1">
      <c r="A70" s="3">
        <v>79.0</v>
      </c>
      <c r="B70" s="3" t="s">
        <v>23</v>
      </c>
      <c r="C70" s="3" t="s">
        <v>24</v>
      </c>
      <c r="D70" s="3" t="s">
        <v>25</v>
      </c>
      <c r="E70" s="3" t="s">
        <v>1164</v>
      </c>
      <c r="F70" s="3">
        <v>1761010.0</v>
      </c>
      <c r="G70" s="4">
        <v>46017.0</v>
      </c>
      <c r="H70" s="4">
        <v>46110.0</v>
      </c>
      <c r="I70" s="3" t="s">
        <v>2348</v>
      </c>
      <c r="J70" s="3" t="s">
        <v>426</v>
      </c>
      <c r="K70" s="3" t="s">
        <v>2349</v>
      </c>
      <c r="L70" s="3">
        <v>1.4429</v>
      </c>
      <c r="M70" s="3">
        <v>36072.5</v>
      </c>
      <c r="N70" s="3">
        <v>4.0</v>
      </c>
      <c r="O70" s="3">
        <v>391157.0</v>
      </c>
      <c r="P70" s="3" t="s">
        <v>2350</v>
      </c>
      <c r="Q70" s="3">
        <v>1329820.0</v>
      </c>
      <c r="R70" s="3"/>
      <c r="S70" s="3">
        <v>28858.0</v>
      </c>
      <c r="T70" s="3" t="s">
        <v>56</v>
      </c>
      <c r="U70" s="3">
        <v>28858.0</v>
      </c>
      <c r="V70" s="5">
        <f>VLOOKUP(Additional!$D70, 'Period of Exposures'!B:C, 2, FALSE)</f>
        <v>33</v>
      </c>
    </row>
    <row r="71" ht="15.75" customHeight="1">
      <c r="A71" s="3">
        <v>80.0</v>
      </c>
      <c r="B71" s="3" t="s">
        <v>23</v>
      </c>
      <c r="C71" s="3" t="s">
        <v>24</v>
      </c>
      <c r="D71" s="3" t="s">
        <v>25</v>
      </c>
      <c r="E71" s="3" t="s">
        <v>1164</v>
      </c>
      <c r="F71" s="3">
        <v>1761008.0</v>
      </c>
      <c r="G71" s="4">
        <v>46013.0</v>
      </c>
      <c r="H71" s="4">
        <v>46108.0</v>
      </c>
      <c r="I71" s="3" t="s">
        <v>2082</v>
      </c>
      <c r="J71" s="3" t="s">
        <v>296</v>
      </c>
      <c r="K71" s="3" t="s">
        <v>2356</v>
      </c>
      <c r="L71" s="3">
        <v>1.007</v>
      </c>
      <c r="M71" s="3">
        <v>25175.0</v>
      </c>
      <c r="N71" s="3">
        <v>4.0</v>
      </c>
      <c r="O71" s="3">
        <v>131803.0</v>
      </c>
      <c r="P71" s="3"/>
      <c r="Q71" s="3">
        <v>1330915.0</v>
      </c>
      <c r="R71" s="3"/>
      <c r="S71" s="3">
        <v>20140.0</v>
      </c>
      <c r="T71" s="3" t="s">
        <v>56</v>
      </c>
      <c r="U71" s="3">
        <v>20140.0</v>
      </c>
      <c r="V71" s="5">
        <f>VLOOKUP(Additional!$D71, 'Period of Exposures'!B:C, 2, FALSE)</f>
        <v>33</v>
      </c>
    </row>
    <row r="72" ht="15.75" customHeight="1">
      <c r="A72" s="3">
        <v>81.0</v>
      </c>
      <c r="B72" s="3" t="s">
        <v>23</v>
      </c>
      <c r="C72" s="3" t="s">
        <v>24</v>
      </c>
      <c r="D72" s="3" t="s">
        <v>25</v>
      </c>
      <c r="E72" s="3" t="s">
        <v>1164</v>
      </c>
      <c r="F72" s="3">
        <v>1760491.0</v>
      </c>
      <c r="G72" s="4">
        <v>46013.0</v>
      </c>
      <c r="H72" s="4">
        <v>46110.0</v>
      </c>
      <c r="I72" s="3" t="s">
        <v>2082</v>
      </c>
      <c r="J72" s="3" t="s">
        <v>2387</v>
      </c>
      <c r="K72" s="3" t="s">
        <v>2388</v>
      </c>
      <c r="L72" s="3">
        <v>0.428</v>
      </c>
      <c r="M72" s="3">
        <v>10700.0</v>
      </c>
      <c r="N72" s="3">
        <v>4.0</v>
      </c>
      <c r="O72" s="3">
        <v>332030.0</v>
      </c>
      <c r="P72" s="3"/>
      <c r="Q72" s="3">
        <v>1276912.0</v>
      </c>
      <c r="R72" s="3"/>
      <c r="S72" s="3">
        <v>8560.0</v>
      </c>
      <c r="T72" s="3" t="s">
        <v>56</v>
      </c>
      <c r="U72" s="3">
        <v>8560.0</v>
      </c>
      <c r="V72" s="5">
        <f>VLOOKUP(Additional!$D72, 'Period of Exposures'!B:C, 2, FALSE)</f>
        <v>33</v>
      </c>
    </row>
    <row r="73" ht="15.75" customHeight="1">
      <c r="A73" s="3">
        <v>82.0</v>
      </c>
      <c r="B73" s="3" t="s">
        <v>23</v>
      </c>
      <c r="C73" s="3" t="s">
        <v>24</v>
      </c>
      <c r="D73" s="3" t="s">
        <v>25</v>
      </c>
      <c r="E73" s="3" t="s">
        <v>1164</v>
      </c>
      <c r="F73" s="3">
        <v>1760491.0</v>
      </c>
      <c r="G73" s="4">
        <v>46013.0</v>
      </c>
      <c r="H73" s="4">
        <v>46108.0</v>
      </c>
      <c r="I73" s="3" t="s">
        <v>2082</v>
      </c>
      <c r="J73" s="3" t="s">
        <v>2387</v>
      </c>
      <c r="K73" s="3" t="s">
        <v>2388</v>
      </c>
      <c r="L73" s="3">
        <v>0.4918</v>
      </c>
      <c r="M73" s="3">
        <v>12295.0</v>
      </c>
      <c r="N73" s="3">
        <v>4.0</v>
      </c>
      <c r="O73" s="3">
        <v>332030.0</v>
      </c>
      <c r="P73" s="3"/>
      <c r="Q73" s="3">
        <v>1276946.0</v>
      </c>
      <c r="R73" s="3"/>
      <c r="S73" s="3">
        <v>9836.0</v>
      </c>
      <c r="T73" s="3" t="s">
        <v>56</v>
      </c>
      <c r="U73" s="3">
        <v>9836.0</v>
      </c>
      <c r="V73" s="5">
        <f>VLOOKUP(Additional!$D73, 'Period of Exposures'!B:C, 2, FALSE)</f>
        <v>33</v>
      </c>
    </row>
    <row r="74" ht="15.75" customHeight="1">
      <c r="A74" s="3">
        <v>83.0</v>
      </c>
      <c r="B74" s="3" t="s">
        <v>23</v>
      </c>
      <c r="C74" s="3" t="s">
        <v>24</v>
      </c>
      <c r="D74" s="3" t="s">
        <v>25</v>
      </c>
      <c r="E74" s="3" t="s">
        <v>1164</v>
      </c>
      <c r="F74" s="3">
        <v>1760491.0</v>
      </c>
      <c r="G74" s="4">
        <v>46013.0</v>
      </c>
      <c r="H74" s="4">
        <v>46110.0</v>
      </c>
      <c r="I74" s="3" t="s">
        <v>2082</v>
      </c>
      <c r="J74" s="3" t="s">
        <v>2416</v>
      </c>
      <c r="K74" s="3" t="s">
        <v>254</v>
      </c>
      <c r="L74" s="3">
        <v>1.1139</v>
      </c>
      <c r="M74" s="3">
        <v>27847.5</v>
      </c>
      <c r="N74" s="3">
        <v>4.0</v>
      </c>
      <c r="O74" s="3">
        <v>297447.0</v>
      </c>
      <c r="P74" s="3" t="s">
        <v>2417</v>
      </c>
      <c r="Q74" s="3">
        <v>1276883.0</v>
      </c>
      <c r="R74" s="3"/>
      <c r="S74" s="3">
        <v>22278.0</v>
      </c>
      <c r="T74" s="3" t="s">
        <v>56</v>
      </c>
      <c r="U74" s="3">
        <v>22278.0</v>
      </c>
      <c r="V74" s="5">
        <f>VLOOKUP(Additional!$D74, 'Period of Exposures'!B:C, 2, FALSE)</f>
        <v>33</v>
      </c>
    </row>
    <row r="75" ht="15.75" customHeight="1">
      <c r="A75" s="3">
        <v>84.0</v>
      </c>
      <c r="B75" s="3" t="s">
        <v>23</v>
      </c>
      <c r="C75" s="3" t="s">
        <v>24</v>
      </c>
      <c r="D75" s="3" t="s">
        <v>25</v>
      </c>
      <c r="E75" s="3" t="s">
        <v>594</v>
      </c>
      <c r="F75" s="3">
        <v>1760481.0</v>
      </c>
      <c r="G75" s="4">
        <v>46016.0</v>
      </c>
      <c r="H75" s="4">
        <v>46111.0</v>
      </c>
      <c r="I75" s="3" t="s">
        <v>2457</v>
      </c>
      <c r="J75" s="3" t="s">
        <v>912</v>
      </c>
      <c r="K75" s="3" t="s">
        <v>2166</v>
      </c>
      <c r="L75" s="3">
        <v>1.8559</v>
      </c>
      <c r="M75" s="3">
        <v>46397.5</v>
      </c>
      <c r="N75" s="3">
        <v>4.0</v>
      </c>
      <c r="O75" s="3">
        <v>128796.0</v>
      </c>
      <c r="P75" s="3" t="s">
        <v>2458</v>
      </c>
      <c r="Q75" s="3">
        <v>1326036.0</v>
      </c>
      <c r="R75" s="3"/>
      <c r="S75" s="3">
        <v>37118.0</v>
      </c>
      <c r="T75" s="3" t="s">
        <v>56</v>
      </c>
      <c r="U75" s="3">
        <v>37118.0</v>
      </c>
      <c r="V75" s="5">
        <f>VLOOKUP(Additional!$D75, 'Period of Exposures'!B:C, 2, FALSE)</f>
        <v>33</v>
      </c>
    </row>
    <row r="76" ht="15.75" customHeight="1">
      <c r="A76" s="3">
        <v>85.0</v>
      </c>
      <c r="B76" s="3" t="s">
        <v>23</v>
      </c>
      <c r="C76" s="3" t="s">
        <v>24</v>
      </c>
      <c r="D76" s="3" t="s">
        <v>25</v>
      </c>
      <c r="E76" s="3" t="s">
        <v>1374</v>
      </c>
      <c r="F76" s="3">
        <v>1760463.0</v>
      </c>
      <c r="G76" s="4">
        <v>46007.0</v>
      </c>
      <c r="H76" s="4">
        <v>46102.0</v>
      </c>
      <c r="I76" s="3" t="s">
        <v>1376</v>
      </c>
      <c r="J76" s="3" t="s">
        <v>2077</v>
      </c>
      <c r="K76" s="3" t="s">
        <v>2482</v>
      </c>
      <c r="L76" s="3">
        <v>2.0</v>
      </c>
      <c r="M76" s="3">
        <v>50000.0</v>
      </c>
      <c r="N76" s="3">
        <v>4.0</v>
      </c>
      <c r="O76" s="3">
        <v>87174.0</v>
      </c>
      <c r="P76" s="3" t="s">
        <v>2483</v>
      </c>
      <c r="Q76" s="3">
        <v>1319185.0</v>
      </c>
      <c r="R76" s="3"/>
      <c r="S76" s="3">
        <v>40000.0</v>
      </c>
      <c r="T76" s="3" t="s">
        <v>56</v>
      </c>
      <c r="U76" s="3">
        <v>40000.0</v>
      </c>
      <c r="V76" s="5">
        <f>VLOOKUP(Additional!$D76, 'Period of Exposures'!B:C, 2, FALSE)</f>
        <v>33</v>
      </c>
    </row>
    <row r="77" ht="15.75" customHeight="1">
      <c r="A77" s="3">
        <v>86.0</v>
      </c>
      <c r="B77" s="3" t="s">
        <v>23</v>
      </c>
      <c r="C77" s="3" t="s">
        <v>24</v>
      </c>
      <c r="D77" s="3" t="s">
        <v>25</v>
      </c>
      <c r="E77" s="3" t="s">
        <v>781</v>
      </c>
      <c r="F77" s="3">
        <v>1760464.0</v>
      </c>
      <c r="G77" s="4">
        <v>46011.0</v>
      </c>
      <c r="H77" s="4">
        <v>46106.0</v>
      </c>
      <c r="I77" s="3" t="s">
        <v>2484</v>
      </c>
      <c r="J77" s="3" t="s">
        <v>2485</v>
      </c>
      <c r="K77" s="3" t="s">
        <v>658</v>
      </c>
      <c r="L77" s="3">
        <v>0.62</v>
      </c>
      <c r="M77" s="3">
        <v>15500.0</v>
      </c>
      <c r="N77" s="3">
        <v>4.0</v>
      </c>
      <c r="O77" s="3">
        <v>309477.0</v>
      </c>
      <c r="P77" s="3" t="s">
        <v>2486</v>
      </c>
      <c r="Q77" s="3">
        <v>1321545.0</v>
      </c>
      <c r="R77" s="3"/>
      <c r="S77" s="3">
        <v>12400.0</v>
      </c>
      <c r="T77" s="3" t="s">
        <v>56</v>
      </c>
      <c r="U77" s="3">
        <v>12400.0</v>
      </c>
      <c r="V77" s="5">
        <f>VLOOKUP(Additional!$D77, 'Period of Exposures'!B:C, 2, FALSE)</f>
        <v>33</v>
      </c>
    </row>
    <row r="78" ht="15.75" customHeight="1">
      <c r="A78" s="3">
        <v>87.0</v>
      </c>
      <c r="B78" s="3" t="s">
        <v>23</v>
      </c>
      <c r="C78" s="3" t="s">
        <v>24</v>
      </c>
      <c r="D78" s="3" t="s">
        <v>25</v>
      </c>
      <c r="E78" s="3" t="s">
        <v>1164</v>
      </c>
      <c r="F78" s="3">
        <v>1760491.0</v>
      </c>
      <c r="G78" s="4">
        <v>46011.0</v>
      </c>
      <c r="H78" s="4">
        <v>46109.0</v>
      </c>
      <c r="I78" s="3" t="s">
        <v>2505</v>
      </c>
      <c r="J78" s="3" t="s">
        <v>2506</v>
      </c>
      <c r="K78" s="3" t="s">
        <v>613</v>
      </c>
      <c r="L78" s="3">
        <v>0.3304</v>
      </c>
      <c r="M78" s="3">
        <v>8260.0</v>
      </c>
      <c r="N78" s="3">
        <v>4.0</v>
      </c>
      <c r="O78" s="3">
        <v>370061.0</v>
      </c>
      <c r="P78" s="3" t="s">
        <v>2507</v>
      </c>
      <c r="Q78" s="3">
        <v>1328099.0</v>
      </c>
      <c r="R78" s="3"/>
      <c r="S78" s="3">
        <v>6608.0</v>
      </c>
      <c r="T78" s="3" t="s">
        <v>56</v>
      </c>
      <c r="U78" s="3">
        <v>6608.0</v>
      </c>
      <c r="V78" s="5">
        <f>VLOOKUP(Additional!$D78, 'Period of Exposures'!B:C, 2, FALSE)</f>
        <v>33</v>
      </c>
    </row>
    <row r="79" ht="15.75" customHeight="1">
      <c r="A79" s="3">
        <v>88.0</v>
      </c>
      <c r="B79" s="3" t="s">
        <v>1213</v>
      </c>
      <c r="C79" s="3" t="s">
        <v>24</v>
      </c>
      <c r="D79" s="3" t="s">
        <v>25</v>
      </c>
      <c r="E79" s="3" t="s">
        <v>348</v>
      </c>
      <c r="F79" s="3">
        <v>1760484.0</v>
      </c>
      <c r="G79" s="4">
        <v>46009.0</v>
      </c>
      <c r="H79" s="4">
        <v>46104.0</v>
      </c>
      <c r="I79" s="3" t="s">
        <v>2563</v>
      </c>
      <c r="J79" s="3" t="s">
        <v>2564</v>
      </c>
      <c r="K79" s="3" t="s">
        <v>2565</v>
      </c>
      <c r="L79" s="3">
        <v>1.3743</v>
      </c>
      <c r="M79" s="3">
        <v>60000.0</v>
      </c>
      <c r="N79" s="3">
        <v>4.0</v>
      </c>
      <c r="O79" s="3">
        <v>17150.0</v>
      </c>
      <c r="P79" s="3"/>
      <c r="Q79" s="3">
        <v>1050920.0</v>
      </c>
      <c r="R79" s="3"/>
      <c r="S79" s="3">
        <v>48000.0</v>
      </c>
      <c r="T79" s="3" t="s">
        <v>56</v>
      </c>
      <c r="U79" s="3">
        <v>48000.0</v>
      </c>
      <c r="V79" s="5">
        <f>VLOOKUP(Additional!$D79, 'Period of Exposures'!B:C, 2, FALSE)</f>
        <v>33</v>
      </c>
    </row>
    <row r="80" ht="15.75" customHeight="1">
      <c r="A80" s="3">
        <v>89.0</v>
      </c>
      <c r="B80" s="3" t="s">
        <v>1213</v>
      </c>
      <c r="C80" s="3" t="s">
        <v>24</v>
      </c>
      <c r="D80" s="3" t="s">
        <v>25</v>
      </c>
      <c r="E80" s="3" t="s">
        <v>348</v>
      </c>
      <c r="F80" s="3">
        <v>1760484.0</v>
      </c>
      <c r="G80" s="4">
        <v>46009.0</v>
      </c>
      <c r="H80" s="4">
        <v>46104.0</v>
      </c>
      <c r="I80" s="3" t="s">
        <v>2592</v>
      </c>
      <c r="J80" s="3" t="s">
        <v>2593</v>
      </c>
      <c r="K80" s="3" t="s">
        <v>2594</v>
      </c>
      <c r="L80" s="3">
        <v>0.5</v>
      </c>
      <c r="M80" s="3">
        <v>20000.0</v>
      </c>
      <c r="N80" s="3">
        <v>4.0</v>
      </c>
      <c r="O80" s="3">
        <v>490343.0</v>
      </c>
      <c r="P80" s="3"/>
      <c r="Q80" s="3">
        <v>1199119.0</v>
      </c>
      <c r="R80" s="3"/>
      <c r="S80" s="3">
        <v>16000.0</v>
      </c>
      <c r="T80" s="3" t="s">
        <v>56</v>
      </c>
      <c r="U80" s="3">
        <v>16000.0</v>
      </c>
      <c r="V80" s="5">
        <f>VLOOKUP(Additional!$D80, 'Period of Exposures'!B:C, 2, FALSE)</f>
        <v>33</v>
      </c>
    </row>
    <row r="81" ht="15.75" customHeight="1">
      <c r="A81" s="3">
        <v>90.0</v>
      </c>
      <c r="B81" s="3" t="s">
        <v>23</v>
      </c>
      <c r="C81" s="3" t="s">
        <v>24</v>
      </c>
      <c r="D81" s="3" t="s">
        <v>25</v>
      </c>
      <c r="E81" s="3" t="s">
        <v>1164</v>
      </c>
      <c r="F81" s="3">
        <v>1760492.0</v>
      </c>
      <c r="G81" s="4">
        <v>46012.0</v>
      </c>
      <c r="H81" s="4">
        <v>46107.0</v>
      </c>
      <c r="I81" s="3" t="s">
        <v>610</v>
      </c>
      <c r="J81" s="3" t="s">
        <v>681</v>
      </c>
      <c r="K81" s="3" t="s">
        <v>968</v>
      </c>
      <c r="L81" s="3">
        <v>1.004</v>
      </c>
      <c r="M81" s="3">
        <v>25100.0</v>
      </c>
      <c r="N81" s="3">
        <v>4.0</v>
      </c>
      <c r="O81" s="3">
        <v>435757.0</v>
      </c>
      <c r="P81" s="3" t="s">
        <v>2595</v>
      </c>
      <c r="Q81" s="3">
        <v>1113873.0</v>
      </c>
      <c r="R81" s="3"/>
      <c r="S81" s="3">
        <v>20080.0</v>
      </c>
      <c r="T81" s="3" t="s">
        <v>56</v>
      </c>
      <c r="U81" s="3">
        <v>20080.0</v>
      </c>
      <c r="V81" s="5">
        <f>VLOOKUP(Additional!$D81, 'Period of Exposures'!B:C, 2, FALSE)</f>
        <v>33</v>
      </c>
    </row>
    <row r="82" ht="15.75" customHeight="1">
      <c r="A82" s="3">
        <v>91.0</v>
      </c>
      <c r="B82" s="3" t="s">
        <v>23</v>
      </c>
      <c r="C82" s="3" t="s">
        <v>24</v>
      </c>
      <c r="D82" s="3" t="s">
        <v>25</v>
      </c>
      <c r="E82" s="3" t="s">
        <v>1374</v>
      </c>
      <c r="F82" s="3">
        <v>1760463.0</v>
      </c>
      <c r="G82" s="4">
        <v>46009.0</v>
      </c>
      <c r="H82" s="4">
        <v>46104.0</v>
      </c>
      <c r="I82" s="3" t="s">
        <v>2602</v>
      </c>
      <c r="J82" s="3" t="s">
        <v>1199</v>
      </c>
      <c r="K82" s="3"/>
      <c r="L82" s="3">
        <v>2.0</v>
      </c>
      <c r="M82" s="3">
        <v>50000.0</v>
      </c>
      <c r="N82" s="3">
        <v>4.0</v>
      </c>
      <c r="O82" s="3">
        <v>102215.0</v>
      </c>
      <c r="P82" s="3" t="s">
        <v>2603</v>
      </c>
      <c r="Q82" s="3">
        <v>1276269.0</v>
      </c>
      <c r="R82" s="3"/>
      <c r="S82" s="3">
        <v>40000.0</v>
      </c>
      <c r="T82" s="3" t="s">
        <v>56</v>
      </c>
      <c r="U82" s="3">
        <v>40000.0</v>
      </c>
      <c r="V82" s="5">
        <f>VLOOKUP(Additional!$D82, 'Period of Exposures'!B:C, 2, FALSE)</f>
        <v>33</v>
      </c>
    </row>
    <row r="83" ht="15.75" customHeight="1">
      <c r="A83" s="3">
        <v>92.0</v>
      </c>
      <c r="B83" s="3" t="s">
        <v>1776</v>
      </c>
      <c r="C83" s="3" t="s">
        <v>24</v>
      </c>
      <c r="D83" s="3" t="s">
        <v>25</v>
      </c>
      <c r="E83" s="3" t="s">
        <v>1374</v>
      </c>
      <c r="F83" s="3">
        <v>1760471.0</v>
      </c>
      <c r="G83" s="4">
        <v>46008.0</v>
      </c>
      <c r="H83" s="4">
        <v>46103.0</v>
      </c>
      <c r="I83" s="3" t="s">
        <v>2626</v>
      </c>
      <c r="J83" s="3" t="s">
        <v>2673</v>
      </c>
      <c r="K83" s="3" t="s">
        <v>1344</v>
      </c>
      <c r="L83" s="3">
        <v>0.339</v>
      </c>
      <c r="M83" s="3">
        <v>6780.0</v>
      </c>
      <c r="N83" s="3">
        <v>4.0</v>
      </c>
      <c r="O83" s="3">
        <v>476882.0</v>
      </c>
      <c r="P83" s="3"/>
      <c r="Q83" s="3">
        <v>1324334.0</v>
      </c>
      <c r="R83" s="3"/>
      <c r="S83" s="3">
        <v>5424.0</v>
      </c>
      <c r="T83" s="3" t="s">
        <v>56</v>
      </c>
      <c r="U83" s="3">
        <v>5424.0</v>
      </c>
      <c r="V83" s="5">
        <f>VLOOKUP(Additional!$D83, 'Period of Exposures'!B:C, 2, FALSE)</f>
        <v>33</v>
      </c>
    </row>
    <row r="84" ht="15.75" customHeight="1">
      <c r="A84" s="3">
        <v>93.0</v>
      </c>
      <c r="B84" s="3" t="s">
        <v>23</v>
      </c>
      <c r="C84" s="3" t="s">
        <v>24</v>
      </c>
      <c r="D84" s="3" t="s">
        <v>25</v>
      </c>
      <c r="E84" s="3" t="s">
        <v>1164</v>
      </c>
      <c r="F84" s="3">
        <v>1760492.0</v>
      </c>
      <c r="G84" s="4">
        <v>46014.0</v>
      </c>
      <c r="H84" s="4">
        <v>46109.0</v>
      </c>
      <c r="I84" s="3" t="s">
        <v>2684</v>
      </c>
      <c r="J84" s="3" t="s">
        <v>2685</v>
      </c>
      <c r="K84" s="3" t="s">
        <v>1601</v>
      </c>
      <c r="L84" s="3">
        <v>0.2003</v>
      </c>
      <c r="M84" s="3">
        <v>5007.5</v>
      </c>
      <c r="N84" s="3">
        <v>4.0</v>
      </c>
      <c r="O84" s="3">
        <v>332025.0</v>
      </c>
      <c r="P84" s="3" t="s">
        <v>2686</v>
      </c>
      <c r="Q84" s="3">
        <v>1231345.0</v>
      </c>
      <c r="R84" s="3"/>
      <c r="S84" s="3">
        <v>4006.0</v>
      </c>
      <c r="T84" s="3" t="s">
        <v>56</v>
      </c>
      <c r="U84" s="3">
        <v>4006.0</v>
      </c>
      <c r="V84" s="5">
        <f>VLOOKUP(Additional!$D84, 'Period of Exposures'!B:C, 2, FALSE)</f>
        <v>33</v>
      </c>
    </row>
    <row r="85" ht="15.75" customHeight="1">
      <c r="A85" s="3">
        <v>94.0</v>
      </c>
      <c r="B85" s="3" t="s">
        <v>23</v>
      </c>
      <c r="C85" s="3" t="s">
        <v>24</v>
      </c>
      <c r="D85" s="3" t="s">
        <v>25</v>
      </c>
      <c r="E85" s="3" t="s">
        <v>1164</v>
      </c>
      <c r="F85" s="3">
        <v>1760492.0</v>
      </c>
      <c r="G85" s="4">
        <v>46014.0</v>
      </c>
      <c r="H85" s="4">
        <v>46109.0</v>
      </c>
      <c r="I85" s="3" t="s">
        <v>2684</v>
      </c>
      <c r="J85" s="3" t="s">
        <v>629</v>
      </c>
      <c r="K85" s="3" t="s">
        <v>2797</v>
      </c>
      <c r="L85" s="3">
        <v>0.3931</v>
      </c>
      <c r="M85" s="3">
        <v>9827.5</v>
      </c>
      <c r="N85" s="3">
        <v>4.0</v>
      </c>
      <c r="O85" s="3">
        <v>447442.0</v>
      </c>
      <c r="P85" s="3" t="s">
        <v>2823</v>
      </c>
      <c r="Q85" s="3">
        <v>1231569.0</v>
      </c>
      <c r="R85" s="3"/>
      <c r="S85" s="3">
        <v>7862.0</v>
      </c>
      <c r="T85" s="3" t="s">
        <v>56</v>
      </c>
      <c r="U85" s="3">
        <v>7862.0</v>
      </c>
      <c r="V85" s="5">
        <f>VLOOKUP(Additional!$D85, 'Period of Exposures'!B:C, 2, FALSE)</f>
        <v>33</v>
      </c>
    </row>
    <row r="86" ht="15.75" customHeight="1">
      <c r="A86" s="3">
        <v>95.0</v>
      </c>
      <c r="B86" s="3" t="s">
        <v>23</v>
      </c>
      <c r="C86" s="3" t="s">
        <v>24</v>
      </c>
      <c r="D86" s="3" t="s">
        <v>25</v>
      </c>
      <c r="E86" s="3" t="s">
        <v>1164</v>
      </c>
      <c r="F86" s="3">
        <v>1760491.0</v>
      </c>
      <c r="G86" s="4">
        <v>46011.0</v>
      </c>
      <c r="H86" s="4">
        <v>46109.0</v>
      </c>
      <c r="I86" s="3" t="s">
        <v>2265</v>
      </c>
      <c r="J86" s="3" t="s">
        <v>2824</v>
      </c>
      <c r="K86" s="3" t="s">
        <v>1481</v>
      </c>
      <c r="L86" s="3">
        <v>0.2492</v>
      </c>
      <c r="M86" s="3">
        <v>6230.0</v>
      </c>
      <c r="N86" s="3">
        <v>4.0</v>
      </c>
      <c r="O86" s="3">
        <v>435762.0</v>
      </c>
      <c r="P86" s="3" t="s">
        <v>2825</v>
      </c>
      <c r="Q86" s="3">
        <v>1328105.0</v>
      </c>
      <c r="R86" s="3"/>
      <c r="S86" s="3">
        <v>4984.0</v>
      </c>
      <c r="T86" s="3" t="s">
        <v>56</v>
      </c>
      <c r="U86" s="3">
        <v>4984.0</v>
      </c>
      <c r="V86" s="5">
        <f>VLOOKUP(Additional!$D86, 'Period of Exposures'!B:C, 2, FALSE)</f>
        <v>33</v>
      </c>
    </row>
    <row r="87" ht="15.75" customHeight="1">
      <c r="A87" s="3">
        <v>96.0</v>
      </c>
      <c r="B87" s="3" t="s">
        <v>23</v>
      </c>
      <c r="C87" s="3" t="s">
        <v>24</v>
      </c>
      <c r="D87" s="3" t="s">
        <v>25</v>
      </c>
      <c r="E87" s="3" t="s">
        <v>1164</v>
      </c>
      <c r="F87" s="3">
        <v>1760491.0</v>
      </c>
      <c r="G87" s="4">
        <v>46013.0</v>
      </c>
      <c r="H87" s="4">
        <v>46111.0</v>
      </c>
      <c r="I87" s="3" t="s">
        <v>613</v>
      </c>
      <c r="J87" s="3" t="s">
        <v>2826</v>
      </c>
      <c r="K87" s="3" t="s">
        <v>2827</v>
      </c>
      <c r="L87" s="3">
        <v>0.5985</v>
      </c>
      <c r="M87" s="3">
        <v>14962.5</v>
      </c>
      <c r="N87" s="3">
        <v>4.0</v>
      </c>
      <c r="O87" s="3">
        <v>332045.0</v>
      </c>
      <c r="P87" s="3" t="s">
        <v>2828</v>
      </c>
      <c r="Q87" s="3">
        <v>1113919.0</v>
      </c>
      <c r="R87" s="3"/>
      <c r="S87" s="3">
        <v>11970.0</v>
      </c>
      <c r="T87" s="3" t="s">
        <v>56</v>
      </c>
      <c r="U87" s="3">
        <v>11970.0</v>
      </c>
      <c r="V87" s="5">
        <f>VLOOKUP(Additional!$D87, 'Period of Exposures'!B:C, 2, FALSE)</f>
        <v>33</v>
      </c>
    </row>
    <row r="88" ht="15.75" customHeight="1">
      <c r="A88" s="3">
        <v>97.0</v>
      </c>
      <c r="B88" s="3" t="s">
        <v>23</v>
      </c>
      <c r="C88" s="3" t="s">
        <v>24</v>
      </c>
      <c r="D88" s="3" t="s">
        <v>25</v>
      </c>
      <c r="E88" s="3" t="s">
        <v>1164</v>
      </c>
      <c r="F88" s="3">
        <v>1760491.0</v>
      </c>
      <c r="G88" s="4">
        <v>46012.0</v>
      </c>
      <c r="H88" s="4">
        <v>46111.0</v>
      </c>
      <c r="I88" s="3" t="s">
        <v>613</v>
      </c>
      <c r="J88" s="3" t="s">
        <v>2829</v>
      </c>
      <c r="K88" s="3" t="s">
        <v>2830</v>
      </c>
      <c r="L88" s="3">
        <v>0.3287</v>
      </c>
      <c r="M88" s="3">
        <v>8217.5</v>
      </c>
      <c r="N88" s="3">
        <v>4.0</v>
      </c>
      <c r="O88" s="3">
        <v>315197.0</v>
      </c>
      <c r="P88" s="3" t="s">
        <v>2831</v>
      </c>
      <c r="Q88" s="3">
        <v>1232125.0</v>
      </c>
      <c r="R88" s="3"/>
      <c r="S88" s="3">
        <v>6574.0</v>
      </c>
      <c r="T88" s="3" t="s">
        <v>56</v>
      </c>
      <c r="U88" s="3">
        <v>6574.0</v>
      </c>
      <c r="V88" s="5">
        <f>VLOOKUP(Additional!$D88, 'Period of Exposures'!B:C, 2, FALSE)</f>
        <v>33</v>
      </c>
    </row>
    <row r="89" ht="15.75" customHeight="1">
      <c r="A89" s="3">
        <v>98.0</v>
      </c>
      <c r="B89" s="3" t="s">
        <v>23</v>
      </c>
      <c r="C89" s="3" t="s">
        <v>24</v>
      </c>
      <c r="D89" s="3" t="s">
        <v>25</v>
      </c>
      <c r="E89" s="3" t="s">
        <v>1164</v>
      </c>
      <c r="F89" s="3">
        <v>1760492.0</v>
      </c>
      <c r="G89" s="4">
        <v>46012.0</v>
      </c>
      <c r="H89" s="4">
        <v>46107.0</v>
      </c>
      <c r="I89" s="3" t="s">
        <v>613</v>
      </c>
      <c r="J89" s="3" t="s">
        <v>114</v>
      </c>
      <c r="K89" s="3" t="s">
        <v>1481</v>
      </c>
      <c r="L89" s="3">
        <v>0.1072</v>
      </c>
      <c r="M89" s="3">
        <v>2680.0</v>
      </c>
      <c r="N89" s="3">
        <v>4.0</v>
      </c>
      <c r="O89" s="3">
        <v>315188.0</v>
      </c>
      <c r="P89" s="3" t="s">
        <v>2867</v>
      </c>
      <c r="Q89" s="3">
        <v>1231336.0</v>
      </c>
      <c r="R89" s="3"/>
      <c r="S89" s="3">
        <v>2144.0</v>
      </c>
      <c r="T89" s="3" t="s">
        <v>56</v>
      </c>
      <c r="U89" s="3">
        <v>2144.0</v>
      </c>
      <c r="V89" s="5">
        <f>VLOOKUP(Additional!$D89, 'Period of Exposures'!B:C, 2, FALSE)</f>
        <v>33</v>
      </c>
    </row>
    <row r="90" ht="15.75" customHeight="1">
      <c r="A90" s="3">
        <v>99.0</v>
      </c>
      <c r="B90" s="3" t="s">
        <v>23</v>
      </c>
      <c r="C90" s="3" t="s">
        <v>24</v>
      </c>
      <c r="D90" s="3" t="s">
        <v>25</v>
      </c>
      <c r="E90" s="3" t="s">
        <v>1164</v>
      </c>
      <c r="F90" s="3">
        <v>1760492.0</v>
      </c>
      <c r="G90" s="4">
        <v>46012.0</v>
      </c>
      <c r="H90" s="4">
        <v>46107.0</v>
      </c>
      <c r="I90" s="3" t="s">
        <v>613</v>
      </c>
      <c r="J90" s="3" t="s">
        <v>114</v>
      </c>
      <c r="K90" s="3" t="s">
        <v>1481</v>
      </c>
      <c r="L90" s="3">
        <v>0.3592</v>
      </c>
      <c r="M90" s="3">
        <v>8980.0</v>
      </c>
      <c r="N90" s="3">
        <v>4.0</v>
      </c>
      <c r="O90" s="3">
        <v>315188.0</v>
      </c>
      <c r="P90" s="3" t="s">
        <v>2867</v>
      </c>
      <c r="Q90" s="3">
        <v>1277201.0</v>
      </c>
      <c r="R90" s="3"/>
      <c r="S90" s="3">
        <v>7184.0</v>
      </c>
      <c r="T90" s="3" t="s">
        <v>56</v>
      </c>
      <c r="U90" s="3">
        <v>7184.0</v>
      </c>
      <c r="V90" s="5">
        <f>VLOOKUP(Additional!$D90, 'Period of Exposures'!B:C, 2, FALSE)</f>
        <v>33</v>
      </c>
    </row>
    <row r="91" ht="15.75" customHeight="1">
      <c r="A91" s="3">
        <v>100.0</v>
      </c>
      <c r="B91" s="3" t="s">
        <v>23</v>
      </c>
      <c r="C91" s="3" t="s">
        <v>24</v>
      </c>
      <c r="D91" s="3" t="s">
        <v>25</v>
      </c>
      <c r="E91" s="3" t="s">
        <v>1164</v>
      </c>
      <c r="F91" s="3">
        <v>1760491.0</v>
      </c>
      <c r="G91" s="4">
        <v>46012.0</v>
      </c>
      <c r="H91" s="4">
        <v>46109.0</v>
      </c>
      <c r="I91" s="3" t="s">
        <v>613</v>
      </c>
      <c r="J91" s="3" t="s">
        <v>114</v>
      </c>
      <c r="K91" s="3" t="s">
        <v>1481</v>
      </c>
      <c r="L91" s="3">
        <v>0.4426</v>
      </c>
      <c r="M91" s="3">
        <v>11065.0</v>
      </c>
      <c r="N91" s="3">
        <v>4.0</v>
      </c>
      <c r="O91" s="3">
        <v>315188.0</v>
      </c>
      <c r="P91" s="3" t="s">
        <v>2867</v>
      </c>
      <c r="Q91" s="3">
        <v>1328472.0</v>
      </c>
      <c r="R91" s="3"/>
      <c r="S91" s="3">
        <v>8852.0</v>
      </c>
      <c r="T91" s="3" t="s">
        <v>56</v>
      </c>
      <c r="U91" s="3">
        <v>8852.0</v>
      </c>
      <c r="V91" s="5">
        <f>VLOOKUP(Additional!$D91, 'Period of Exposures'!B:C, 2, FALSE)</f>
        <v>33</v>
      </c>
    </row>
    <row r="92" ht="15.75" customHeight="1">
      <c r="A92" s="3">
        <v>101.0</v>
      </c>
      <c r="B92" s="3" t="s">
        <v>23</v>
      </c>
      <c r="C92" s="3" t="s">
        <v>24</v>
      </c>
      <c r="D92" s="3" t="s">
        <v>25</v>
      </c>
      <c r="E92" s="3" t="s">
        <v>1164</v>
      </c>
      <c r="F92" s="3">
        <v>1760491.0</v>
      </c>
      <c r="G92" s="4">
        <v>46013.0</v>
      </c>
      <c r="H92" s="4">
        <v>46110.0</v>
      </c>
      <c r="I92" s="3" t="s">
        <v>613</v>
      </c>
      <c r="J92" s="3" t="s">
        <v>2889</v>
      </c>
      <c r="K92" s="3" t="s">
        <v>545</v>
      </c>
      <c r="L92" s="3">
        <v>0.5745</v>
      </c>
      <c r="M92" s="3">
        <v>14362.5</v>
      </c>
      <c r="N92" s="3">
        <v>4.0</v>
      </c>
      <c r="O92" s="3">
        <v>365906.0</v>
      </c>
      <c r="P92" s="3" t="s">
        <v>2890</v>
      </c>
      <c r="Q92" s="3">
        <v>1276969.0</v>
      </c>
      <c r="R92" s="3"/>
      <c r="S92" s="3">
        <v>11490.0</v>
      </c>
      <c r="T92" s="3" t="s">
        <v>56</v>
      </c>
      <c r="U92" s="3">
        <v>11490.0</v>
      </c>
      <c r="V92" s="5">
        <f>VLOOKUP(Additional!$D92, 'Period of Exposures'!B:C, 2, FALSE)</f>
        <v>33</v>
      </c>
    </row>
    <row r="93" ht="15.75" customHeight="1">
      <c r="A93" s="3">
        <v>102.0</v>
      </c>
      <c r="B93" s="3" t="s">
        <v>23</v>
      </c>
      <c r="C93" s="3" t="s">
        <v>24</v>
      </c>
      <c r="D93" s="3" t="s">
        <v>25</v>
      </c>
      <c r="E93" s="3" t="s">
        <v>637</v>
      </c>
      <c r="F93" s="3">
        <v>1760465.0</v>
      </c>
      <c r="G93" s="4">
        <v>46007.0</v>
      </c>
      <c r="H93" s="4">
        <v>46102.0</v>
      </c>
      <c r="I93" s="3" t="s">
        <v>2956</v>
      </c>
      <c r="J93" s="3" t="s">
        <v>2957</v>
      </c>
      <c r="K93" s="3" t="s">
        <v>2958</v>
      </c>
      <c r="L93" s="3">
        <v>0.3627</v>
      </c>
      <c r="M93" s="3">
        <v>9067.5</v>
      </c>
      <c r="N93" s="3">
        <v>4.0</v>
      </c>
      <c r="O93" s="3">
        <v>5153.0</v>
      </c>
      <c r="P93" s="3"/>
      <c r="Q93" s="3">
        <v>1027885.0</v>
      </c>
      <c r="R93" s="3"/>
      <c r="S93" s="3">
        <v>7254.0</v>
      </c>
      <c r="T93" s="3" t="s">
        <v>56</v>
      </c>
      <c r="U93" s="3">
        <v>7254.0</v>
      </c>
      <c r="V93" s="5">
        <f>VLOOKUP(Additional!$D93, 'Period of Exposures'!B:C, 2, FALSE)</f>
        <v>33</v>
      </c>
    </row>
    <row r="94" ht="15.75" customHeight="1">
      <c r="A94" s="3">
        <v>103.0</v>
      </c>
      <c r="B94" s="3" t="s">
        <v>23</v>
      </c>
      <c r="C94" s="3" t="s">
        <v>24</v>
      </c>
      <c r="D94" s="3" t="s">
        <v>25</v>
      </c>
      <c r="E94" s="3" t="s">
        <v>1374</v>
      </c>
      <c r="F94" s="3">
        <v>1760468.0</v>
      </c>
      <c r="G94" s="4">
        <v>46020.0</v>
      </c>
      <c r="H94" s="4">
        <v>46111.0</v>
      </c>
      <c r="I94" s="3" t="s">
        <v>3013</v>
      </c>
      <c r="J94" s="3" t="s">
        <v>3014</v>
      </c>
      <c r="K94" s="3" t="s">
        <v>3015</v>
      </c>
      <c r="L94" s="3">
        <v>0.2634</v>
      </c>
      <c r="M94" s="3">
        <v>6585.0</v>
      </c>
      <c r="N94" s="3">
        <v>4.0</v>
      </c>
      <c r="O94" s="3">
        <v>431205.0</v>
      </c>
      <c r="P94" s="3" t="s">
        <v>3016</v>
      </c>
      <c r="Q94" s="3">
        <v>1133114.0</v>
      </c>
      <c r="R94" s="3"/>
      <c r="S94" s="3">
        <v>5268.0</v>
      </c>
      <c r="T94" s="3" t="s">
        <v>56</v>
      </c>
      <c r="U94" s="3">
        <v>5268.0</v>
      </c>
      <c r="V94" s="5">
        <f>VLOOKUP(Additional!$D94, 'Period of Exposures'!B:C, 2, FALSE)</f>
        <v>33</v>
      </c>
    </row>
    <row r="95" ht="15.75" customHeight="1">
      <c r="A95" s="3">
        <v>104.0</v>
      </c>
      <c r="B95" s="3" t="s">
        <v>23</v>
      </c>
      <c r="C95" s="3" t="s">
        <v>24</v>
      </c>
      <c r="D95" s="3" t="s">
        <v>25</v>
      </c>
      <c r="E95" s="3" t="s">
        <v>637</v>
      </c>
      <c r="F95" s="3">
        <v>1760465.0</v>
      </c>
      <c r="G95" s="4">
        <v>46012.0</v>
      </c>
      <c r="H95" s="4">
        <v>46107.0</v>
      </c>
      <c r="I95" s="3" t="s">
        <v>3028</v>
      </c>
      <c r="J95" s="3" t="s">
        <v>3029</v>
      </c>
      <c r="K95" s="3" t="s">
        <v>1443</v>
      </c>
      <c r="L95" s="3">
        <v>0.4598</v>
      </c>
      <c r="M95" s="3">
        <v>11495.0</v>
      </c>
      <c r="N95" s="3">
        <v>4.0</v>
      </c>
      <c r="O95" s="3">
        <v>140471.0</v>
      </c>
      <c r="P95" s="3"/>
      <c r="Q95" s="3">
        <v>1318795.0</v>
      </c>
      <c r="R95" s="3"/>
      <c r="S95" s="3">
        <v>9196.0</v>
      </c>
      <c r="T95" s="3" t="s">
        <v>56</v>
      </c>
      <c r="U95" s="3">
        <v>9196.0</v>
      </c>
      <c r="V95" s="5">
        <f>VLOOKUP(Additional!$D95, 'Period of Exposures'!B:C, 2, FALSE)</f>
        <v>33</v>
      </c>
    </row>
    <row r="96" ht="15.75" customHeight="1">
      <c r="A96" s="3">
        <v>105.0</v>
      </c>
      <c r="B96" s="3" t="s">
        <v>23</v>
      </c>
      <c r="C96" s="3" t="s">
        <v>24</v>
      </c>
      <c r="D96" s="3" t="s">
        <v>25</v>
      </c>
      <c r="E96" s="3" t="s">
        <v>674</v>
      </c>
      <c r="F96" s="3">
        <v>1760488.0</v>
      </c>
      <c r="G96" s="4">
        <v>46011.0</v>
      </c>
      <c r="H96" s="4">
        <v>46110.0</v>
      </c>
      <c r="I96" s="3" t="s">
        <v>248</v>
      </c>
      <c r="J96" s="3" t="s">
        <v>3049</v>
      </c>
      <c r="K96" s="3" t="s">
        <v>211</v>
      </c>
      <c r="L96" s="3">
        <v>1.0</v>
      </c>
      <c r="M96" s="3">
        <v>25000.0</v>
      </c>
      <c r="N96" s="3">
        <v>4.0</v>
      </c>
      <c r="O96" s="3">
        <v>10583.0</v>
      </c>
      <c r="P96" s="3"/>
      <c r="Q96" s="3">
        <v>1265242.0</v>
      </c>
      <c r="R96" s="3"/>
      <c r="S96" s="3">
        <v>20000.0</v>
      </c>
      <c r="T96" s="3" t="s">
        <v>56</v>
      </c>
      <c r="U96" s="3">
        <v>20000.0</v>
      </c>
      <c r="V96" s="5">
        <f>VLOOKUP(Additional!$D96, 'Period of Exposures'!B:C, 2, FALSE)</f>
        <v>33</v>
      </c>
    </row>
    <row r="97" ht="15.75" customHeight="1">
      <c r="A97" s="3">
        <v>106.0</v>
      </c>
      <c r="B97" s="3" t="s">
        <v>23</v>
      </c>
      <c r="C97" s="3" t="s">
        <v>24</v>
      </c>
      <c r="D97" s="3" t="s">
        <v>25</v>
      </c>
      <c r="E97" s="3" t="s">
        <v>1783</v>
      </c>
      <c r="F97" s="3">
        <v>1760481.0</v>
      </c>
      <c r="G97" s="4">
        <v>46010.0</v>
      </c>
      <c r="H97" s="4">
        <v>46105.0</v>
      </c>
      <c r="I97" s="3" t="s">
        <v>3068</v>
      </c>
      <c r="J97" s="3" t="s">
        <v>1721</v>
      </c>
      <c r="K97" s="3" t="s">
        <v>3069</v>
      </c>
      <c r="L97" s="3">
        <v>1.0</v>
      </c>
      <c r="M97" s="3">
        <v>25000.0</v>
      </c>
      <c r="N97" s="3">
        <v>4.0</v>
      </c>
      <c r="O97" s="3">
        <v>278710.0</v>
      </c>
      <c r="P97" s="3" t="s">
        <v>3070</v>
      </c>
      <c r="Q97" s="3">
        <v>1326028.0</v>
      </c>
      <c r="R97" s="3"/>
      <c r="S97" s="3">
        <v>20000.0</v>
      </c>
      <c r="T97" s="3" t="s">
        <v>56</v>
      </c>
      <c r="U97" s="3">
        <v>20000.0</v>
      </c>
      <c r="V97" s="5">
        <f>VLOOKUP(Additional!$D97, 'Period of Exposures'!B:C, 2, FALSE)</f>
        <v>33</v>
      </c>
    </row>
    <row r="98" ht="15.75" customHeight="1">
      <c r="A98" s="3">
        <v>121.0</v>
      </c>
      <c r="B98" s="3" t="s">
        <v>23</v>
      </c>
      <c r="C98" s="3" t="s">
        <v>24</v>
      </c>
      <c r="D98" s="3" t="s">
        <v>538</v>
      </c>
      <c r="E98" s="3" t="s">
        <v>1513</v>
      </c>
      <c r="F98" s="3">
        <v>1190672.0</v>
      </c>
      <c r="G98" s="4">
        <v>46027.0</v>
      </c>
      <c r="H98" s="4">
        <v>46102.0</v>
      </c>
      <c r="I98" s="3" t="s">
        <v>1013</v>
      </c>
      <c r="J98" s="3" t="s">
        <v>1096</v>
      </c>
      <c r="K98" s="3" t="s">
        <v>3265</v>
      </c>
      <c r="L98" s="3">
        <v>1.3013</v>
      </c>
      <c r="M98" s="3">
        <v>32532.5</v>
      </c>
      <c r="N98" s="3">
        <v>4.0</v>
      </c>
      <c r="O98" s="3">
        <v>87369.0</v>
      </c>
      <c r="P98" s="3" t="s">
        <v>3266</v>
      </c>
      <c r="Q98" s="3">
        <v>1324637.0</v>
      </c>
      <c r="R98" s="3"/>
      <c r="S98" s="3">
        <v>26026.0</v>
      </c>
      <c r="T98" s="3" t="s">
        <v>56</v>
      </c>
      <c r="U98" s="3">
        <v>26026.0</v>
      </c>
      <c r="V98" s="5">
        <f>VLOOKUP(Additional!$D98, 'Period of Exposures'!B:C, 2, FALSE)</f>
        <v>33</v>
      </c>
    </row>
    <row r="99" ht="15.75" customHeight="1">
      <c r="A99" s="3">
        <v>122.0</v>
      </c>
      <c r="B99" s="3" t="s">
        <v>23</v>
      </c>
      <c r="C99" s="3" t="s">
        <v>24</v>
      </c>
      <c r="D99" s="3" t="s">
        <v>538</v>
      </c>
      <c r="E99" s="3" t="s">
        <v>1513</v>
      </c>
      <c r="F99" s="3">
        <v>1190671.0</v>
      </c>
      <c r="G99" s="4">
        <v>46024.0</v>
      </c>
      <c r="H99" s="4">
        <v>46109.0</v>
      </c>
      <c r="I99" s="3" t="s">
        <v>3275</v>
      </c>
      <c r="J99" s="3" t="s">
        <v>3276</v>
      </c>
      <c r="K99" s="3" t="s">
        <v>3277</v>
      </c>
      <c r="L99" s="3">
        <v>0.3</v>
      </c>
      <c r="M99" s="3">
        <v>7500.0</v>
      </c>
      <c r="N99" s="3">
        <v>4.0</v>
      </c>
      <c r="O99" s="3">
        <v>391295.0</v>
      </c>
      <c r="P99" s="3" t="s">
        <v>3278</v>
      </c>
      <c r="Q99" s="3">
        <v>1324618.0</v>
      </c>
      <c r="R99" s="3"/>
      <c r="S99" s="3">
        <v>6000.0</v>
      </c>
      <c r="T99" s="3" t="s">
        <v>56</v>
      </c>
      <c r="U99" s="3">
        <v>6000.0</v>
      </c>
      <c r="V99" s="5">
        <f>VLOOKUP(Additional!$D99, 'Period of Exposures'!B:C, 2, FALSE)</f>
        <v>33</v>
      </c>
    </row>
    <row r="100" ht="15.75" customHeight="1">
      <c r="A100" s="3">
        <v>123.0</v>
      </c>
      <c r="B100" s="3" t="s">
        <v>23</v>
      </c>
      <c r="C100" s="3" t="s">
        <v>24</v>
      </c>
      <c r="D100" s="3" t="s">
        <v>299</v>
      </c>
      <c r="E100" s="3" t="s">
        <v>3279</v>
      </c>
      <c r="F100" s="3">
        <v>1761002.0</v>
      </c>
      <c r="G100" s="4">
        <v>46011.0</v>
      </c>
      <c r="H100" s="4">
        <v>46106.0</v>
      </c>
      <c r="I100" s="3" t="s">
        <v>595</v>
      </c>
      <c r="J100" s="3" t="s">
        <v>530</v>
      </c>
      <c r="K100" s="3" t="s">
        <v>3280</v>
      </c>
      <c r="L100" s="3">
        <v>1.5</v>
      </c>
      <c r="M100" s="3">
        <v>37500.0</v>
      </c>
      <c r="N100" s="3">
        <v>4.0</v>
      </c>
      <c r="O100" s="3">
        <v>414516.0</v>
      </c>
      <c r="P100" s="3"/>
      <c r="Q100" s="3">
        <v>871709.0</v>
      </c>
      <c r="R100" s="3"/>
      <c r="S100" s="3">
        <v>30000.0</v>
      </c>
      <c r="T100" s="3" t="s">
        <v>56</v>
      </c>
      <c r="U100" s="3">
        <v>30000.0</v>
      </c>
      <c r="V100" s="5">
        <f>VLOOKUP(Additional!$D100, 'Period of Exposures'!B:C, 2, FALSE)</f>
        <v>33</v>
      </c>
    </row>
    <row r="101" ht="15.75" customHeight="1">
      <c r="A101" s="3">
        <v>133.0</v>
      </c>
      <c r="B101" s="3" t="s">
        <v>756</v>
      </c>
      <c r="C101" s="3" t="s">
        <v>919</v>
      </c>
      <c r="D101" s="3" t="s">
        <v>3708</v>
      </c>
      <c r="E101" s="3" t="s">
        <v>3409</v>
      </c>
      <c r="F101" s="3">
        <v>1760808.0</v>
      </c>
      <c r="G101" s="4">
        <v>46009.0</v>
      </c>
      <c r="H101" s="4">
        <v>46104.0</v>
      </c>
      <c r="I101" s="3" t="s">
        <v>3410</v>
      </c>
      <c r="J101" s="3" t="s">
        <v>1162</v>
      </c>
      <c r="K101" s="3" t="s">
        <v>3411</v>
      </c>
      <c r="L101" s="3">
        <v>1.1253</v>
      </c>
      <c r="M101" s="3">
        <v>50000.0</v>
      </c>
      <c r="N101" s="3">
        <v>4.0</v>
      </c>
      <c r="O101" s="3">
        <v>34684.0</v>
      </c>
      <c r="P101" s="3"/>
      <c r="Q101" s="3">
        <v>149303.0</v>
      </c>
      <c r="R101" s="3"/>
      <c r="S101" s="3">
        <v>40000.0</v>
      </c>
      <c r="T101" s="3" t="s">
        <v>56</v>
      </c>
      <c r="U101" s="3">
        <v>40000.0</v>
      </c>
      <c r="V101" s="5">
        <f>VLOOKUP(Additional!$D101, 'Period of Exposures'!B:C, 2, FALSE)</f>
        <v>24</v>
      </c>
    </row>
    <row r="102" ht="15.75" customHeight="1">
      <c r="A102" s="3">
        <v>134.0</v>
      </c>
      <c r="B102" s="3" t="s">
        <v>756</v>
      </c>
      <c r="C102" s="3" t="s">
        <v>919</v>
      </c>
      <c r="D102" s="3" t="s">
        <v>3708</v>
      </c>
      <c r="E102" s="3" t="s">
        <v>3412</v>
      </c>
      <c r="F102" s="3">
        <v>1760812.0</v>
      </c>
      <c r="G102" s="4">
        <v>46009.0</v>
      </c>
      <c r="H102" s="4">
        <v>46104.0</v>
      </c>
      <c r="I102" s="3" t="s">
        <v>3413</v>
      </c>
      <c r="J102" s="3" t="s">
        <v>3414</v>
      </c>
      <c r="K102" s="3" t="s">
        <v>3415</v>
      </c>
      <c r="L102" s="3">
        <v>5.0</v>
      </c>
      <c r="M102" s="3">
        <v>300000.0</v>
      </c>
      <c r="N102" s="3">
        <v>4.0</v>
      </c>
      <c r="O102" s="3">
        <v>60834.0</v>
      </c>
      <c r="P102" s="3" t="s">
        <v>3416</v>
      </c>
      <c r="Q102" s="3">
        <v>1027642.0</v>
      </c>
      <c r="R102" s="3"/>
      <c r="S102" s="3">
        <v>240000.0</v>
      </c>
      <c r="T102" s="3" t="s">
        <v>56</v>
      </c>
      <c r="U102" s="3">
        <v>240000.0</v>
      </c>
      <c r="V102" s="5">
        <f>VLOOKUP(Additional!$D102, 'Period of Exposures'!B:C, 2, FALSE)</f>
        <v>24</v>
      </c>
    </row>
    <row r="103" ht="15.75" customHeight="1">
      <c r="A103" s="3">
        <v>124.0</v>
      </c>
      <c r="B103" s="3" t="s">
        <v>23</v>
      </c>
      <c r="C103" s="3" t="s">
        <v>3300</v>
      </c>
      <c r="D103" s="3" t="s">
        <v>3301</v>
      </c>
      <c r="E103" s="3" t="s">
        <v>3302</v>
      </c>
      <c r="F103" s="3">
        <v>1760120.0</v>
      </c>
      <c r="G103" s="4">
        <v>46014.0</v>
      </c>
      <c r="H103" s="4">
        <v>46109.0</v>
      </c>
      <c r="I103" s="3" t="s">
        <v>1441</v>
      </c>
      <c r="J103" s="3" t="s">
        <v>1907</v>
      </c>
      <c r="K103" s="3" t="s">
        <v>1200</v>
      </c>
      <c r="L103" s="3">
        <v>0.1</v>
      </c>
      <c r="M103" s="3">
        <v>2500.0</v>
      </c>
      <c r="N103" s="3">
        <v>4.0</v>
      </c>
      <c r="O103" s="3">
        <v>412933.0</v>
      </c>
      <c r="P103" s="3" t="s">
        <v>3303</v>
      </c>
      <c r="Q103" s="3">
        <v>1030485.0</v>
      </c>
      <c r="R103" s="3"/>
      <c r="S103" s="3">
        <v>2000.0</v>
      </c>
      <c r="T103" s="3" t="s">
        <v>56</v>
      </c>
      <c r="U103" s="3">
        <v>2000.0</v>
      </c>
      <c r="V103" s="5">
        <f>VLOOKUP(Additional!$D103, 'Period of Exposures'!B:C, 2, FALSE)</f>
        <v>21</v>
      </c>
    </row>
    <row r="104" ht="15.75" customHeight="1">
      <c r="A104" s="3">
        <v>125.0</v>
      </c>
      <c r="B104" s="3" t="s">
        <v>23</v>
      </c>
      <c r="C104" s="3" t="s">
        <v>3300</v>
      </c>
      <c r="D104" s="3" t="s">
        <v>3301</v>
      </c>
      <c r="E104" s="3" t="s">
        <v>3318</v>
      </c>
      <c r="F104" s="3">
        <v>1760120.0</v>
      </c>
      <c r="G104" s="4">
        <v>46014.0</v>
      </c>
      <c r="H104" s="4">
        <v>46109.0</v>
      </c>
      <c r="I104" s="3" t="s">
        <v>1441</v>
      </c>
      <c r="J104" s="3" t="s">
        <v>1907</v>
      </c>
      <c r="K104" s="3" t="s">
        <v>1200</v>
      </c>
      <c r="L104" s="3">
        <v>0.15</v>
      </c>
      <c r="M104" s="3">
        <v>3750.0</v>
      </c>
      <c r="N104" s="3">
        <v>4.0</v>
      </c>
      <c r="O104" s="3">
        <v>412933.0</v>
      </c>
      <c r="P104" s="3" t="s">
        <v>3303</v>
      </c>
      <c r="Q104" s="3">
        <v>1030486.0</v>
      </c>
      <c r="R104" s="3"/>
      <c r="S104" s="3">
        <v>3000.0</v>
      </c>
      <c r="T104" s="3" t="s">
        <v>56</v>
      </c>
      <c r="U104" s="3">
        <v>3000.0</v>
      </c>
      <c r="V104" s="5">
        <f>VLOOKUP(Additional!$D104, 'Period of Exposures'!B:C, 2, FALSE)</f>
        <v>21</v>
      </c>
    </row>
    <row r="105" ht="15.75" customHeight="1">
      <c r="A105" s="3">
        <v>126.0</v>
      </c>
      <c r="B105" s="3" t="s">
        <v>23</v>
      </c>
      <c r="C105" s="3" t="s">
        <v>3300</v>
      </c>
      <c r="D105" s="3" t="s">
        <v>3301</v>
      </c>
      <c r="E105" s="3" t="s">
        <v>3302</v>
      </c>
      <c r="F105" s="3">
        <v>1760120.0</v>
      </c>
      <c r="G105" s="4">
        <v>46015.0</v>
      </c>
      <c r="H105" s="4">
        <v>46110.0</v>
      </c>
      <c r="I105" s="3" t="s">
        <v>129</v>
      </c>
      <c r="J105" s="3" t="s">
        <v>1368</v>
      </c>
      <c r="K105" s="3" t="s">
        <v>600</v>
      </c>
      <c r="L105" s="3">
        <v>0.1</v>
      </c>
      <c r="M105" s="3">
        <v>2500.0</v>
      </c>
      <c r="N105" s="3">
        <v>4.0</v>
      </c>
      <c r="O105" s="3">
        <v>133114.0</v>
      </c>
      <c r="P105" s="3" t="s">
        <v>3340</v>
      </c>
      <c r="Q105" s="3">
        <v>1023955.0</v>
      </c>
      <c r="R105" s="3"/>
      <c r="S105" s="3">
        <v>2000.0</v>
      </c>
      <c r="T105" s="3" t="s">
        <v>56</v>
      </c>
      <c r="U105" s="3">
        <v>2000.0</v>
      </c>
      <c r="V105" s="5">
        <f>VLOOKUP(Additional!$D105, 'Period of Exposures'!B:C, 2, FALSE)</f>
        <v>21</v>
      </c>
    </row>
    <row r="106" ht="15.75" customHeight="1">
      <c r="A106" s="3">
        <v>127.0</v>
      </c>
      <c r="B106" s="3" t="s">
        <v>23</v>
      </c>
      <c r="C106" s="3" t="s">
        <v>3300</v>
      </c>
      <c r="D106" s="3" t="s">
        <v>3301</v>
      </c>
      <c r="E106" s="3" t="s">
        <v>3302</v>
      </c>
      <c r="F106" s="3">
        <v>1760120.0</v>
      </c>
      <c r="G106" s="4">
        <v>46015.0</v>
      </c>
      <c r="H106" s="4">
        <v>46110.0</v>
      </c>
      <c r="I106" s="3" t="s">
        <v>129</v>
      </c>
      <c r="J106" s="3" t="s">
        <v>1368</v>
      </c>
      <c r="K106" s="3" t="s">
        <v>600</v>
      </c>
      <c r="L106" s="3">
        <v>0.1</v>
      </c>
      <c r="M106" s="3">
        <v>2500.0</v>
      </c>
      <c r="N106" s="3">
        <v>4.0</v>
      </c>
      <c r="O106" s="3">
        <v>133114.0</v>
      </c>
      <c r="P106" s="3" t="s">
        <v>3340</v>
      </c>
      <c r="Q106" s="3">
        <v>1023958.0</v>
      </c>
      <c r="R106" s="3"/>
      <c r="S106" s="3">
        <v>2000.0</v>
      </c>
      <c r="T106" s="3" t="s">
        <v>56</v>
      </c>
      <c r="U106" s="3">
        <v>2000.0</v>
      </c>
      <c r="V106" s="5">
        <f>VLOOKUP(Additional!$D106, 'Period of Exposures'!B:C, 2, FALSE)</f>
        <v>21</v>
      </c>
    </row>
    <row r="107" ht="15.75" customHeight="1">
      <c r="A107" s="3">
        <v>128.0</v>
      </c>
      <c r="B107" s="3" t="s">
        <v>23</v>
      </c>
      <c r="C107" s="3" t="s">
        <v>3300</v>
      </c>
      <c r="D107" s="3" t="s">
        <v>3301</v>
      </c>
      <c r="E107" s="3" t="s">
        <v>3302</v>
      </c>
      <c r="F107" s="3">
        <v>1760120.0</v>
      </c>
      <c r="G107" s="4">
        <v>46015.0</v>
      </c>
      <c r="H107" s="4">
        <v>46110.0</v>
      </c>
      <c r="I107" s="3" t="s">
        <v>129</v>
      </c>
      <c r="J107" s="3" t="s">
        <v>1368</v>
      </c>
      <c r="K107" s="3" t="s">
        <v>600</v>
      </c>
      <c r="L107" s="3">
        <v>0.1</v>
      </c>
      <c r="M107" s="3">
        <v>2500.0</v>
      </c>
      <c r="N107" s="3">
        <v>4.0</v>
      </c>
      <c r="O107" s="3">
        <v>133114.0</v>
      </c>
      <c r="P107" s="3" t="s">
        <v>3340</v>
      </c>
      <c r="Q107" s="3">
        <v>1023961.0</v>
      </c>
      <c r="R107" s="3"/>
      <c r="S107" s="3">
        <v>2000.0</v>
      </c>
      <c r="T107" s="3" t="s">
        <v>56</v>
      </c>
      <c r="U107" s="3">
        <v>2000.0</v>
      </c>
      <c r="V107" s="5">
        <f>VLOOKUP(Additional!$D107, 'Period of Exposures'!B:C, 2, FALSE)</f>
        <v>21</v>
      </c>
    </row>
    <row r="108" ht="15.75" customHeight="1">
      <c r="A108" s="3">
        <v>129.0</v>
      </c>
      <c r="B108" s="3" t="s">
        <v>23</v>
      </c>
      <c r="C108" s="3" t="s">
        <v>3300</v>
      </c>
      <c r="D108" s="3" t="s">
        <v>3301</v>
      </c>
      <c r="E108" s="3" t="s">
        <v>3302</v>
      </c>
      <c r="F108" s="3">
        <v>1760120.0</v>
      </c>
      <c r="G108" s="4">
        <v>46014.0</v>
      </c>
      <c r="H108" s="4">
        <v>46109.0</v>
      </c>
      <c r="I108" s="3" t="s">
        <v>3361</v>
      </c>
      <c r="J108" s="3" t="s">
        <v>3362</v>
      </c>
      <c r="K108" s="3" t="s">
        <v>211</v>
      </c>
      <c r="L108" s="3">
        <v>0.25</v>
      </c>
      <c r="M108" s="3">
        <v>6250.0</v>
      </c>
      <c r="N108" s="3">
        <v>4.0</v>
      </c>
      <c r="O108" s="3">
        <v>133126.0</v>
      </c>
      <c r="P108" s="3" t="s">
        <v>3363</v>
      </c>
      <c r="Q108" s="3">
        <v>1023976.0</v>
      </c>
      <c r="R108" s="3"/>
      <c r="S108" s="3">
        <v>5000.0</v>
      </c>
      <c r="T108" s="3" t="s">
        <v>56</v>
      </c>
      <c r="U108" s="3">
        <v>5000.0</v>
      </c>
      <c r="V108" s="5">
        <f>VLOOKUP(Additional!$D108, 'Period of Exposures'!B:C, 2, FALSE)</f>
        <v>21</v>
      </c>
    </row>
    <row r="109" ht="15.75" customHeight="1">
      <c r="A109" s="3">
        <v>130.0</v>
      </c>
      <c r="B109" s="3" t="s">
        <v>23</v>
      </c>
      <c r="C109" s="3" t="s">
        <v>3300</v>
      </c>
      <c r="D109" s="3" t="s">
        <v>3301</v>
      </c>
      <c r="E109" s="3" t="s">
        <v>3302</v>
      </c>
      <c r="F109" s="3">
        <v>1760120.0</v>
      </c>
      <c r="G109" s="4">
        <v>46015.0</v>
      </c>
      <c r="H109" s="4">
        <v>46110.0</v>
      </c>
      <c r="I109" s="3" t="s">
        <v>3365</v>
      </c>
      <c r="J109" s="3" t="s">
        <v>3366</v>
      </c>
      <c r="K109" s="3" t="s">
        <v>478</v>
      </c>
      <c r="L109" s="3">
        <v>0.1</v>
      </c>
      <c r="M109" s="3">
        <v>2500.0</v>
      </c>
      <c r="N109" s="3">
        <v>4.0</v>
      </c>
      <c r="O109" s="3">
        <v>442000.0</v>
      </c>
      <c r="P109" s="3"/>
      <c r="Q109" s="3">
        <v>1024016.0</v>
      </c>
      <c r="R109" s="3"/>
      <c r="S109" s="3">
        <v>2000.0</v>
      </c>
      <c r="T109" s="3" t="s">
        <v>56</v>
      </c>
      <c r="U109" s="3">
        <v>2000.0</v>
      </c>
      <c r="V109" s="5">
        <f>VLOOKUP(Additional!$D109, 'Period of Exposures'!B:C, 2, FALSE)</f>
        <v>21</v>
      </c>
    </row>
    <row r="110" ht="15.75" customHeight="1">
      <c r="A110" s="3">
        <v>131.0</v>
      </c>
      <c r="B110" s="3" t="s">
        <v>23</v>
      </c>
      <c r="C110" s="3" t="s">
        <v>3300</v>
      </c>
      <c r="D110" s="3" t="s">
        <v>3301</v>
      </c>
      <c r="E110" s="3" t="s">
        <v>3302</v>
      </c>
      <c r="F110" s="3">
        <v>1760120.0</v>
      </c>
      <c r="G110" s="4">
        <v>46014.0</v>
      </c>
      <c r="H110" s="4">
        <v>46109.0</v>
      </c>
      <c r="I110" s="3" t="s">
        <v>3403</v>
      </c>
      <c r="J110" s="3" t="s">
        <v>3404</v>
      </c>
      <c r="K110" s="3" t="s">
        <v>3405</v>
      </c>
      <c r="L110" s="3">
        <v>0.1</v>
      </c>
      <c r="M110" s="3">
        <v>2500.0</v>
      </c>
      <c r="N110" s="3">
        <v>4.0</v>
      </c>
      <c r="O110" s="3">
        <v>247583.0</v>
      </c>
      <c r="P110" s="3" t="s">
        <v>3406</v>
      </c>
      <c r="Q110" s="3">
        <v>1024006.0</v>
      </c>
      <c r="R110" s="3"/>
      <c r="S110" s="3">
        <v>2000.0</v>
      </c>
      <c r="T110" s="3" t="s">
        <v>56</v>
      </c>
      <c r="U110" s="3">
        <v>2000.0</v>
      </c>
      <c r="V110" s="5">
        <f>VLOOKUP(Additional!$D110, 'Period of Exposures'!B:C, 2, FALSE)</f>
        <v>21</v>
      </c>
    </row>
    <row r="111" ht="15.75" customHeight="1">
      <c r="A111" s="3">
        <v>132.0</v>
      </c>
      <c r="B111" s="3" t="s">
        <v>23</v>
      </c>
      <c r="C111" s="3" t="s">
        <v>3300</v>
      </c>
      <c r="D111" s="3" t="s">
        <v>3301</v>
      </c>
      <c r="E111" s="3" t="s">
        <v>3302</v>
      </c>
      <c r="F111" s="3">
        <v>1760120.0</v>
      </c>
      <c r="G111" s="4">
        <v>46015.0</v>
      </c>
      <c r="H111" s="4">
        <v>46110.0</v>
      </c>
      <c r="I111" s="3" t="s">
        <v>3407</v>
      </c>
      <c r="J111" s="3" t="s">
        <v>3156</v>
      </c>
      <c r="K111" s="3" t="s">
        <v>968</v>
      </c>
      <c r="L111" s="3">
        <v>0.25</v>
      </c>
      <c r="M111" s="3">
        <v>6250.0</v>
      </c>
      <c r="N111" s="3">
        <v>4.0</v>
      </c>
      <c r="O111" s="3">
        <v>219733.0</v>
      </c>
      <c r="P111" s="3" t="s">
        <v>3408</v>
      </c>
      <c r="Q111" s="3">
        <v>1024040.0</v>
      </c>
      <c r="R111" s="3"/>
      <c r="S111" s="3">
        <v>5000.0</v>
      </c>
      <c r="T111" s="3" t="s">
        <v>56</v>
      </c>
      <c r="U111" s="3">
        <v>5000.0</v>
      </c>
      <c r="V111" s="5">
        <f>VLOOKUP(Additional!$D111, 'Period of Exposures'!B:C, 2, FALSE)</f>
        <v>21</v>
      </c>
    </row>
    <row r="112" ht="15.75" customHeight="1">
      <c r="A112" s="3">
        <v>151.0</v>
      </c>
      <c r="B112" s="3" t="s">
        <v>23</v>
      </c>
      <c r="C112" s="3" t="s">
        <v>1453</v>
      </c>
      <c r="D112" s="3" t="s">
        <v>1454</v>
      </c>
      <c r="E112" s="3" t="s">
        <v>2912</v>
      </c>
      <c r="F112" s="3">
        <v>1742041.0</v>
      </c>
      <c r="G112" s="4">
        <v>46009.0</v>
      </c>
      <c r="H112" s="4">
        <v>46111.0</v>
      </c>
      <c r="I112" s="3" t="s">
        <v>3686</v>
      </c>
      <c r="J112" s="3" t="s">
        <v>3687</v>
      </c>
      <c r="K112" s="3" t="s">
        <v>685</v>
      </c>
      <c r="L112" s="3">
        <v>0.3924</v>
      </c>
      <c r="M112" s="3">
        <v>9810.0</v>
      </c>
      <c r="N112" s="3">
        <v>4.0</v>
      </c>
      <c r="O112" s="3">
        <v>525395.0</v>
      </c>
      <c r="P112" s="3"/>
      <c r="Q112" s="3">
        <v>1317735.0</v>
      </c>
      <c r="R112" s="3"/>
      <c r="S112" s="3">
        <v>7848.0</v>
      </c>
      <c r="T112" s="3" t="s">
        <v>56</v>
      </c>
      <c r="U112" s="3">
        <v>7848.0</v>
      </c>
      <c r="V112" s="5">
        <f>VLOOKUP(Additional!$D112, 'Period of Exposures'!B:C, 2, FALSE)</f>
        <v>6</v>
      </c>
    </row>
    <row r="113" ht="15.75" customHeight="1">
      <c r="A113" s="3">
        <v>152.0</v>
      </c>
      <c r="B113" s="3" t="s">
        <v>23</v>
      </c>
      <c r="C113" s="3" t="s">
        <v>1453</v>
      </c>
      <c r="D113" s="3" t="s">
        <v>1454</v>
      </c>
      <c r="E113" s="3" t="s">
        <v>1455</v>
      </c>
      <c r="F113" s="3">
        <v>1742048.0</v>
      </c>
      <c r="G113" s="4">
        <v>46009.0</v>
      </c>
      <c r="H113" s="4">
        <v>46111.0</v>
      </c>
      <c r="I113" s="3" t="s">
        <v>3253</v>
      </c>
      <c r="J113" s="3" t="s">
        <v>852</v>
      </c>
      <c r="K113" s="3" t="s">
        <v>3254</v>
      </c>
      <c r="L113" s="3">
        <v>0.4672</v>
      </c>
      <c r="M113" s="3">
        <v>11680.0</v>
      </c>
      <c r="N113" s="3">
        <v>4.0</v>
      </c>
      <c r="O113" s="3">
        <v>17024.0</v>
      </c>
      <c r="P113" s="3" t="s">
        <v>3255</v>
      </c>
      <c r="Q113" s="3">
        <v>1318395.0</v>
      </c>
      <c r="R113" s="3"/>
      <c r="S113" s="3">
        <v>9344.0</v>
      </c>
      <c r="T113" s="3" t="s">
        <v>56</v>
      </c>
      <c r="U113" s="3">
        <v>9344.0</v>
      </c>
      <c r="V113" s="5">
        <f>VLOOKUP(Additional!$D113, 'Period of Exposures'!B:C, 2, FALSE)</f>
        <v>6</v>
      </c>
    </row>
    <row r="114" ht="15.75" customHeight="1">
      <c r="A114" s="3">
        <v>1.0</v>
      </c>
      <c r="B114" s="3" t="s">
        <v>23</v>
      </c>
      <c r="C114" s="3" t="s">
        <v>50</v>
      </c>
      <c r="D114" s="3" t="s">
        <v>51</v>
      </c>
      <c r="E114" s="3" t="s">
        <v>52</v>
      </c>
      <c r="F114" s="3">
        <v>1741852.0</v>
      </c>
      <c r="G114" s="4">
        <v>46011.0</v>
      </c>
      <c r="H114" s="4">
        <v>46106.0</v>
      </c>
      <c r="I114" s="3" t="s">
        <v>53</v>
      </c>
      <c r="J114" s="3" t="s">
        <v>54</v>
      </c>
      <c r="K114" s="3" t="s">
        <v>55</v>
      </c>
      <c r="L114" s="3">
        <v>1.227</v>
      </c>
      <c r="M114" s="3">
        <v>30675.0</v>
      </c>
      <c r="N114" s="3">
        <v>4.0</v>
      </c>
      <c r="O114" s="3">
        <v>34852.0</v>
      </c>
      <c r="P114" s="3"/>
      <c r="Q114" s="3">
        <v>1279410.0</v>
      </c>
      <c r="R114" s="3"/>
      <c r="S114" s="3">
        <v>24540.0</v>
      </c>
      <c r="T114" s="3" t="s">
        <v>56</v>
      </c>
      <c r="U114" s="3">
        <v>24540.0</v>
      </c>
      <c r="V114" s="5">
        <f>VLOOKUP(Additional!$D114, 'Period of Exposures'!B:C, 2, FALSE)</f>
        <v>30</v>
      </c>
    </row>
    <row r="115" ht="15.75" customHeight="1">
      <c r="A115" s="3">
        <v>107.0</v>
      </c>
      <c r="B115" s="3" t="s">
        <v>23</v>
      </c>
      <c r="C115" s="3" t="s">
        <v>50</v>
      </c>
      <c r="D115" s="3" t="s">
        <v>1484</v>
      </c>
      <c r="E115" s="3" t="s">
        <v>1485</v>
      </c>
      <c r="F115" s="3">
        <v>1741845.0</v>
      </c>
      <c r="G115" s="4">
        <v>46016.0</v>
      </c>
      <c r="H115" s="4">
        <v>46111.0</v>
      </c>
      <c r="I115" s="3" t="s">
        <v>1486</v>
      </c>
      <c r="J115" s="3" t="s">
        <v>226</v>
      </c>
      <c r="K115" s="3" t="s">
        <v>3080</v>
      </c>
      <c r="L115" s="3">
        <v>0.7112</v>
      </c>
      <c r="M115" s="3">
        <v>17780.0</v>
      </c>
      <c r="N115" s="3">
        <v>4.0</v>
      </c>
      <c r="O115" s="3">
        <v>34197.0</v>
      </c>
      <c r="P115" s="3" t="s">
        <v>3081</v>
      </c>
      <c r="Q115" s="3">
        <v>1279734.0</v>
      </c>
      <c r="R115" s="3"/>
      <c r="S115" s="3">
        <v>14224.0</v>
      </c>
      <c r="T115" s="3" t="s">
        <v>56</v>
      </c>
      <c r="U115" s="3">
        <v>14224.0</v>
      </c>
      <c r="V115" s="5">
        <f>VLOOKUP(Additional!$D115, 'Period of Exposures'!B:C, 2, FALSE)</f>
        <v>30</v>
      </c>
    </row>
    <row r="116" ht="15.75" customHeight="1">
      <c r="A116" s="3">
        <v>108.0</v>
      </c>
      <c r="B116" s="3" t="s">
        <v>23</v>
      </c>
      <c r="C116" s="3" t="s">
        <v>50</v>
      </c>
      <c r="D116" s="3" t="s">
        <v>1484</v>
      </c>
      <c r="E116" s="3" t="s">
        <v>1485</v>
      </c>
      <c r="F116" s="3">
        <v>1741845.0</v>
      </c>
      <c r="G116" s="4">
        <v>46013.0</v>
      </c>
      <c r="H116" s="4">
        <v>46108.0</v>
      </c>
      <c r="I116" s="3" t="s">
        <v>2357</v>
      </c>
      <c r="J116" s="3" t="s">
        <v>423</v>
      </c>
      <c r="K116" s="3" t="s">
        <v>2359</v>
      </c>
      <c r="L116" s="3">
        <v>0.8357</v>
      </c>
      <c r="M116" s="3">
        <v>20892.5</v>
      </c>
      <c r="N116" s="3">
        <v>4.0</v>
      </c>
      <c r="O116" s="3">
        <v>416582.0</v>
      </c>
      <c r="P116" s="3" t="s">
        <v>3104</v>
      </c>
      <c r="Q116" s="3">
        <v>1280763.0</v>
      </c>
      <c r="R116" s="3"/>
      <c r="S116" s="3">
        <v>16714.0</v>
      </c>
      <c r="T116" s="3" t="s">
        <v>56</v>
      </c>
      <c r="U116" s="3">
        <v>16714.0</v>
      </c>
      <c r="V116" s="5">
        <f>VLOOKUP(Additional!$D116, 'Period of Exposures'!B:C, 2, FALSE)</f>
        <v>30</v>
      </c>
    </row>
    <row r="117" ht="15.75" customHeight="1">
      <c r="A117" s="3">
        <v>109.0</v>
      </c>
      <c r="B117" s="3" t="s">
        <v>23</v>
      </c>
      <c r="C117" s="3" t="s">
        <v>50</v>
      </c>
      <c r="D117" s="3" t="s">
        <v>1484</v>
      </c>
      <c r="E117" s="3" t="s">
        <v>1485</v>
      </c>
      <c r="F117" s="3">
        <v>1741846.0</v>
      </c>
      <c r="G117" s="4">
        <v>46014.0</v>
      </c>
      <c r="H117" s="4">
        <v>46109.0</v>
      </c>
      <c r="I117" s="3" t="s">
        <v>3108</v>
      </c>
      <c r="J117" s="3" t="s">
        <v>3109</v>
      </c>
      <c r="K117" s="3" t="s">
        <v>873</v>
      </c>
      <c r="L117" s="3">
        <v>1.2477</v>
      </c>
      <c r="M117" s="3">
        <v>31192.5</v>
      </c>
      <c r="N117" s="3">
        <v>4.0</v>
      </c>
      <c r="O117" s="3">
        <v>372110.0</v>
      </c>
      <c r="P117" s="3"/>
      <c r="Q117" s="3">
        <v>1137541.0</v>
      </c>
      <c r="R117" s="3"/>
      <c r="S117" s="3">
        <v>24954.0</v>
      </c>
      <c r="T117" s="3" t="s">
        <v>56</v>
      </c>
      <c r="U117" s="3">
        <v>24954.0</v>
      </c>
      <c r="V117" s="5">
        <f>VLOOKUP(Additional!$D117, 'Period of Exposures'!B:C, 2, FALSE)</f>
        <v>30</v>
      </c>
    </row>
    <row r="118" ht="15.75" customHeight="1">
      <c r="A118" s="3">
        <v>2.0</v>
      </c>
      <c r="B118" s="3" t="s">
        <v>23</v>
      </c>
      <c r="C118" s="3" t="s">
        <v>68</v>
      </c>
      <c r="D118" s="3" t="s">
        <v>69</v>
      </c>
      <c r="E118" s="3" t="s">
        <v>70</v>
      </c>
      <c r="F118" s="3">
        <v>1739640.0</v>
      </c>
      <c r="G118" s="4">
        <v>46006.0</v>
      </c>
      <c r="H118" s="4">
        <v>46108.0</v>
      </c>
      <c r="I118" s="3" t="s">
        <v>71</v>
      </c>
      <c r="J118" s="3" t="s">
        <v>72</v>
      </c>
      <c r="K118" s="3" t="s">
        <v>73</v>
      </c>
      <c r="L118" s="3">
        <v>1.0114</v>
      </c>
      <c r="M118" s="3">
        <v>25285.0</v>
      </c>
      <c r="N118" s="3">
        <v>4.0</v>
      </c>
      <c r="O118" s="3">
        <v>338094.0</v>
      </c>
      <c r="P118" s="3" t="s">
        <v>74</v>
      </c>
      <c r="Q118" s="3">
        <v>1022382.0</v>
      </c>
      <c r="R118" s="3"/>
      <c r="S118" s="3">
        <v>20228.0</v>
      </c>
      <c r="T118" s="3" t="s">
        <v>56</v>
      </c>
      <c r="U118" s="3">
        <v>20228.0</v>
      </c>
      <c r="V118" s="5">
        <f>VLOOKUP(Additional!$D118, 'Period of Exposures'!B:C, 2, FALSE)</f>
        <v>33</v>
      </c>
    </row>
    <row r="119" ht="15.75" customHeight="1">
      <c r="A119" s="3">
        <v>3.0</v>
      </c>
      <c r="B119" s="3" t="s">
        <v>23</v>
      </c>
      <c r="C119" s="3" t="s">
        <v>68</v>
      </c>
      <c r="D119" s="3" t="s">
        <v>69</v>
      </c>
      <c r="E119" s="3" t="s">
        <v>70</v>
      </c>
      <c r="F119" s="3">
        <v>1739640.0</v>
      </c>
      <c r="G119" s="4">
        <v>46007.0</v>
      </c>
      <c r="H119" s="4">
        <v>46109.0</v>
      </c>
      <c r="I119" s="3" t="s">
        <v>71</v>
      </c>
      <c r="J119" s="3" t="s">
        <v>94</v>
      </c>
      <c r="K119" s="3" t="s">
        <v>73</v>
      </c>
      <c r="L119" s="3">
        <v>1.0</v>
      </c>
      <c r="M119" s="3">
        <v>25000.0</v>
      </c>
      <c r="N119" s="3">
        <v>4.0</v>
      </c>
      <c r="O119" s="3">
        <v>187790.0</v>
      </c>
      <c r="P119" s="3"/>
      <c r="Q119" s="3">
        <v>1029398.0</v>
      </c>
      <c r="R119" s="3"/>
      <c r="S119" s="3">
        <v>20000.0</v>
      </c>
      <c r="T119" s="3" t="s">
        <v>56</v>
      </c>
      <c r="U119" s="3">
        <v>20000.0</v>
      </c>
      <c r="V119" s="5">
        <f>VLOOKUP(Additional!$D119, 'Period of Exposures'!B:C, 2, FALSE)</f>
        <v>33</v>
      </c>
    </row>
    <row r="120" ht="15.75" customHeight="1">
      <c r="A120" s="3">
        <v>4.0</v>
      </c>
      <c r="B120" s="3" t="s">
        <v>23</v>
      </c>
      <c r="C120" s="3" t="s">
        <v>68</v>
      </c>
      <c r="D120" s="3" t="s">
        <v>69</v>
      </c>
      <c r="E120" s="3" t="s">
        <v>131</v>
      </c>
      <c r="F120" s="3">
        <v>1739640.0</v>
      </c>
      <c r="G120" s="4">
        <v>46001.0</v>
      </c>
      <c r="H120" s="4">
        <v>46103.0</v>
      </c>
      <c r="I120" s="3" t="s">
        <v>132</v>
      </c>
      <c r="J120" s="3" t="s">
        <v>133</v>
      </c>
      <c r="K120" s="3" t="s">
        <v>134</v>
      </c>
      <c r="L120" s="3">
        <v>0.5</v>
      </c>
      <c r="M120" s="3">
        <v>12500.0</v>
      </c>
      <c r="N120" s="3">
        <v>4.0</v>
      </c>
      <c r="O120" s="3">
        <v>228437.0</v>
      </c>
      <c r="P120" s="3" t="s">
        <v>135</v>
      </c>
      <c r="Q120" s="3">
        <v>1025316.0</v>
      </c>
      <c r="R120" s="3"/>
      <c r="S120" s="3">
        <v>10000.0</v>
      </c>
      <c r="T120" s="3" t="s">
        <v>56</v>
      </c>
      <c r="U120" s="3">
        <v>10000.0</v>
      </c>
      <c r="V120" s="5">
        <f>VLOOKUP(Additional!$D120, 'Period of Exposures'!B:C, 2, FALSE)</f>
        <v>33</v>
      </c>
    </row>
    <row r="121" ht="15.75" customHeight="1">
      <c r="A121" s="3">
        <v>5.0</v>
      </c>
      <c r="B121" s="3" t="s">
        <v>23</v>
      </c>
      <c r="C121" s="3" t="s">
        <v>68</v>
      </c>
      <c r="D121" s="3" t="s">
        <v>69</v>
      </c>
      <c r="E121" s="3" t="s">
        <v>70</v>
      </c>
      <c r="F121" s="3">
        <v>1739640.0</v>
      </c>
      <c r="G121" s="4">
        <v>46005.0</v>
      </c>
      <c r="H121" s="4">
        <v>46107.0</v>
      </c>
      <c r="I121" s="3" t="s">
        <v>165</v>
      </c>
      <c r="J121" s="3" t="s">
        <v>166</v>
      </c>
      <c r="K121" s="3" t="s">
        <v>167</v>
      </c>
      <c r="L121" s="3">
        <v>0.9395</v>
      </c>
      <c r="M121" s="3">
        <v>23487.5</v>
      </c>
      <c r="N121" s="3">
        <v>4.0</v>
      </c>
      <c r="O121" s="3">
        <v>135693.0</v>
      </c>
      <c r="P121" s="3" t="s">
        <v>168</v>
      </c>
      <c r="Q121" s="3">
        <v>1024467.0</v>
      </c>
      <c r="R121" s="3"/>
      <c r="S121" s="3">
        <v>18790.0</v>
      </c>
      <c r="T121" s="3" t="s">
        <v>56</v>
      </c>
      <c r="U121" s="3">
        <v>18790.0</v>
      </c>
      <c r="V121" s="5">
        <f>VLOOKUP(Additional!$D121, 'Period of Exposures'!B:C, 2, FALSE)</f>
        <v>33</v>
      </c>
    </row>
    <row r="122" ht="15.75" customHeight="1">
      <c r="A122" s="3">
        <v>6.0</v>
      </c>
      <c r="B122" s="3" t="s">
        <v>23</v>
      </c>
      <c r="C122" s="3" t="s">
        <v>68</v>
      </c>
      <c r="D122" s="3" t="s">
        <v>69</v>
      </c>
      <c r="E122" s="3" t="s">
        <v>70</v>
      </c>
      <c r="F122" s="3">
        <v>1739639.0</v>
      </c>
      <c r="G122" s="4">
        <v>46009.0</v>
      </c>
      <c r="H122" s="4">
        <v>46111.0</v>
      </c>
      <c r="I122" s="3" t="s">
        <v>169</v>
      </c>
      <c r="J122" s="3" t="s">
        <v>170</v>
      </c>
      <c r="K122" s="3" t="s">
        <v>171</v>
      </c>
      <c r="L122" s="3">
        <v>0.504</v>
      </c>
      <c r="M122" s="3">
        <v>12600.0</v>
      </c>
      <c r="N122" s="3">
        <v>4.0</v>
      </c>
      <c r="O122" s="3">
        <v>294640.0</v>
      </c>
      <c r="P122" s="3" t="s">
        <v>172</v>
      </c>
      <c r="Q122" s="3">
        <v>1022343.0</v>
      </c>
      <c r="R122" s="3"/>
      <c r="S122" s="3">
        <v>10080.0</v>
      </c>
      <c r="T122" s="3" t="s">
        <v>56</v>
      </c>
      <c r="U122" s="3">
        <v>10080.0</v>
      </c>
      <c r="V122" s="5">
        <f>VLOOKUP(Additional!$D122, 'Period of Exposures'!B:C, 2, FALSE)</f>
        <v>33</v>
      </c>
    </row>
    <row r="123" ht="15.75" customHeight="1">
      <c r="A123" s="3">
        <v>7.0</v>
      </c>
      <c r="B123" s="3" t="s">
        <v>23</v>
      </c>
      <c r="C123" s="3" t="s">
        <v>68</v>
      </c>
      <c r="D123" s="3" t="s">
        <v>69</v>
      </c>
      <c r="E123" s="3" t="s">
        <v>184</v>
      </c>
      <c r="F123" s="3">
        <v>1739639.0</v>
      </c>
      <c r="G123" s="4">
        <v>46009.0</v>
      </c>
      <c r="H123" s="4">
        <v>46111.0</v>
      </c>
      <c r="I123" s="3" t="s">
        <v>185</v>
      </c>
      <c r="J123" s="3" t="s">
        <v>186</v>
      </c>
      <c r="K123" s="3" t="s">
        <v>187</v>
      </c>
      <c r="L123" s="3">
        <v>1.2874</v>
      </c>
      <c r="M123" s="3">
        <v>32185.0</v>
      </c>
      <c r="N123" s="3">
        <v>4.0</v>
      </c>
      <c r="O123" s="3">
        <v>356957.0</v>
      </c>
      <c r="P123" s="3"/>
      <c r="Q123" s="3">
        <v>1137947.0</v>
      </c>
      <c r="R123" s="3"/>
      <c r="S123" s="3">
        <v>25748.0</v>
      </c>
      <c r="T123" s="3" t="s">
        <v>56</v>
      </c>
      <c r="U123" s="3">
        <v>25748.0</v>
      </c>
      <c r="V123" s="5">
        <f>VLOOKUP(Additional!$D123, 'Period of Exposures'!B:C, 2, FALSE)</f>
        <v>33</v>
      </c>
    </row>
    <row r="124" ht="15.75" customHeight="1">
      <c r="A124" s="3">
        <v>8.0</v>
      </c>
      <c r="B124" s="3" t="s">
        <v>23</v>
      </c>
      <c r="C124" s="3" t="s">
        <v>68</v>
      </c>
      <c r="D124" s="3" t="s">
        <v>69</v>
      </c>
      <c r="E124" s="3" t="s">
        <v>184</v>
      </c>
      <c r="F124" s="3">
        <v>1739652.0</v>
      </c>
      <c r="G124" s="4">
        <v>46009.0</v>
      </c>
      <c r="H124" s="4">
        <v>46111.0</v>
      </c>
      <c r="I124" s="3" t="s">
        <v>201</v>
      </c>
      <c r="J124" s="3" t="s">
        <v>202</v>
      </c>
      <c r="K124" s="3" t="s">
        <v>203</v>
      </c>
      <c r="L124" s="3">
        <v>0.7181</v>
      </c>
      <c r="M124" s="3">
        <v>17952.5</v>
      </c>
      <c r="N124" s="3">
        <v>4.0</v>
      </c>
      <c r="O124" s="3">
        <v>334290.0</v>
      </c>
      <c r="P124" s="3" t="s">
        <v>204</v>
      </c>
      <c r="Q124" s="3">
        <v>1138050.0</v>
      </c>
      <c r="R124" s="3"/>
      <c r="S124" s="3">
        <v>14362.0</v>
      </c>
      <c r="T124" s="3" t="s">
        <v>56</v>
      </c>
      <c r="U124" s="3">
        <v>14362.0</v>
      </c>
      <c r="V124" s="5">
        <f>VLOOKUP(Additional!$D124, 'Period of Exposures'!B:C, 2, FALSE)</f>
        <v>33</v>
      </c>
    </row>
    <row r="125" ht="15.75" customHeight="1">
      <c r="A125" s="3">
        <v>9.0</v>
      </c>
      <c r="B125" s="3" t="s">
        <v>23</v>
      </c>
      <c r="C125" s="3" t="s">
        <v>68</v>
      </c>
      <c r="D125" s="3" t="s">
        <v>69</v>
      </c>
      <c r="E125" s="3" t="s">
        <v>131</v>
      </c>
      <c r="F125" s="3">
        <v>1739642.0</v>
      </c>
      <c r="G125" s="4">
        <v>46018.0</v>
      </c>
      <c r="H125" s="4">
        <v>46110.0</v>
      </c>
      <c r="I125" s="3" t="s">
        <v>209</v>
      </c>
      <c r="J125" s="3" t="s">
        <v>210</v>
      </c>
      <c r="K125" s="3" t="s">
        <v>211</v>
      </c>
      <c r="L125" s="3">
        <v>0.7053</v>
      </c>
      <c r="M125" s="3">
        <v>17632.5</v>
      </c>
      <c r="N125" s="3">
        <v>4.0</v>
      </c>
      <c r="O125" s="3">
        <v>127353.0</v>
      </c>
      <c r="P125" s="3"/>
      <c r="Q125" s="3">
        <v>1137727.0</v>
      </c>
      <c r="R125" s="3"/>
      <c r="S125" s="3">
        <v>14106.0</v>
      </c>
      <c r="T125" s="3" t="s">
        <v>56</v>
      </c>
      <c r="U125" s="3">
        <v>14106.0</v>
      </c>
      <c r="V125" s="5">
        <f>VLOOKUP(Additional!$D125, 'Period of Exposures'!B:C, 2, FALSE)</f>
        <v>33</v>
      </c>
    </row>
    <row r="126" ht="15.75" customHeight="1">
      <c r="A126" s="3">
        <v>10.0</v>
      </c>
      <c r="B126" s="3" t="s">
        <v>23</v>
      </c>
      <c r="C126" s="3" t="s">
        <v>68</v>
      </c>
      <c r="D126" s="3" t="s">
        <v>69</v>
      </c>
      <c r="E126" s="3" t="s">
        <v>184</v>
      </c>
      <c r="F126" s="3">
        <v>1739640.0</v>
      </c>
      <c r="G126" s="4">
        <v>46006.0</v>
      </c>
      <c r="H126" s="4">
        <v>46108.0</v>
      </c>
      <c r="I126" s="3" t="s">
        <v>244</v>
      </c>
      <c r="J126" s="3" t="s">
        <v>245</v>
      </c>
      <c r="K126" s="3" t="s">
        <v>246</v>
      </c>
      <c r="L126" s="3">
        <v>0.4984</v>
      </c>
      <c r="M126" s="3">
        <v>12460.0</v>
      </c>
      <c r="N126" s="3">
        <v>4.0</v>
      </c>
      <c r="O126" s="3">
        <v>387138.0</v>
      </c>
      <c r="P126" s="3" t="s">
        <v>247</v>
      </c>
      <c r="Q126" s="3">
        <v>1138128.0</v>
      </c>
      <c r="R126" s="3"/>
      <c r="S126" s="3">
        <v>9968.0</v>
      </c>
      <c r="T126" s="3" t="s">
        <v>56</v>
      </c>
      <c r="U126" s="3">
        <v>9968.0</v>
      </c>
      <c r="V126" s="5">
        <f>VLOOKUP(Additional!$D126, 'Period of Exposures'!B:C, 2, FALSE)</f>
        <v>33</v>
      </c>
    </row>
    <row r="127" ht="15.75" customHeight="1">
      <c r="A127" s="3">
        <v>110.0</v>
      </c>
      <c r="B127" s="3" t="s">
        <v>23</v>
      </c>
      <c r="C127" s="3" t="s">
        <v>68</v>
      </c>
      <c r="D127" s="3" t="s">
        <v>262</v>
      </c>
      <c r="E127" s="3" t="s">
        <v>273</v>
      </c>
      <c r="F127" s="3">
        <v>1739582.0</v>
      </c>
      <c r="G127" s="4">
        <v>46009.0</v>
      </c>
      <c r="H127" s="4">
        <v>46111.0</v>
      </c>
      <c r="I127" s="3" t="s">
        <v>1051</v>
      </c>
      <c r="J127" s="3" t="s">
        <v>3117</v>
      </c>
      <c r="K127" s="3" t="s">
        <v>274</v>
      </c>
      <c r="L127" s="3">
        <v>1.5</v>
      </c>
      <c r="M127" s="3">
        <v>37500.0</v>
      </c>
      <c r="N127" s="3">
        <v>4.0</v>
      </c>
      <c r="O127" s="3">
        <v>148931.0</v>
      </c>
      <c r="P127" s="3" t="s">
        <v>3118</v>
      </c>
      <c r="Q127" s="3">
        <v>1029429.0</v>
      </c>
      <c r="R127" s="3"/>
      <c r="S127" s="3">
        <v>30000.0</v>
      </c>
      <c r="T127" s="3" t="s">
        <v>56</v>
      </c>
      <c r="U127" s="3">
        <v>30000.0</v>
      </c>
      <c r="V127" s="5">
        <f>VLOOKUP(Additional!$D127, 'Period of Exposures'!B:C, 2, FALSE)</f>
        <v>33</v>
      </c>
    </row>
    <row r="128" ht="15.75" customHeight="1">
      <c r="A128" s="3">
        <v>111.0</v>
      </c>
      <c r="B128" s="3" t="s">
        <v>23</v>
      </c>
      <c r="C128" s="3" t="s">
        <v>68</v>
      </c>
      <c r="D128" s="3" t="s">
        <v>262</v>
      </c>
      <c r="E128" s="3" t="s">
        <v>273</v>
      </c>
      <c r="F128" s="3">
        <v>1739582.0</v>
      </c>
      <c r="G128" s="4">
        <v>46009.0</v>
      </c>
      <c r="H128" s="4">
        <v>46111.0</v>
      </c>
      <c r="I128" s="3" t="s">
        <v>1051</v>
      </c>
      <c r="J128" s="3" t="s">
        <v>426</v>
      </c>
      <c r="K128" s="3" t="s">
        <v>737</v>
      </c>
      <c r="L128" s="3">
        <v>0.8</v>
      </c>
      <c r="M128" s="3">
        <v>20000.0</v>
      </c>
      <c r="N128" s="3">
        <v>4.0</v>
      </c>
      <c r="O128" s="3">
        <v>108771.0</v>
      </c>
      <c r="P128" s="3"/>
      <c r="Q128" s="3">
        <v>701057.0</v>
      </c>
      <c r="R128" s="3"/>
      <c r="S128" s="3">
        <v>16000.0</v>
      </c>
      <c r="T128" s="3" t="s">
        <v>56</v>
      </c>
      <c r="U128" s="3">
        <v>16000.0</v>
      </c>
      <c r="V128" s="5">
        <f>VLOOKUP(Additional!$D128, 'Period of Exposures'!B:C, 2, FALSE)</f>
        <v>33</v>
      </c>
    </row>
    <row r="129" ht="15.75" customHeight="1">
      <c r="A129" s="3">
        <v>112.0</v>
      </c>
      <c r="B129" s="3" t="s">
        <v>23</v>
      </c>
      <c r="C129" s="3" t="s">
        <v>68</v>
      </c>
      <c r="D129" s="3" t="s">
        <v>262</v>
      </c>
      <c r="E129" s="3" t="s">
        <v>273</v>
      </c>
      <c r="F129" s="3">
        <v>1739591.0</v>
      </c>
      <c r="G129" s="4">
        <v>46018.0</v>
      </c>
      <c r="H129" s="4">
        <v>46110.0</v>
      </c>
      <c r="I129" s="3" t="s">
        <v>3129</v>
      </c>
      <c r="J129" s="3" t="s">
        <v>3130</v>
      </c>
      <c r="K129" s="3" t="s">
        <v>2713</v>
      </c>
      <c r="L129" s="3">
        <v>0.5497</v>
      </c>
      <c r="M129" s="3">
        <v>13742.5</v>
      </c>
      <c r="N129" s="3">
        <v>4.0</v>
      </c>
      <c r="O129" s="3">
        <v>251158.0</v>
      </c>
      <c r="P129" s="3" t="s">
        <v>3131</v>
      </c>
      <c r="Q129" s="3">
        <v>1338340.0</v>
      </c>
      <c r="R129" s="3"/>
      <c r="S129" s="3">
        <v>10994.0</v>
      </c>
      <c r="T129" s="3" t="s">
        <v>56</v>
      </c>
      <c r="U129" s="3">
        <v>10994.0</v>
      </c>
      <c r="V129" s="5">
        <f>VLOOKUP(Additional!$D129, 'Period of Exposures'!B:C, 2, FALSE)</f>
        <v>33</v>
      </c>
    </row>
    <row r="130" ht="15.75" customHeight="1">
      <c r="A130" s="3">
        <v>113.0</v>
      </c>
      <c r="B130" s="3" t="s">
        <v>23</v>
      </c>
      <c r="C130" s="3" t="s">
        <v>68</v>
      </c>
      <c r="D130" s="3" t="s">
        <v>262</v>
      </c>
      <c r="E130" s="3" t="s">
        <v>405</v>
      </c>
      <c r="F130" s="3">
        <v>1739584.0</v>
      </c>
      <c r="G130" s="4">
        <v>46005.0</v>
      </c>
      <c r="H130" s="4">
        <v>46107.0</v>
      </c>
      <c r="I130" s="3" t="s">
        <v>3132</v>
      </c>
      <c r="J130" s="3" t="s">
        <v>3133</v>
      </c>
      <c r="K130" s="3" t="s">
        <v>3134</v>
      </c>
      <c r="L130" s="3">
        <v>0.8158</v>
      </c>
      <c r="M130" s="3">
        <v>20395.0</v>
      </c>
      <c r="N130" s="3">
        <v>4.0</v>
      </c>
      <c r="O130" s="3">
        <v>127344.0</v>
      </c>
      <c r="P130" s="3" t="s">
        <v>3135</v>
      </c>
      <c r="Q130" s="3">
        <v>1321583.0</v>
      </c>
      <c r="R130" s="3"/>
      <c r="S130" s="3">
        <v>16316.0</v>
      </c>
      <c r="T130" s="3" t="s">
        <v>56</v>
      </c>
      <c r="U130" s="3">
        <v>16316.0</v>
      </c>
      <c r="V130" s="5">
        <f>VLOOKUP(Additional!$D130, 'Period of Exposures'!B:C, 2, FALSE)</f>
        <v>33</v>
      </c>
    </row>
    <row r="131" ht="15.75" customHeight="1">
      <c r="A131" s="3">
        <v>114.0</v>
      </c>
      <c r="B131" s="3" t="s">
        <v>23</v>
      </c>
      <c r="C131" s="3" t="s">
        <v>68</v>
      </c>
      <c r="D131" s="3" t="s">
        <v>262</v>
      </c>
      <c r="E131" s="3" t="s">
        <v>405</v>
      </c>
      <c r="F131" s="3">
        <v>1739582.0</v>
      </c>
      <c r="G131" s="4">
        <v>46003.0</v>
      </c>
      <c r="H131" s="4">
        <v>46105.0</v>
      </c>
      <c r="I131" s="3" t="s">
        <v>2494</v>
      </c>
      <c r="J131" s="3" t="s">
        <v>665</v>
      </c>
      <c r="K131" s="3" t="s">
        <v>3136</v>
      </c>
      <c r="L131" s="3">
        <v>0.5479</v>
      </c>
      <c r="M131" s="3">
        <v>13697.5</v>
      </c>
      <c r="N131" s="3">
        <v>4.0</v>
      </c>
      <c r="O131" s="3">
        <v>187333.0</v>
      </c>
      <c r="P131" s="3" t="s">
        <v>3137</v>
      </c>
      <c r="Q131" s="3">
        <v>1315130.0</v>
      </c>
      <c r="R131" s="3"/>
      <c r="S131" s="3">
        <v>10958.0</v>
      </c>
      <c r="T131" s="3" t="s">
        <v>56</v>
      </c>
      <c r="U131" s="3">
        <v>10958.0</v>
      </c>
      <c r="V131" s="5">
        <f>VLOOKUP(Additional!$D131, 'Period of Exposures'!B:C, 2, FALSE)</f>
        <v>33</v>
      </c>
    </row>
    <row r="132" ht="15.75" customHeight="1">
      <c r="A132" s="3">
        <v>115.0</v>
      </c>
      <c r="B132" s="3" t="s">
        <v>23</v>
      </c>
      <c r="C132" s="3" t="s">
        <v>68</v>
      </c>
      <c r="D132" s="3" t="s">
        <v>262</v>
      </c>
      <c r="E132" s="3" t="s">
        <v>405</v>
      </c>
      <c r="F132" s="3">
        <v>1739582.0</v>
      </c>
      <c r="G132" s="4">
        <v>46003.0</v>
      </c>
      <c r="H132" s="4">
        <v>46105.0</v>
      </c>
      <c r="I132" s="3" t="s">
        <v>2494</v>
      </c>
      <c r="J132" s="3" t="s">
        <v>665</v>
      </c>
      <c r="K132" s="3" t="s">
        <v>3136</v>
      </c>
      <c r="L132" s="3">
        <v>0.7</v>
      </c>
      <c r="M132" s="3">
        <v>17500.0</v>
      </c>
      <c r="N132" s="3">
        <v>4.0</v>
      </c>
      <c r="O132" s="3">
        <v>187333.0</v>
      </c>
      <c r="P132" s="3" t="s">
        <v>3137</v>
      </c>
      <c r="Q132" s="3">
        <v>1315132.0</v>
      </c>
      <c r="R132" s="3"/>
      <c r="S132" s="3">
        <v>14000.0</v>
      </c>
      <c r="T132" s="3" t="s">
        <v>56</v>
      </c>
      <c r="U132" s="3">
        <v>14000.0</v>
      </c>
      <c r="V132" s="5">
        <f>VLOOKUP(Additional!$D132, 'Period of Exposures'!B:C, 2, FALSE)</f>
        <v>33</v>
      </c>
    </row>
    <row r="133" ht="15.75" customHeight="1">
      <c r="A133" s="3">
        <v>116.0</v>
      </c>
      <c r="B133" s="3" t="s">
        <v>23</v>
      </c>
      <c r="C133" s="3" t="s">
        <v>68</v>
      </c>
      <c r="D133" s="3" t="s">
        <v>262</v>
      </c>
      <c r="E133" s="3" t="s">
        <v>273</v>
      </c>
      <c r="F133" s="3">
        <v>1739582.0</v>
      </c>
      <c r="G133" s="4">
        <v>46009.0</v>
      </c>
      <c r="H133" s="4">
        <v>46111.0</v>
      </c>
      <c r="I133" s="3" t="s">
        <v>1051</v>
      </c>
      <c r="J133" s="3" t="s">
        <v>3117</v>
      </c>
      <c r="K133" s="3" t="s">
        <v>274</v>
      </c>
      <c r="L133" s="3">
        <v>0.4448</v>
      </c>
      <c r="M133" s="3">
        <v>11120.0</v>
      </c>
      <c r="N133" s="3">
        <v>4.0</v>
      </c>
      <c r="O133" s="3">
        <v>148931.0</v>
      </c>
      <c r="P133" s="3" t="s">
        <v>3118</v>
      </c>
      <c r="Q133" s="3">
        <v>1029433.0</v>
      </c>
      <c r="R133" s="3"/>
      <c r="S133" s="3">
        <v>8896.0</v>
      </c>
      <c r="T133" s="3" t="s">
        <v>56</v>
      </c>
      <c r="U133" s="3">
        <v>8896.0</v>
      </c>
      <c r="V133" s="5">
        <f>VLOOKUP(Additional!$D133, 'Period of Exposures'!B:C, 2, FALSE)</f>
        <v>33</v>
      </c>
    </row>
    <row r="134" ht="15.75" customHeight="1">
      <c r="A134" s="3">
        <v>117.0</v>
      </c>
      <c r="B134" s="3" t="s">
        <v>23</v>
      </c>
      <c r="C134" s="3" t="s">
        <v>68</v>
      </c>
      <c r="D134" s="3" t="s">
        <v>262</v>
      </c>
      <c r="E134" s="3" t="s">
        <v>405</v>
      </c>
      <c r="F134" s="3">
        <v>1739582.0</v>
      </c>
      <c r="G134" s="4">
        <v>46008.0</v>
      </c>
      <c r="H134" s="4">
        <v>46110.0</v>
      </c>
      <c r="I134" s="3" t="s">
        <v>3210</v>
      </c>
      <c r="J134" s="3" t="s">
        <v>985</v>
      </c>
      <c r="K134" s="3" t="s">
        <v>3211</v>
      </c>
      <c r="L134" s="3">
        <v>0.3</v>
      </c>
      <c r="M134" s="3">
        <v>7500.0</v>
      </c>
      <c r="N134" s="3">
        <v>4.0</v>
      </c>
      <c r="O134" s="3">
        <v>32693.0</v>
      </c>
      <c r="P134" s="3" t="s">
        <v>3212</v>
      </c>
      <c r="Q134" s="3">
        <v>1314945.0</v>
      </c>
      <c r="R134" s="3"/>
      <c r="S134" s="3">
        <v>6000.0</v>
      </c>
      <c r="T134" s="3" t="s">
        <v>56</v>
      </c>
      <c r="U134" s="3">
        <v>6000.0</v>
      </c>
      <c r="V134" s="5">
        <f>VLOOKUP(Additional!$D134, 'Period of Exposures'!B:C, 2, FALSE)</f>
        <v>33</v>
      </c>
    </row>
    <row r="135" ht="15.75" customHeight="1">
      <c r="A135" s="3">
        <v>118.0</v>
      </c>
      <c r="B135" s="3" t="s">
        <v>23</v>
      </c>
      <c r="C135" s="3" t="s">
        <v>68</v>
      </c>
      <c r="D135" s="3" t="s">
        <v>262</v>
      </c>
      <c r="E135" s="3" t="s">
        <v>405</v>
      </c>
      <c r="F135" s="3">
        <v>1739584.0</v>
      </c>
      <c r="G135" s="4">
        <v>46001.0</v>
      </c>
      <c r="H135" s="4">
        <v>46103.0</v>
      </c>
      <c r="I135" s="3" t="s">
        <v>3247</v>
      </c>
      <c r="J135" s="3" t="s">
        <v>3248</v>
      </c>
      <c r="K135" s="3" t="s">
        <v>494</v>
      </c>
      <c r="L135" s="3">
        <v>0.4842</v>
      </c>
      <c r="M135" s="3">
        <v>12105.0</v>
      </c>
      <c r="N135" s="3">
        <v>4.0</v>
      </c>
      <c r="O135" s="3">
        <v>333955.0</v>
      </c>
      <c r="P135" s="3" t="s">
        <v>3249</v>
      </c>
      <c r="Q135" s="3">
        <v>1033972.0</v>
      </c>
      <c r="R135" s="3"/>
      <c r="S135" s="3">
        <v>9684.0</v>
      </c>
      <c r="T135" s="3" t="s">
        <v>56</v>
      </c>
      <c r="U135" s="3">
        <v>9684.0</v>
      </c>
      <c r="V135" s="5">
        <f>VLOOKUP(Additional!$D135, 'Period of Exposures'!B:C, 2, FALSE)</f>
        <v>33</v>
      </c>
    </row>
    <row r="136" ht="15.75" customHeight="1">
      <c r="A136" s="3">
        <v>119.0</v>
      </c>
      <c r="B136" s="3" t="s">
        <v>23</v>
      </c>
      <c r="C136" s="3" t="s">
        <v>68</v>
      </c>
      <c r="D136" s="3" t="s">
        <v>262</v>
      </c>
      <c r="E136" s="3" t="s">
        <v>405</v>
      </c>
      <c r="F136" s="3">
        <v>1739584.0</v>
      </c>
      <c r="G136" s="4">
        <v>46014.0</v>
      </c>
      <c r="H136" s="4">
        <v>46106.0</v>
      </c>
      <c r="I136" s="3" t="s">
        <v>3251</v>
      </c>
      <c r="J136" s="3" t="s">
        <v>3141</v>
      </c>
      <c r="K136" s="3" t="s">
        <v>821</v>
      </c>
      <c r="L136" s="3">
        <v>0.732</v>
      </c>
      <c r="M136" s="3">
        <v>18300.0</v>
      </c>
      <c r="N136" s="3">
        <v>4.0</v>
      </c>
      <c r="O136" s="3">
        <v>225509.0</v>
      </c>
      <c r="P136" s="3" t="s">
        <v>3252</v>
      </c>
      <c r="Q136" s="3">
        <v>1321587.0</v>
      </c>
      <c r="R136" s="3"/>
      <c r="S136" s="3">
        <v>14640.0</v>
      </c>
      <c r="T136" s="3" t="s">
        <v>56</v>
      </c>
      <c r="U136" s="3">
        <v>14640.0</v>
      </c>
      <c r="V136" s="5">
        <f>VLOOKUP(Additional!$D136, 'Period of Exposures'!B:C, 2, FALSE)</f>
        <v>33</v>
      </c>
    </row>
    <row r="137" ht="15.75" customHeight="1">
      <c r="A137" s="3">
        <v>120.0</v>
      </c>
      <c r="B137" s="3" t="s">
        <v>23</v>
      </c>
      <c r="C137" s="3" t="s">
        <v>68</v>
      </c>
      <c r="D137" s="3" t="s">
        <v>262</v>
      </c>
      <c r="E137" s="3" t="s">
        <v>810</v>
      </c>
      <c r="F137" s="3">
        <v>1739581.0</v>
      </c>
      <c r="G137" s="4">
        <v>46002.0</v>
      </c>
      <c r="H137" s="4">
        <v>46104.0</v>
      </c>
      <c r="I137" s="3" t="s">
        <v>3256</v>
      </c>
      <c r="J137" s="3" t="s">
        <v>722</v>
      </c>
      <c r="K137" s="3" t="s">
        <v>3257</v>
      </c>
      <c r="L137" s="3">
        <v>1.215</v>
      </c>
      <c r="M137" s="3">
        <v>30375.0</v>
      </c>
      <c r="N137" s="3">
        <v>4.0</v>
      </c>
      <c r="O137" s="3">
        <v>124408.0</v>
      </c>
      <c r="P137" s="3" t="s">
        <v>3258</v>
      </c>
      <c r="Q137" s="3">
        <v>1319647.0</v>
      </c>
      <c r="R137" s="3"/>
      <c r="S137" s="3">
        <v>24300.0</v>
      </c>
      <c r="T137" s="3" t="s">
        <v>56</v>
      </c>
      <c r="U137" s="3">
        <v>24300.0</v>
      </c>
      <c r="V137" s="5">
        <f>VLOOKUP(Additional!$D137, 'Period of Exposures'!B:C, 2, FALSE)</f>
        <v>33</v>
      </c>
    </row>
    <row r="138" ht="15.75" customHeight="1">
      <c r="A138" s="3">
        <v>137.0</v>
      </c>
      <c r="B138" s="3" t="s">
        <v>23</v>
      </c>
      <c r="C138" s="3" t="s">
        <v>68</v>
      </c>
      <c r="D138" s="3" t="s">
        <v>122</v>
      </c>
      <c r="E138" s="3" t="s">
        <v>376</v>
      </c>
      <c r="F138" s="3">
        <v>1196930.0</v>
      </c>
      <c r="G138" s="4">
        <v>46007.0</v>
      </c>
      <c r="H138" s="4">
        <v>46109.0</v>
      </c>
      <c r="I138" s="3" t="s">
        <v>1790</v>
      </c>
      <c r="J138" s="3" t="s">
        <v>3477</v>
      </c>
      <c r="K138" s="3" t="s">
        <v>3478</v>
      </c>
      <c r="L138" s="3">
        <v>0.295</v>
      </c>
      <c r="M138" s="3">
        <v>7375.0</v>
      </c>
      <c r="N138" s="3">
        <v>4.0</v>
      </c>
      <c r="O138" s="3">
        <v>448497.0</v>
      </c>
      <c r="P138" s="3"/>
      <c r="Q138" s="3">
        <v>1192271.0</v>
      </c>
      <c r="R138" s="3"/>
      <c r="S138" s="3">
        <v>5900.0</v>
      </c>
      <c r="T138" s="3" t="s">
        <v>56</v>
      </c>
      <c r="U138" s="3">
        <v>5900.0</v>
      </c>
      <c r="V138" s="5">
        <f>VLOOKUP(Additional!$D138, 'Period of Exposures'!B:C, 2, FALSE)</f>
        <v>27</v>
      </c>
    </row>
    <row r="139" ht="15.75" customHeight="1">
      <c r="A139" s="3">
        <v>138.0</v>
      </c>
      <c r="B139" s="3" t="s">
        <v>23</v>
      </c>
      <c r="C139" s="3" t="s">
        <v>68</v>
      </c>
      <c r="D139" s="3" t="s">
        <v>122</v>
      </c>
      <c r="E139" s="3" t="s">
        <v>376</v>
      </c>
      <c r="F139" s="3">
        <v>1196930.0</v>
      </c>
      <c r="G139" s="4">
        <v>46007.0</v>
      </c>
      <c r="H139" s="4">
        <v>46109.0</v>
      </c>
      <c r="I139" s="3" t="s">
        <v>1790</v>
      </c>
      <c r="J139" s="3" t="s">
        <v>3477</v>
      </c>
      <c r="K139" s="3" t="s">
        <v>3478</v>
      </c>
      <c r="L139" s="3">
        <v>0.5229</v>
      </c>
      <c r="M139" s="3">
        <v>13072.5</v>
      </c>
      <c r="N139" s="3">
        <v>4.0</v>
      </c>
      <c r="O139" s="3">
        <v>448497.0</v>
      </c>
      <c r="P139" s="3"/>
      <c r="Q139" s="3">
        <v>1192272.0</v>
      </c>
      <c r="R139" s="3"/>
      <c r="S139" s="3">
        <v>10458.0</v>
      </c>
      <c r="T139" s="3" t="s">
        <v>56</v>
      </c>
      <c r="U139" s="3">
        <v>10458.0</v>
      </c>
      <c r="V139" s="5">
        <f>VLOOKUP(Additional!$D139, 'Period of Exposures'!B:C, 2, FALSE)</f>
        <v>27</v>
      </c>
    </row>
    <row r="140" ht="15.75" customHeight="1">
      <c r="A140" s="3">
        <v>139.0</v>
      </c>
      <c r="B140" s="3" t="s">
        <v>23</v>
      </c>
      <c r="C140" s="3" t="s">
        <v>68</v>
      </c>
      <c r="D140" s="3" t="s">
        <v>122</v>
      </c>
      <c r="E140" s="3" t="s">
        <v>376</v>
      </c>
      <c r="F140" s="3">
        <v>1196930.0</v>
      </c>
      <c r="G140" s="4">
        <v>46007.0</v>
      </c>
      <c r="H140" s="4">
        <v>46109.0</v>
      </c>
      <c r="I140" s="3" t="s">
        <v>1790</v>
      </c>
      <c r="J140" s="3" t="s">
        <v>3477</v>
      </c>
      <c r="K140" s="3" t="s">
        <v>3478</v>
      </c>
      <c r="L140" s="3">
        <v>0.3681</v>
      </c>
      <c r="M140" s="3">
        <v>9202.5</v>
      </c>
      <c r="N140" s="3">
        <v>4.0</v>
      </c>
      <c r="O140" s="3">
        <v>448497.0</v>
      </c>
      <c r="P140" s="3"/>
      <c r="Q140" s="3">
        <v>1319056.0</v>
      </c>
      <c r="R140" s="3"/>
      <c r="S140" s="3">
        <v>7362.0</v>
      </c>
      <c r="T140" s="3" t="s">
        <v>56</v>
      </c>
      <c r="U140" s="3">
        <v>7362.0</v>
      </c>
      <c r="V140" s="5">
        <f>VLOOKUP(Additional!$D140, 'Period of Exposures'!B:C, 2, FALSE)</f>
        <v>27</v>
      </c>
    </row>
    <row r="141" ht="15.75" customHeight="1">
      <c r="A141" s="3">
        <v>140.0</v>
      </c>
      <c r="B141" s="3" t="s">
        <v>23</v>
      </c>
      <c r="C141" s="3" t="s">
        <v>68</v>
      </c>
      <c r="D141" s="3" t="s">
        <v>289</v>
      </c>
      <c r="E141" s="3" t="s">
        <v>290</v>
      </c>
      <c r="F141" s="3">
        <v>1760020.0</v>
      </c>
      <c r="G141" s="4">
        <v>46006.0</v>
      </c>
      <c r="H141" s="4">
        <v>46108.0</v>
      </c>
      <c r="I141" s="3" t="s">
        <v>3479</v>
      </c>
      <c r="J141" s="3" t="s">
        <v>3480</v>
      </c>
      <c r="K141" s="3" t="s">
        <v>3481</v>
      </c>
      <c r="L141" s="3">
        <v>1.8439</v>
      </c>
      <c r="M141" s="3">
        <v>46097.5</v>
      </c>
      <c r="N141" s="3">
        <v>4.0</v>
      </c>
      <c r="O141" s="3">
        <v>351675.0</v>
      </c>
      <c r="P141" s="3" t="s">
        <v>3482</v>
      </c>
      <c r="Q141" s="3">
        <v>953286.0</v>
      </c>
      <c r="R141" s="3"/>
      <c r="S141" s="3">
        <v>36878.0</v>
      </c>
      <c r="T141" s="3" t="s">
        <v>56</v>
      </c>
      <c r="U141" s="3">
        <v>36878.0</v>
      </c>
      <c r="V141" s="5">
        <f>VLOOKUP(Additional!$D141, 'Period of Exposures'!B:C, 2, FALSE)</f>
        <v>30</v>
      </c>
    </row>
    <row r="142" ht="15.75" customHeight="1">
      <c r="A142" s="3">
        <v>141.0</v>
      </c>
      <c r="B142" s="3" t="s">
        <v>23</v>
      </c>
      <c r="C142" s="3" t="s">
        <v>68</v>
      </c>
      <c r="D142" s="3" t="s">
        <v>289</v>
      </c>
      <c r="E142" s="3" t="s">
        <v>290</v>
      </c>
      <c r="F142" s="3">
        <v>1760020.0</v>
      </c>
      <c r="G142" s="4">
        <v>46006.0</v>
      </c>
      <c r="H142" s="4">
        <v>46108.0</v>
      </c>
      <c r="I142" s="3" t="s">
        <v>3483</v>
      </c>
      <c r="J142" s="3" t="s">
        <v>3484</v>
      </c>
      <c r="K142" s="3" t="s">
        <v>3485</v>
      </c>
      <c r="L142" s="3">
        <v>1.0</v>
      </c>
      <c r="M142" s="3">
        <v>25000.0</v>
      </c>
      <c r="N142" s="3">
        <v>4.0</v>
      </c>
      <c r="O142" s="3">
        <v>199761.0</v>
      </c>
      <c r="P142" s="3" t="s">
        <v>3486</v>
      </c>
      <c r="Q142" s="3">
        <v>953291.0</v>
      </c>
      <c r="R142" s="3"/>
      <c r="S142" s="3">
        <v>20000.0</v>
      </c>
      <c r="T142" s="3" t="s">
        <v>56</v>
      </c>
      <c r="U142" s="3">
        <v>20000.0</v>
      </c>
      <c r="V142" s="5">
        <f>VLOOKUP(Additional!$D142, 'Period of Exposures'!B:C, 2, FALSE)</f>
        <v>30</v>
      </c>
    </row>
    <row r="143" ht="15.75" customHeight="1">
      <c r="A143" s="3">
        <v>142.0</v>
      </c>
      <c r="B143" s="3" t="s">
        <v>23</v>
      </c>
      <c r="C143" s="3" t="s">
        <v>68</v>
      </c>
      <c r="D143" s="3" t="s">
        <v>289</v>
      </c>
      <c r="E143" s="3" t="s">
        <v>290</v>
      </c>
      <c r="F143" s="3">
        <v>1760020.0</v>
      </c>
      <c r="G143" s="4">
        <v>46006.0</v>
      </c>
      <c r="H143" s="4">
        <v>46108.0</v>
      </c>
      <c r="I143" s="3" t="s">
        <v>3524</v>
      </c>
      <c r="J143" s="3" t="s">
        <v>3525</v>
      </c>
      <c r="K143" s="3" t="s">
        <v>976</v>
      </c>
      <c r="L143" s="3">
        <v>2.0</v>
      </c>
      <c r="M143" s="3">
        <v>50000.0</v>
      </c>
      <c r="N143" s="3">
        <v>4.0</v>
      </c>
      <c r="O143" s="3">
        <v>239447.0</v>
      </c>
      <c r="P143" s="3" t="s">
        <v>3526</v>
      </c>
      <c r="Q143" s="3">
        <v>953295.0</v>
      </c>
      <c r="R143" s="3"/>
      <c r="S143" s="3">
        <v>40000.0</v>
      </c>
      <c r="T143" s="3" t="s">
        <v>56</v>
      </c>
      <c r="U143" s="3">
        <v>40000.0</v>
      </c>
      <c r="V143" s="5">
        <f>VLOOKUP(Additional!$D143, 'Period of Exposures'!B:C, 2, FALSE)</f>
        <v>30</v>
      </c>
    </row>
    <row r="144" ht="15.75" customHeight="1">
      <c r="A144" s="3">
        <v>143.0</v>
      </c>
      <c r="B144" s="3" t="s">
        <v>23</v>
      </c>
      <c r="C144" s="3" t="s">
        <v>68</v>
      </c>
      <c r="D144" s="3" t="s">
        <v>289</v>
      </c>
      <c r="E144" s="3" t="s">
        <v>895</v>
      </c>
      <c r="F144" s="3">
        <v>1760020.0</v>
      </c>
      <c r="G144" s="4">
        <v>46019.0</v>
      </c>
      <c r="H144" s="4">
        <v>46111.0</v>
      </c>
      <c r="I144" s="3" t="s">
        <v>3529</v>
      </c>
      <c r="J144" s="3" t="s">
        <v>3530</v>
      </c>
      <c r="K144" s="3" t="s">
        <v>1180</v>
      </c>
      <c r="L144" s="3">
        <v>0.9052</v>
      </c>
      <c r="M144" s="3">
        <v>22630.0</v>
      </c>
      <c r="N144" s="3">
        <v>4.0</v>
      </c>
      <c r="O144" s="3">
        <v>199575.0</v>
      </c>
      <c r="P144" s="3"/>
      <c r="Q144" s="3">
        <v>1329888.0</v>
      </c>
      <c r="R144" s="3"/>
      <c r="S144" s="3">
        <v>18104.0</v>
      </c>
      <c r="T144" s="3" t="s">
        <v>56</v>
      </c>
      <c r="U144" s="3">
        <v>18104.0</v>
      </c>
      <c r="V144" s="5">
        <f>VLOOKUP(Additional!$D144, 'Period of Exposures'!B:C, 2, FALSE)</f>
        <v>30</v>
      </c>
    </row>
    <row r="145" ht="15.75" customHeight="1">
      <c r="A145" s="3">
        <v>144.0</v>
      </c>
      <c r="B145" s="3" t="s">
        <v>23</v>
      </c>
      <c r="C145" s="3" t="s">
        <v>68</v>
      </c>
      <c r="D145" s="3" t="s">
        <v>289</v>
      </c>
      <c r="E145" s="3" t="s">
        <v>702</v>
      </c>
      <c r="F145" s="3">
        <v>1760010.0</v>
      </c>
      <c r="G145" s="4">
        <v>46009.0</v>
      </c>
      <c r="H145" s="4">
        <v>46111.0</v>
      </c>
      <c r="I145" s="3" t="s">
        <v>1844</v>
      </c>
      <c r="J145" s="3" t="s">
        <v>3533</v>
      </c>
      <c r="K145" s="3" t="s">
        <v>419</v>
      </c>
      <c r="L145" s="3">
        <v>1.3</v>
      </c>
      <c r="M145" s="3">
        <v>32500.0</v>
      </c>
      <c r="N145" s="3">
        <v>4.0</v>
      </c>
      <c r="O145" s="3">
        <v>117255.0</v>
      </c>
      <c r="P145" s="3" t="s">
        <v>3534</v>
      </c>
      <c r="Q145" s="3">
        <v>1140815.0</v>
      </c>
      <c r="R145" s="3"/>
      <c r="S145" s="3">
        <v>26000.0</v>
      </c>
      <c r="T145" s="3" t="s">
        <v>56</v>
      </c>
      <c r="U145" s="3">
        <v>26000.0</v>
      </c>
      <c r="V145" s="5">
        <f>VLOOKUP(Additional!$D145, 'Period of Exposures'!B:C, 2, FALSE)</f>
        <v>30</v>
      </c>
    </row>
    <row r="146" ht="15.75" customHeight="1">
      <c r="A146" s="3">
        <v>145.0</v>
      </c>
      <c r="B146" s="3" t="s">
        <v>23</v>
      </c>
      <c r="C146" s="3" t="s">
        <v>68</v>
      </c>
      <c r="D146" s="3" t="s">
        <v>289</v>
      </c>
      <c r="E146" s="3" t="s">
        <v>895</v>
      </c>
      <c r="F146" s="3">
        <v>1760020.0</v>
      </c>
      <c r="G146" s="4">
        <v>46018.0</v>
      </c>
      <c r="H146" s="4">
        <v>46110.0</v>
      </c>
      <c r="I146" s="3" t="s">
        <v>2021</v>
      </c>
      <c r="J146" s="3" t="s">
        <v>3573</v>
      </c>
      <c r="K146" s="3" t="s">
        <v>2023</v>
      </c>
      <c r="L146" s="3">
        <v>1.0765</v>
      </c>
      <c r="M146" s="3">
        <v>26912.5</v>
      </c>
      <c r="N146" s="3">
        <v>4.0</v>
      </c>
      <c r="O146" s="3">
        <v>199292.0</v>
      </c>
      <c r="P146" s="3"/>
      <c r="Q146" s="3">
        <v>1237800.0</v>
      </c>
      <c r="R146" s="3"/>
      <c r="S146" s="3">
        <v>21530.0</v>
      </c>
      <c r="T146" s="3" t="s">
        <v>56</v>
      </c>
      <c r="U146" s="3">
        <v>21530.0</v>
      </c>
      <c r="V146" s="5">
        <f>VLOOKUP(Additional!$D146, 'Period of Exposures'!B:C, 2, FALSE)</f>
        <v>30</v>
      </c>
    </row>
    <row r="147" ht="15.75" customHeight="1">
      <c r="A147" s="3">
        <v>146.0</v>
      </c>
      <c r="B147" s="3" t="s">
        <v>23</v>
      </c>
      <c r="C147" s="3" t="s">
        <v>68</v>
      </c>
      <c r="D147" s="3" t="s">
        <v>289</v>
      </c>
      <c r="E147" s="3" t="s">
        <v>895</v>
      </c>
      <c r="F147" s="3">
        <v>1760020.0</v>
      </c>
      <c r="G147" s="4">
        <v>46018.0</v>
      </c>
      <c r="H147" s="4">
        <v>46110.0</v>
      </c>
      <c r="I147" s="3" t="s">
        <v>2021</v>
      </c>
      <c r="J147" s="3" t="s">
        <v>3594</v>
      </c>
      <c r="K147" s="3" t="s">
        <v>2023</v>
      </c>
      <c r="L147" s="3">
        <v>3.0</v>
      </c>
      <c r="M147" s="3">
        <v>75000.0</v>
      </c>
      <c r="N147" s="3">
        <v>4.0</v>
      </c>
      <c r="O147" s="3">
        <v>91930.0</v>
      </c>
      <c r="P147" s="3" t="s">
        <v>3595</v>
      </c>
      <c r="Q147" s="3">
        <v>1280648.0</v>
      </c>
      <c r="R147" s="3"/>
      <c r="S147" s="3">
        <v>60000.0</v>
      </c>
      <c r="T147" s="3" t="s">
        <v>56</v>
      </c>
      <c r="U147" s="3">
        <v>60000.0</v>
      </c>
      <c r="V147" s="5">
        <f>VLOOKUP(Additional!$D147, 'Period of Exposures'!B:C, 2, FALSE)</f>
        <v>30</v>
      </c>
    </row>
    <row r="148" ht="15.75" customHeight="1">
      <c r="A148" s="3">
        <v>147.0</v>
      </c>
      <c r="B148" s="3" t="s">
        <v>23</v>
      </c>
      <c r="C148" s="3" t="s">
        <v>68</v>
      </c>
      <c r="D148" s="3" t="s">
        <v>289</v>
      </c>
      <c r="E148" s="3" t="s">
        <v>2291</v>
      </c>
      <c r="F148" s="3">
        <v>1760006.0</v>
      </c>
      <c r="G148" s="4">
        <v>46008.0</v>
      </c>
      <c r="H148" s="4">
        <v>46110.0</v>
      </c>
      <c r="I148" s="3" t="s">
        <v>3615</v>
      </c>
      <c r="J148" s="3" t="s">
        <v>3616</v>
      </c>
      <c r="K148" s="3" t="s">
        <v>3617</v>
      </c>
      <c r="L148" s="3">
        <v>0.7</v>
      </c>
      <c r="M148" s="3">
        <v>17500.0</v>
      </c>
      <c r="N148" s="3">
        <v>4.0</v>
      </c>
      <c r="O148" s="3">
        <v>448640.0</v>
      </c>
      <c r="P148" s="3"/>
      <c r="Q148" s="3">
        <v>1278466.0</v>
      </c>
      <c r="R148" s="3"/>
      <c r="S148" s="3">
        <v>14000.0</v>
      </c>
      <c r="T148" s="3" t="s">
        <v>56</v>
      </c>
      <c r="U148" s="3">
        <v>14000.0</v>
      </c>
      <c r="V148" s="5">
        <f>VLOOKUP(Additional!$D148, 'Period of Exposures'!B:C, 2, FALSE)</f>
        <v>30</v>
      </c>
    </row>
    <row r="149" ht="15.75" customHeight="1">
      <c r="A149" s="3">
        <v>148.0</v>
      </c>
      <c r="B149" s="3" t="s">
        <v>23</v>
      </c>
      <c r="C149" s="3" t="s">
        <v>68</v>
      </c>
      <c r="D149" s="3" t="s">
        <v>289</v>
      </c>
      <c r="E149" s="3" t="s">
        <v>702</v>
      </c>
      <c r="F149" s="3">
        <v>1760010.0</v>
      </c>
      <c r="G149" s="4">
        <v>46006.0</v>
      </c>
      <c r="H149" s="4">
        <v>46108.0</v>
      </c>
      <c r="I149" s="3" t="s">
        <v>3182</v>
      </c>
      <c r="J149" s="3" t="s">
        <v>3618</v>
      </c>
      <c r="K149" s="3" t="s">
        <v>3619</v>
      </c>
      <c r="L149" s="3">
        <v>0.5116</v>
      </c>
      <c r="M149" s="3">
        <v>12790.0</v>
      </c>
      <c r="N149" s="3">
        <v>4.0</v>
      </c>
      <c r="O149" s="3">
        <v>95274.0</v>
      </c>
      <c r="P149" s="3" t="s">
        <v>3620</v>
      </c>
      <c r="Q149" s="3">
        <v>1284947.0</v>
      </c>
      <c r="R149" s="3"/>
      <c r="S149" s="3">
        <v>10232.0</v>
      </c>
      <c r="T149" s="3" t="s">
        <v>56</v>
      </c>
      <c r="U149" s="3">
        <v>10232.0</v>
      </c>
      <c r="V149" s="5">
        <f>VLOOKUP(Additional!$D149, 'Period of Exposures'!B:C, 2, FALSE)</f>
        <v>30</v>
      </c>
    </row>
    <row r="150" ht="15.75" customHeight="1">
      <c r="A150" s="3">
        <v>149.0</v>
      </c>
      <c r="B150" s="3" t="s">
        <v>23</v>
      </c>
      <c r="C150" s="3" t="s">
        <v>68</v>
      </c>
      <c r="D150" s="3" t="s">
        <v>289</v>
      </c>
      <c r="E150" s="3" t="s">
        <v>743</v>
      </c>
      <c r="F150" s="3">
        <v>1760014.0</v>
      </c>
      <c r="G150" s="4">
        <v>46019.0</v>
      </c>
      <c r="H150" s="4">
        <v>46111.0</v>
      </c>
      <c r="I150" s="3" t="s">
        <v>1548</v>
      </c>
      <c r="J150" s="3" t="s">
        <v>39</v>
      </c>
      <c r="K150" s="3" t="s">
        <v>2459</v>
      </c>
      <c r="L150" s="3">
        <v>1.4183</v>
      </c>
      <c r="M150" s="3">
        <v>35457.5</v>
      </c>
      <c r="N150" s="3">
        <v>4.0</v>
      </c>
      <c r="O150" s="3">
        <v>21058.0</v>
      </c>
      <c r="P150" s="3" t="s">
        <v>3643</v>
      </c>
      <c r="Q150" s="3">
        <v>1134809.0</v>
      </c>
      <c r="R150" s="3"/>
      <c r="S150" s="3">
        <v>28366.0</v>
      </c>
      <c r="T150" s="3" t="s">
        <v>56</v>
      </c>
      <c r="U150" s="3">
        <v>28366.0</v>
      </c>
      <c r="V150" s="5">
        <f>VLOOKUP(Additional!$D150, 'Period of Exposures'!B:C, 2, FALSE)</f>
        <v>30</v>
      </c>
    </row>
    <row r="151" ht="15.75" customHeight="1">
      <c r="A151" s="3">
        <v>150.0</v>
      </c>
      <c r="B151" s="3" t="s">
        <v>23</v>
      </c>
      <c r="C151" s="3" t="s">
        <v>68</v>
      </c>
      <c r="D151" s="3" t="s">
        <v>289</v>
      </c>
      <c r="E151" s="3" t="s">
        <v>702</v>
      </c>
      <c r="F151" s="3">
        <v>1760007.0</v>
      </c>
      <c r="G151" s="4">
        <v>46014.0</v>
      </c>
      <c r="H151" s="4">
        <v>46106.0</v>
      </c>
      <c r="I151" s="3" t="s">
        <v>1758</v>
      </c>
      <c r="J151" s="3" t="s">
        <v>1893</v>
      </c>
      <c r="K151" s="3" t="s">
        <v>3679</v>
      </c>
      <c r="L151" s="3">
        <v>0.8597</v>
      </c>
      <c r="M151" s="3">
        <v>21492.5</v>
      </c>
      <c r="N151" s="3">
        <v>4.0</v>
      </c>
      <c r="O151" s="3">
        <v>31366.0</v>
      </c>
      <c r="P151" s="3" t="s">
        <v>3680</v>
      </c>
      <c r="Q151" s="3">
        <v>509586.0</v>
      </c>
      <c r="R151" s="3"/>
      <c r="S151" s="3">
        <v>17194.0</v>
      </c>
      <c r="T151" s="3" t="s">
        <v>56</v>
      </c>
      <c r="U151" s="3">
        <v>17194.0</v>
      </c>
      <c r="V151" s="5">
        <f>VLOOKUP(Additional!$D151, 'Period of Exposures'!B:C, 2, FALSE)</f>
        <v>30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9.71"/>
    <col customWidth="1" min="3" max="3" width="23.29"/>
    <col customWidth="1" min="4" max="4" width="17.86"/>
    <col customWidth="1" min="5" max="5" width="11.86"/>
    <col customWidth="1" min="6" max="6" width="12.0"/>
    <col customWidth="1" min="7" max="7" width="16.71"/>
    <col customWidth="1" min="8" max="8" width="13.14"/>
    <col customWidth="1" min="9" max="9" width="11.0"/>
    <col customWidth="1" min="10" max="10" width="12.0"/>
    <col customWidth="1" min="11" max="11" width="14.43"/>
    <col customWidth="1" min="12" max="12" width="14.0"/>
    <col customWidth="1" min="13" max="13" width="17.29"/>
    <col customWidth="1" min="14" max="14" width="11.57"/>
    <col customWidth="1" min="15" max="15" width="12.14"/>
    <col customWidth="1" min="16" max="16" width="12.29"/>
    <col customWidth="1" min="17" max="17" width="9.86"/>
    <col customWidth="1" min="18" max="18" width="11.57"/>
    <col customWidth="1" min="19" max="19" width="22.0"/>
    <col customWidth="1" min="20" max="20" width="36.86"/>
    <col customWidth="1" min="21" max="21" width="19.14"/>
    <col customWidth="1" min="22" max="22" width="21.29"/>
    <col customWidth="1" min="23" max="26" width="8.71"/>
  </cols>
  <sheetData>
    <row r="1">
      <c r="A1" s="6" t="s">
        <v>3709</v>
      </c>
      <c r="B1" s="7">
        <v>2.0</v>
      </c>
      <c r="C1" s="8" t="s">
        <v>3710</v>
      </c>
      <c r="U1" s="9"/>
      <c r="V1" s="7"/>
    </row>
    <row r="2">
      <c r="A2" s="6" t="s">
        <v>3707</v>
      </c>
      <c r="B2" s="10" t="s">
        <v>3711</v>
      </c>
      <c r="C2" s="11" t="s">
        <v>3712</v>
      </c>
      <c r="U2" s="9"/>
      <c r="V2" s="7"/>
    </row>
    <row r="3">
      <c r="A3" s="6" t="s">
        <v>3713</v>
      </c>
      <c r="B3" s="10" t="s">
        <v>3714</v>
      </c>
      <c r="C3" s="12" t="s">
        <v>3715</v>
      </c>
      <c r="U3" s="9"/>
      <c r="V3" s="7"/>
    </row>
    <row r="4">
      <c r="A4" s="7"/>
      <c r="C4" s="10" t="s">
        <v>3716</v>
      </c>
      <c r="U4" s="9"/>
      <c r="V4" s="7"/>
    </row>
    <row r="5">
      <c r="A5" s="13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4" t="s">
        <v>20</v>
      </c>
      <c r="V5" s="13" t="s">
        <v>3717</v>
      </c>
    </row>
    <row r="6">
      <c r="A6" s="15">
        <v>1.0</v>
      </c>
      <c r="B6" s="3" t="s">
        <v>23</v>
      </c>
      <c r="C6" s="3" t="s">
        <v>24</v>
      </c>
      <c r="D6" s="3" t="s">
        <v>25</v>
      </c>
      <c r="E6" s="3" t="s">
        <v>663</v>
      </c>
      <c r="F6" s="3">
        <v>1760452.0</v>
      </c>
      <c r="G6" s="4">
        <v>46001.0</v>
      </c>
      <c r="H6" s="4">
        <v>46101.0</v>
      </c>
      <c r="I6" s="3" t="s">
        <v>998</v>
      </c>
      <c r="J6" s="3" t="s">
        <v>999</v>
      </c>
      <c r="K6" s="3" t="s">
        <v>1000</v>
      </c>
      <c r="L6" s="3">
        <v>0.76</v>
      </c>
      <c r="M6" s="3">
        <v>19000.0</v>
      </c>
      <c r="N6" s="3">
        <v>5.0</v>
      </c>
      <c r="O6" s="3">
        <v>233204.0</v>
      </c>
      <c r="P6" s="3" t="s">
        <v>1001</v>
      </c>
      <c r="Q6" s="3">
        <v>613381.0</v>
      </c>
      <c r="R6" s="3"/>
      <c r="S6" s="3">
        <v>17100.0</v>
      </c>
      <c r="T6" s="3" t="s">
        <v>1002</v>
      </c>
      <c r="U6" s="16">
        <v>17100.0</v>
      </c>
      <c r="V6" s="15">
        <v>33.0</v>
      </c>
    </row>
    <row r="7">
      <c r="A7" s="15">
        <v>2.0</v>
      </c>
      <c r="B7" s="3" t="s">
        <v>23</v>
      </c>
      <c r="C7" s="3" t="s">
        <v>24</v>
      </c>
      <c r="D7" s="3" t="s">
        <v>25</v>
      </c>
      <c r="E7" s="3" t="s">
        <v>637</v>
      </c>
      <c r="F7" s="3">
        <v>1760465.0</v>
      </c>
      <c r="G7" s="4">
        <v>46006.0</v>
      </c>
      <c r="H7" s="4">
        <v>46101.0</v>
      </c>
      <c r="I7" s="3" t="s">
        <v>1223</v>
      </c>
      <c r="J7" s="3" t="s">
        <v>1224</v>
      </c>
      <c r="K7" s="3" t="s">
        <v>1225</v>
      </c>
      <c r="L7" s="3">
        <v>2.0</v>
      </c>
      <c r="M7" s="3">
        <v>50000.0</v>
      </c>
      <c r="N7" s="3">
        <v>5.0</v>
      </c>
      <c r="O7" s="3">
        <v>418006.0</v>
      </c>
      <c r="P7" s="3" t="s">
        <v>1226</v>
      </c>
      <c r="Q7" s="3">
        <v>1027840.0</v>
      </c>
      <c r="R7" s="3"/>
      <c r="S7" s="3">
        <v>45000.0</v>
      </c>
      <c r="T7" s="3" t="s">
        <v>1002</v>
      </c>
      <c r="U7" s="16">
        <v>45000.0</v>
      </c>
      <c r="V7" s="15">
        <v>33.0</v>
      </c>
    </row>
    <row r="8">
      <c r="A8" s="15">
        <v>3.0</v>
      </c>
      <c r="B8" s="3" t="s">
        <v>23</v>
      </c>
      <c r="C8" s="3" t="s">
        <v>24</v>
      </c>
      <c r="D8" s="3" t="s">
        <v>25</v>
      </c>
      <c r="E8" s="3" t="s">
        <v>1374</v>
      </c>
      <c r="F8" s="3">
        <v>1760463.0</v>
      </c>
      <c r="G8" s="4">
        <v>46006.0</v>
      </c>
      <c r="H8" s="4">
        <v>46101.0</v>
      </c>
      <c r="I8" s="3" t="s">
        <v>1375</v>
      </c>
      <c r="J8" s="3" t="s">
        <v>259</v>
      </c>
      <c r="K8" s="3" t="s">
        <v>1376</v>
      </c>
      <c r="L8" s="3">
        <v>2.0</v>
      </c>
      <c r="M8" s="3">
        <v>50000.0</v>
      </c>
      <c r="N8" s="3">
        <v>5.0</v>
      </c>
      <c r="O8" s="3">
        <v>87172.0</v>
      </c>
      <c r="P8" s="3" t="s">
        <v>1377</v>
      </c>
      <c r="Q8" s="3">
        <v>1034013.0</v>
      </c>
      <c r="R8" s="3"/>
      <c r="S8" s="3">
        <v>45000.0</v>
      </c>
      <c r="T8" s="3" t="s">
        <v>1002</v>
      </c>
      <c r="U8" s="16">
        <v>45000.0</v>
      </c>
      <c r="V8" s="15">
        <v>33.0</v>
      </c>
    </row>
    <row r="9">
      <c r="A9" s="15">
        <v>4.0</v>
      </c>
      <c r="B9" s="3" t="s">
        <v>1213</v>
      </c>
      <c r="C9" s="3" t="s">
        <v>24</v>
      </c>
      <c r="D9" s="3" t="s">
        <v>25</v>
      </c>
      <c r="E9" s="3" t="s">
        <v>348</v>
      </c>
      <c r="F9" s="3">
        <v>1760484.0</v>
      </c>
      <c r="G9" s="4">
        <v>46001.0</v>
      </c>
      <c r="H9" s="4">
        <v>46096.0</v>
      </c>
      <c r="I9" s="3" t="s">
        <v>1399</v>
      </c>
      <c r="J9" s="3" t="s">
        <v>1400</v>
      </c>
      <c r="K9" s="3" t="s">
        <v>1401</v>
      </c>
      <c r="L9" s="3">
        <v>1.8476</v>
      </c>
      <c r="M9" s="3">
        <v>80000.0</v>
      </c>
      <c r="N9" s="3">
        <v>5.0</v>
      </c>
      <c r="O9" s="3">
        <v>16816.0</v>
      </c>
      <c r="P9" s="3" t="s">
        <v>1402</v>
      </c>
      <c r="Q9" s="3">
        <v>1044382.0</v>
      </c>
      <c r="R9" s="3"/>
      <c r="S9" s="3">
        <v>72000.0</v>
      </c>
      <c r="T9" s="3" t="s">
        <v>1002</v>
      </c>
      <c r="U9" s="16">
        <v>72000.0</v>
      </c>
      <c r="V9" s="15">
        <v>33.0</v>
      </c>
    </row>
    <row r="10">
      <c r="A10" s="15">
        <v>5.0</v>
      </c>
      <c r="B10" s="3" t="s">
        <v>23</v>
      </c>
      <c r="C10" s="3" t="s">
        <v>24</v>
      </c>
      <c r="D10" s="3" t="s">
        <v>25</v>
      </c>
      <c r="E10" s="3" t="s">
        <v>1783</v>
      </c>
      <c r="F10" s="3">
        <v>1760487.0</v>
      </c>
      <c r="G10" s="4">
        <v>46003.0</v>
      </c>
      <c r="H10" s="4">
        <v>46101.0</v>
      </c>
      <c r="I10" s="3" t="s">
        <v>1784</v>
      </c>
      <c r="J10" s="3" t="s">
        <v>1785</v>
      </c>
      <c r="K10" s="3" t="s">
        <v>271</v>
      </c>
      <c r="L10" s="3">
        <v>1.1418</v>
      </c>
      <c r="M10" s="3">
        <v>28545.0</v>
      </c>
      <c r="N10" s="3">
        <v>5.0</v>
      </c>
      <c r="O10" s="3">
        <v>425376.0</v>
      </c>
      <c r="P10" s="3"/>
      <c r="Q10" s="3">
        <v>1228634.0</v>
      </c>
      <c r="R10" s="3"/>
      <c r="S10" s="3">
        <v>25690.5</v>
      </c>
      <c r="T10" s="3" t="s">
        <v>1002</v>
      </c>
      <c r="U10" s="16">
        <v>25690.5</v>
      </c>
      <c r="V10" s="15">
        <v>33.0</v>
      </c>
    </row>
    <row r="11">
      <c r="A11" s="15">
        <v>6.0</v>
      </c>
      <c r="B11" s="3" t="s">
        <v>23</v>
      </c>
      <c r="C11" s="3" t="s">
        <v>24</v>
      </c>
      <c r="D11" s="3" t="s">
        <v>25</v>
      </c>
      <c r="E11" s="3" t="s">
        <v>1783</v>
      </c>
      <c r="F11" s="3">
        <v>1760481.0</v>
      </c>
      <c r="G11" s="4">
        <v>46001.0</v>
      </c>
      <c r="H11" s="4">
        <v>46096.0</v>
      </c>
      <c r="I11" s="3" t="s">
        <v>2032</v>
      </c>
      <c r="J11" s="3" t="s">
        <v>2033</v>
      </c>
      <c r="K11" s="3" t="s">
        <v>2034</v>
      </c>
      <c r="L11" s="3">
        <v>0.8509</v>
      </c>
      <c r="M11" s="3">
        <v>21272.5</v>
      </c>
      <c r="N11" s="3">
        <v>5.0</v>
      </c>
      <c r="O11" s="3">
        <v>177090.0</v>
      </c>
      <c r="P11" s="3" t="s">
        <v>2035</v>
      </c>
      <c r="Q11" s="3">
        <v>1326017.0</v>
      </c>
      <c r="R11" s="3"/>
      <c r="S11" s="3">
        <v>19145.25</v>
      </c>
      <c r="T11" s="3" t="s">
        <v>1002</v>
      </c>
      <c r="U11" s="16">
        <v>19145.25</v>
      </c>
      <c r="V11" s="15">
        <v>33.0</v>
      </c>
    </row>
    <row r="12">
      <c r="A12" s="15">
        <v>7.0</v>
      </c>
      <c r="B12" s="3" t="s">
        <v>23</v>
      </c>
      <c r="C12" s="3" t="s">
        <v>24</v>
      </c>
      <c r="D12" s="3" t="s">
        <v>25</v>
      </c>
      <c r="E12" s="3" t="s">
        <v>637</v>
      </c>
      <c r="F12" s="3">
        <v>1760465.0</v>
      </c>
      <c r="G12" s="4">
        <v>45996.0</v>
      </c>
      <c r="H12" s="4">
        <v>46093.0</v>
      </c>
      <c r="I12" s="3" t="s">
        <v>2096</v>
      </c>
      <c r="J12" s="3" t="s">
        <v>912</v>
      </c>
      <c r="K12" s="3" t="s">
        <v>600</v>
      </c>
      <c r="L12" s="3">
        <v>1.44</v>
      </c>
      <c r="M12" s="3">
        <v>36000.0</v>
      </c>
      <c r="N12" s="3">
        <v>5.0</v>
      </c>
      <c r="O12" s="3">
        <v>327443.0</v>
      </c>
      <c r="P12" s="3" t="s">
        <v>2097</v>
      </c>
      <c r="Q12" s="3">
        <v>1318631.0</v>
      </c>
      <c r="R12" s="3"/>
      <c r="S12" s="3">
        <v>32400.0</v>
      </c>
      <c r="T12" s="3" t="s">
        <v>1002</v>
      </c>
      <c r="U12" s="16">
        <v>32400.0</v>
      </c>
      <c r="V12" s="15">
        <v>33.0</v>
      </c>
    </row>
    <row r="13">
      <c r="A13" s="15">
        <v>8.0</v>
      </c>
      <c r="B13" s="3" t="s">
        <v>23</v>
      </c>
      <c r="C13" s="3" t="s">
        <v>24</v>
      </c>
      <c r="D13" s="3" t="s">
        <v>25</v>
      </c>
      <c r="E13" s="3" t="s">
        <v>1164</v>
      </c>
      <c r="F13" s="3">
        <v>1761008.0</v>
      </c>
      <c r="G13" s="4">
        <v>46019.0</v>
      </c>
      <c r="H13" s="4">
        <v>46097.0</v>
      </c>
      <c r="I13" s="3" t="s">
        <v>1280</v>
      </c>
      <c r="J13" s="3" t="s">
        <v>2479</v>
      </c>
      <c r="K13" s="3" t="s">
        <v>2480</v>
      </c>
      <c r="L13" s="3">
        <v>0.9258</v>
      </c>
      <c r="M13" s="3">
        <v>23145.0</v>
      </c>
      <c r="N13" s="3">
        <v>5.0</v>
      </c>
      <c r="O13" s="3">
        <v>325507.0</v>
      </c>
      <c r="P13" s="3" t="s">
        <v>2481</v>
      </c>
      <c r="Q13" s="3">
        <v>1329904.0</v>
      </c>
      <c r="R13" s="3"/>
      <c r="S13" s="3">
        <v>20830.5</v>
      </c>
      <c r="T13" s="3" t="s">
        <v>1002</v>
      </c>
      <c r="U13" s="16">
        <v>20830.5</v>
      </c>
      <c r="V13" s="15">
        <v>33.0</v>
      </c>
    </row>
    <row r="14">
      <c r="A14" s="15">
        <v>9.0</v>
      </c>
      <c r="B14" s="3" t="s">
        <v>23</v>
      </c>
      <c r="C14" s="3" t="s">
        <v>24</v>
      </c>
      <c r="D14" s="3" t="s">
        <v>25</v>
      </c>
      <c r="E14" s="3" t="s">
        <v>1374</v>
      </c>
      <c r="F14" s="3">
        <v>1760463.0</v>
      </c>
      <c r="G14" s="4">
        <v>46006.0</v>
      </c>
      <c r="H14" s="4">
        <v>46101.0</v>
      </c>
      <c r="I14" s="3" t="s">
        <v>2604</v>
      </c>
      <c r="J14" s="3" t="s">
        <v>2605</v>
      </c>
      <c r="K14" s="3" t="s">
        <v>1376</v>
      </c>
      <c r="L14" s="3">
        <v>2.0</v>
      </c>
      <c r="M14" s="3">
        <v>50000.0</v>
      </c>
      <c r="N14" s="3">
        <v>5.0</v>
      </c>
      <c r="O14" s="3">
        <v>334404.0</v>
      </c>
      <c r="P14" s="3" t="s">
        <v>2606</v>
      </c>
      <c r="Q14" s="3">
        <v>716349.0</v>
      </c>
      <c r="R14" s="3"/>
      <c r="S14" s="3">
        <v>45000.0</v>
      </c>
      <c r="T14" s="3" t="s">
        <v>1002</v>
      </c>
      <c r="U14" s="16">
        <v>45000.0</v>
      </c>
      <c r="V14" s="15">
        <v>33.0</v>
      </c>
    </row>
    <row r="15">
      <c r="A15" s="15">
        <v>10.0</v>
      </c>
      <c r="B15" s="3" t="s">
        <v>1776</v>
      </c>
      <c r="C15" s="3" t="s">
        <v>24</v>
      </c>
      <c r="D15" s="3" t="s">
        <v>25</v>
      </c>
      <c r="E15" s="3" t="s">
        <v>1374</v>
      </c>
      <c r="F15" s="3">
        <v>1760471.0</v>
      </c>
      <c r="G15" s="4">
        <v>46003.0</v>
      </c>
      <c r="H15" s="4">
        <v>46098.0</v>
      </c>
      <c r="I15" s="3" t="s">
        <v>2626</v>
      </c>
      <c r="J15" s="3" t="s">
        <v>2627</v>
      </c>
      <c r="K15" s="3" t="s">
        <v>1344</v>
      </c>
      <c r="L15" s="3">
        <v>0.5015</v>
      </c>
      <c r="M15" s="3">
        <v>10030.0</v>
      </c>
      <c r="N15" s="3">
        <v>5.0</v>
      </c>
      <c r="O15" s="3">
        <v>476841.0</v>
      </c>
      <c r="P15" s="3" t="s">
        <v>2628</v>
      </c>
      <c r="Q15" s="3">
        <v>1324332.0</v>
      </c>
      <c r="R15" s="3"/>
      <c r="S15" s="3">
        <v>9027.0</v>
      </c>
      <c r="T15" s="3" t="s">
        <v>1002</v>
      </c>
      <c r="U15" s="16">
        <v>9027.0</v>
      </c>
      <c r="V15" s="15">
        <v>33.0</v>
      </c>
    </row>
    <row r="16">
      <c r="A16" s="15">
        <v>11.0</v>
      </c>
      <c r="B16" s="3" t="s">
        <v>1776</v>
      </c>
      <c r="C16" s="3" t="s">
        <v>24</v>
      </c>
      <c r="D16" s="3" t="s">
        <v>25</v>
      </c>
      <c r="E16" s="3" t="s">
        <v>1374</v>
      </c>
      <c r="F16" s="3">
        <v>1760471.0</v>
      </c>
      <c r="G16" s="4">
        <v>46003.0</v>
      </c>
      <c r="H16" s="4">
        <v>46098.0</v>
      </c>
      <c r="I16" s="3" t="s">
        <v>2626</v>
      </c>
      <c r="J16" s="3" t="s">
        <v>2629</v>
      </c>
      <c r="K16" s="3" t="s">
        <v>1200</v>
      </c>
      <c r="L16" s="3">
        <v>0.5564</v>
      </c>
      <c r="M16" s="3">
        <v>11128.0</v>
      </c>
      <c r="N16" s="3">
        <v>5.0</v>
      </c>
      <c r="O16" s="3">
        <v>325322.0</v>
      </c>
      <c r="P16" s="3" t="s">
        <v>2630</v>
      </c>
      <c r="Q16" s="3">
        <v>1275867.0</v>
      </c>
      <c r="R16" s="3"/>
      <c r="S16" s="3">
        <v>10015.2</v>
      </c>
      <c r="T16" s="3" t="s">
        <v>1002</v>
      </c>
      <c r="U16" s="16">
        <v>10015.2</v>
      </c>
      <c r="V16" s="15">
        <v>33.0</v>
      </c>
    </row>
    <row r="17">
      <c r="A17" s="15">
        <v>12.0</v>
      </c>
      <c r="B17" s="3" t="s">
        <v>23</v>
      </c>
      <c r="C17" s="3" t="s">
        <v>24</v>
      </c>
      <c r="D17" s="3" t="s">
        <v>25</v>
      </c>
      <c r="E17" s="3" t="s">
        <v>1164</v>
      </c>
      <c r="F17" s="3">
        <v>1761004.0</v>
      </c>
      <c r="G17" s="4">
        <v>46011.0</v>
      </c>
      <c r="H17" s="4">
        <v>46096.0</v>
      </c>
      <c r="I17" s="3" t="s">
        <v>613</v>
      </c>
      <c r="J17" s="3" t="s">
        <v>2884</v>
      </c>
      <c r="K17" s="3" t="s">
        <v>214</v>
      </c>
      <c r="L17" s="3">
        <v>0.2553</v>
      </c>
      <c r="M17" s="3">
        <v>6382.5</v>
      </c>
      <c r="N17" s="3">
        <v>5.0</v>
      </c>
      <c r="O17" s="3">
        <v>332033.0</v>
      </c>
      <c r="P17" s="3"/>
      <c r="Q17" s="3">
        <v>1149493.0</v>
      </c>
      <c r="R17" s="3"/>
      <c r="S17" s="3">
        <v>5744.25</v>
      </c>
      <c r="T17" s="3" t="s">
        <v>1002</v>
      </c>
      <c r="U17" s="16">
        <v>5744.25</v>
      </c>
      <c r="V17" s="15">
        <v>33.0</v>
      </c>
    </row>
    <row r="18">
      <c r="A18" s="15">
        <v>13.0</v>
      </c>
      <c r="B18" s="3" t="s">
        <v>23</v>
      </c>
      <c r="C18" s="3" t="s">
        <v>24</v>
      </c>
      <c r="D18" s="3" t="s">
        <v>25</v>
      </c>
      <c r="E18" s="3" t="s">
        <v>1164</v>
      </c>
      <c r="F18" s="3">
        <v>1761010.0</v>
      </c>
      <c r="G18" s="4">
        <v>46018.0</v>
      </c>
      <c r="H18" s="4">
        <v>46091.0</v>
      </c>
      <c r="I18" s="3" t="s">
        <v>613</v>
      </c>
      <c r="J18" s="3" t="s">
        <v>2928</v>
      </c>
      <c r="K18" s="3" t="s">
        <v>1423</v>
      </c>
      <c r="L18" s="3">
        <v>0.9157</v>
      </c>
      <c r="M18" s="3">
        <v>22892.5</v>
      </c>
      <c r="N18" s="3">
        <v>6.0</v>
      </c>
      <c r="O18" s="3">
        <v>325519.0</v>
      </c>
      <c r="P18" s="3" t="s">
        <v>2929</v>
      </c>
      <c r="Q18" s="3">
        <v>1328740.0</v>
      </c>
      <c r="R18" s="3"/>
      <c r="S18" s="3">
        <v>20603.25</v>
      </c>
      <c r="T18" s="3" t="s">
        <v>2930</v>
      </c>
      <c r="U18" s="16">
        <v>20603.25</v>
      </c>
      <c r="V18" s="15">
        <v>33.0</v>
      </c>
    </row>
    <row r="19">
      <c r="A19" s="15">
        <v>14.0</v>
      </c>
      <c r="B19" s="3" t="s">
        <v>23</v>
      </c>
      <c r="C19" s="3" t="s">
        <v>24</v>
      </c>
      <c r="D19" s="3" t="s">
        <v>25</v>
      </c>
      <c r="E19" s="3" t="s">
        <v>637</v>
      </c>
      <c r="F19" s="3">
        <v>1760467.0</v>
      </c>
      <c r="G19" s="4">
        <v>46004.0</v>
      </c>
      <c r="H19" s="4">
        <v>46100.0</v>
      </c>
      <c r="I19" s="3" t="s">
        <v>1216</v>
      </c>
      <c r="J19" s="3" t="s">
        <v>3010</v>
      </c>
      <c r="K19" s="3" t="s">
        <v>3011</v>
      </c>
      <c r="L19" s="3">
        <v>1.4685</v>
      </c>
      <c r="M19" s="3">
        <v>36712.5</v>
      </c>
      <c r="N19" s="3">
        <v>5.0</v>
      </c>
      <c r="O19" s="3">
        <v>389570.0</v>
      </c>
      <c r="P19" s="3" t="s">
        <v>3012</v>
      </c>
      <c r="Q19" s="3">
        <v>1132749.0</v>
      </c>
      <c r="R19" s="3"/>
      <c r="S19" s="3">
        <v>33041.25</v>
      </c>
      <c r="T19" s="3" t="s">
        <v>1002</v>
      </c>
      <c r="U19" s="16">
        <v>33041.25</v>
      </c>
      <c r="V19" s="15">
        <v>33.0</v>
      </c>
    </row>
    <row r="20">
      <c r="A20" s="15">
        <v>15.0</v>
      </c>
      <c r="B20" s="3" t="s">
        <v>23</v>
      </c>
      <c r="C20" s="3" t="s">
        <v>24</v>
      </c>
      <c r="D20" s="3" t="s">
        <v>25</v>
      </c>
      <c r="E20" s="3" t="s">
        <v>674</v>
      </c>
      <c r="F20" s="3">
        <v>1760488.0</v>
      </c>
      <c r="G20" s="4">
        <v>46002.0</v>
      </c>
      <c r="H20" s="4">
        <v>46101.0</v>
      </c>
      <c r="I20" s="3" t="s">
        <v>248</v>
      </c>
      <c r="J20" s="3" t="s">
        <v>1655</v>
      </c>
      <c r="K20" s="3" t="s">
        <v>3066</v>
      </c>
      <c r="L20" s="3">
        <v>1.0</v>
      </c>
      <c r="M20" s="3">
        <v>25000.0</v>
      </c>
      <c r="N20" s="3">
        <v>5.0</v>
      </c>
      <c r="O20" s="3">
        <v>291992.0</v>
      </c>
      <c r="P20" s="3" t="s">
        <v>3067</v>
      </c>
      <c r="Q20" s="3">
        <v>1265245.0</v>
      </c>
      <c r="R20" s="3"/>
      <c r="S20" s="3">
        <v>22500.0</v>
      </c>
      <c r="T20" s="3" t="s">
        <v>1002</v>
      </c>
      <c r="U20" s="16">
        <v>22500.0</v>
      </c>
      <c r="V20" s="15">
        <v>33.0</v>
      </c>
    </row>
    <row r="21" ht="15.75" customHeight="1">
      <c r="A21" s="15">
        <v>16.0</v>
      </c>
      <c r="B21" s="3" t="s">
        <v>23</v>
      </c>
      <c r="C21" s="3" t="s">
        <v>24</v>
      </c>
      <c r="D21" s="3" t="s">
        <v>25</v>
      </c>
      <c r="E21" s="3" t="s">
        <v>1783</v>
      </c>
      <c r="F21" s="3">
        <v>1760481.0</v>
      </c>
      <c r="G21" s="4">
        <v>46002.0</v>
      </c>
      <c r="H21" s="4">
        <v>46097.0</v>
      </c>
      <c r="I21" s="3" t="s">
        <v>3068</v>
      </c>
      <c r="J21" s="3" t="s">
        <v>1721</v>
      </c>
      <c r="K21" s="3" t="s">
        <v>3069</v>
      </c>
      <c r="L21" s="3">
        <v>1.0</v>
      </c>
      <c r="M21" s="3">
        <v>25000.0</v>
      </c>
      <c r="N21" s="3">
        <v>5.0</v>
      </c>
      <c r="O21" s="3">
        <v>278710.0</v>
      </c>
      <c r="P21" s="3" t="s">
        <v>3070</v>
      </c>
      <c r="Q21" s="3">
        <v>1228633.0</v>
      </c>
      <c r="R21" s="3"/>
      <c r="S21" s="3">
        <v>22500.0</v>
      </c>
      <c r="T21" s="3" t="s">
        <v>1002</v>
      </c>
      <c r="U21" s="16">
        <v>22500.0</v>
      </c>
      <c r="V21" s="15">
        <v>33.0</v>
      </c>
    </row>
    <row r="22" ht="15.75" customHeight="1">
      <c r="A22" s="15">
        <v>17.0</v>
      </c>
      <c r="B22" s="3" t="s">
        <v>23</v>
      </c>
      <c r="C22" s="3" t="s">
        <v>24</v>
      </c>
      <c r="D22" s="3" t="s">
        <v>390</v>
      </c>
      <c r="E22" s="3" t="s">
        <v>3075</v>
      </c>
      <c r="F22" s="3">
        <v>1761011.0</v>
      </c>
      <c r="G22" s="4">
        <v>46006.0</v>
      </c>
      <c r="H22" s="4">
        <v>46101.0</v>
      </c>
      <c r="I22" s="3" t="s">
        <v>3076</v>
      </c>
      <c r="J22" s="3" t="s">
        <v>2910</v>
      </c>
      <c r="K22" s="3" t="s">
        <v>3077</v>
      </c>
      <c r="L22" s="3">
        <v>0.5058</v>
      </c>
      <c r="M22" s="3">
        <v>12645.0</v>
      </c>
      <c r="N22" s="3">
        <v>5.0</v>
      </c>
      <c r="O22" s="3">
        <v>22201.0</v>
      </c>
      <c r="P22" s="3" t="s">
        <v>3078</v>
      </c>
      <c r="Q22" s="3">
        <v>949199.0</v>
      </c>
      <c r="R22" s="3"/>
      <c r="S22" s="3">
        <v>11380.5</v>
      </c>
      <c r="T22" s="3" t="s">
        <v>1002</v>
      </c>
      <c r="U22" s="16">
        <v>11380.5</v>
      </c>
      <c r="V22" s="15">
        <v>33.0</v>
      </c>
    </row>
    <row r="23" ht="15.75" customHeight="1">
      <c r="A23" s="7"/>
      <c r="U23" s="9"/>
      <c r="V23" s="7"/>
    </row>
    <row r="24" ht="15.75" customHeight="1">
      <c r="A24" s="7"/>
      <c r="U24" s="9"/>
      <c r="V24" s="7"/>
    </row>
    <row r="25" ht="15.75" customHeight="1">
      <c r="A25" s="7"/>
      <c r="U25" s="9"/>
      <c r="V25" s="7"/>
    </row>
    <row r="26" ht="15.75" customHeight="1">
      <c r="A26" s="7"/>
      <c r="U26" s="9"/>
      <c r="V26" s="7"/>
    </row>
    <row r="27" ht="15.75" customHeight="1">
      <c r="A27" s="7"/>
      <c r="U27" s="9"/>
      <c r="V27" s="7"/>
    </row>
    <row r="28" ht="15.75" customHeight="1">
      <c r="A28" s="7"/>
      <c r="U28" s="9"/>
      <c r="V28" s="7"/>
    </row>
    <row r="29" ht="15.75" customHeight="1">
      <c r="A29" s="7"/>
      <c r="U29" s="9"/>
      <c r="V29" s="7"/>
    </row>
    <row r="30" ht="15.75" customHeight="1">
      <c r="A30" s="7"/>
      <c r="U30" s="9"/>
      <c r="V30" s="7"/>
    </row>
    <row r="31" ht="15.75" customHeight="1">
      <c r="A31" s="7"/>
      <c r="U31" s="9"/>
      <c r="V31" s="7"/>
    </row>
    <row r="32" ht="15.75" customHeight="1">
      <c r="A32" s="7"/>
      <c r="U32" s="9"/>
      <c r="V32" s="7"/>
    </row>
    <row r="33" ht="15.75" customHeight="1">
      <c r="A33" s="7"/>
      <c r="U33" s="9"/>
      <c r="V33" s="7"/>
    </row>
    <row r="34" ht="15.75" customHeight="1">
      <c r="A34" s="7"/>
      <c r="U34" s="9"/>
      <c r="V34" s="7"/>
    </row>
    <row r="35" ht="15.75" customHeight="1">
      <c r="A35" s="7"/>
      <c r="U35" s="9"/>
      <c r="V35" s="7"/>
    </row>
    <row r="36" ht="15.75" customHeight="1">
      <c r="A36" s="7"/>
      <c r="U36" s="9"/>
      <c r="V36" s="7"/>
    </row>
    <row r="37" ht="15.75" customHeight="1">
      <c r="A37" s="7"/>
      <c r="U37" s="9"/>
      <c r="V37" s="7"/>
    </row>
    <row r="38" ht="15.75" customHeight="1">
      <c r="A38" s="7"/>
      <c r="U38" s="9"/>
      <c r="V38" s="7"/>
    </row>
    <row r="39" ht="15.75" customHeight="1">
      <c r="A39" s="7"/>
      <c r="U39" s="9"/>
      <c r="V39" s="7"/>
    </row>
    <row r="40" ht="15.75" customHeight="1">
      <c r="A40" s="7"/>
      <c r="U40" s="9"/>
      <c r="V40" s="7"/>
    </row>
    <row r="41" ht="15.75" customHeight="1">
      <c r="A41" s="7"/>
      <c r="U41" s="9"/>
      <c r="V41" s="7"/>
    </row>
    <row r="42" ht="15.75" customHeight="1">
      <c r="A42" s="7"/>
      <c r="U42" s="9"/>
      <c r="V42" s="7"/>
    </row>
    <row r="43" ht="15.75" customHeight="1">
      <c r="A43" s="7"/>
      <c r="U43" s="9"/>
      <c r="V43" s="7"/>
    </row>
    <row r="44" ht="15.75" customHeight="1">
      <c r="A44" s="7"/>
      <c r="U44" s="9"/>
      <c r="V44" s="7"/>
    </row>
    <row r="45" ht="15.75" customHeight="1">
      <c r="A45" s="7"/>
      <c r="U45" s="9"/>
      <c r="V45" s="7"/>
    </row>
    <row r="46" ht="15.75" customHeight="1">
      <c r="A46" s="7"/>
      <c r="U46" s="9"/>
      <c r="V46" s="7"/>
    </row>
    <row r="47" ht="15.75" customHeight="1">
      <c r="A47" s="7"/>
      <c r="U47" s="9"/>
      <c r="V47" s="7"/>
    </row>
    <row r="48" ht="15.75" customHeight="1">
      <c r="A48" s="7"/>
      <c r="U48" s="9"/>
      <c r="V48" s="7"/>
    </row>
    <row r="49" ht="15.75" customHeight="1">
      <c r="A49" s="7"/>
      <c r="U49" s="9"/>
      <c r="V49" s="7"/>
    </row>
    <row r="50" ht="15.75" customHeight="1">
      <c r="A50" s="7"/>
      <c r="U50" s="9"/>
      <c r="V50" s="7"/>
    </row>
    <row r="51" ht="15.75" customHeight="1">
      <c r="A51" s="7"/>
      <c r="U51" s="9"/>
      <c r="V51" s="7"/>
    </row>
    <row r="52" ht="15.75" customHeight="1">
      <c r="A52" s="7"/>
      <c r="U52" s="9"/>
      <c r="V52" s="7"/>
    </row>
    <row r="53" ht="15.75" customHeight="1">
      <c r="A53" s="7"/>
      <c r="U53" s="9"/>
      <c r="V53" s="7"/>
    </row>
    <row r="54" ht="15.75" customHeight="1">
      <c r="A54" s="7"/>
      <c r="U54" s="9"/>
      <c r="V54" s="7"/>
    </row>
    <row r="55" ht="15.75" customHeight="1">
      <c r="A55" s="7"/>
      <c r="U55" s="9"/>
      <c r="V55" s="7"/>
    </row>
    <row r="56" ht="15.75" customHeight="1">
      <c r="A56" s="7"/>
      <c r="U56" s="9"/>
      <c r="V56" s="7"/>
    </row>
    <row r="57" ht="15.75" customHeight="1">
      <c r="A57" s="7"/>
      <c r="U57" s="9"/>
      <c r="V57" s="7"/>
    </row>
    <row r="58" ht="15.75" customHeight="1">
      <c r="A58" s="7"/>
      <c r="U58" s="9"/>
      <c r="V58" s="7"/>
    </row>
    <row r="59" ht="15.75" customHeight="1">
      <c r="A59" s="7"/>
      <c r="U59" s="9"/>
      <c r="V59" s="7"/>
    </row>
    <row r="60" ht="15.75" customHeight="1">
      <c r="A60" s="7"/>
      <c r="U60" s="9"/>
      <c r="V60" s="7"/>
    </row>
    <row r="61" ht="15.75" customHeight="1">
      <c r="A61" s="7"/>
      <c r="U61" s="9"/>
      <c r="V61" s="7"/>
    </row>
    <row r="62" ht="15.75" customHeight="1">
      <c r="A62" s="7"/>
      <c r="U62" s="9"/>
      <c r="V62" s="7"/>
    </row>
    <row r="63" ht="15.75" customHeight="1">
      <c r="A63" s="7"/>
      <c r="U63" s="9"/>
      <c r="V63" s="7"/>
    </row>
    <row r="64" ht="15.75" customHeight="1">
      <c r="A64" s="7"/>
      <c r="U64" s="9"/>
      <c r="V64" s="7"/>
    </row>
    <row r="65" ht="15.75" customHeight="1">
      <c r="A65" s="7"/>
      <c r="U65" s="9"/>
      <c r="V65" s="7"/>
    </row>
    <row r="66" ht="15.75" customHeight="1">
      <c r="A66" s="7"/>
      <c r="U66" s="9"/>
      <c r="V66" s="7"/>
    </row>
    <row r="67" ht="15.75" customHeight="1">
      <c r="A67" s="7"/>
      <c r="U67" s="9"/>
      <c r="V67" s="7"/>
    </row>
    <row r="68" ht="15.75" customHeight="1">
      <c r="A68" s="7"/>
      <c r="U68" s="9"/>
      <c r="V68" s="7"/>
    </row>
    <row r="69" ht="15.75" customHeight="1">
      <c r="A69" s="7"/>
      <c r="U69" s="9"/>
      <c r="V69" s="7"/>
    </row>
    <row r="70" ht="15.75" customHeight="1">
      <c r="A70" s="7"/>
      <c r="U70" s="9"/>
      <c r="V70" s="7"/>
    </row>
    <row r="71" ht="15.75" customHeight="1">
      <c r="A71" s="7"/>
      <c r="U71" s="9"/>
      <c r="V71" s="7"/>
    </row>
    <row r="72" ht="15.75" customHeight="1">
      <c r="A72" s="7"/>
      <c r="U72" s="9"/>
      <c r="V72" s="7"/>
    </row>
    <row r="73" ht="15.75" customHeight="1">
      <c r="A73" s="7"/>
      <c r="U73" s="9"/>
      <c r="V73" s="7"/>
    </row>
    <row r="74" ht="15.75" customHeight="1">
      <c r="A74" s="7"/>
      <c r="U74" s="9"/>
      <c r="V74" s="7"/>
    </row>
    <row r="75" ht="15.75" customHeight="1">
      <c r="A75" s="7"/>
      <c r="U75" s="9"/>
      <c r="V75" s="7"/>
    </row>
    <row r="76" ht="15.75" customHeight="1">
      <c r="A76" s="7"/>
      <c r="U76" s="9"/>
      <c r="V76" s="7"/>
    </row>
    <row r="77" ht="15.75" customHeight="1">
      <c r="A77" s="7"/>
      <c r="U77" s="9"/>
      <c r="V77" s="7"/>
    </row>
    <row r="78" ht="15.75" customHeight="1">
      <c r="A78" s="7"/>
      <c r="U78" s="9"/>
      <c r="V78" s="7"/>
    </row>
    <row r="79" ht="15.75" customHeight="1">
      <c r="A79" s="7"/>
      <c r="U79" s="9"/>
      <c r="V79" s="7"/>
    </row>
    <row r="80" ht="15.75" customHeight="1">
      <c r="A80" s="7"/>
      <c r="U80" s="9"/>
      <c r="V80" s="7"/>
    </row>
    <row r="81" ht="15.75" customHeight="1">
      <c r="A81" s="7"/>
      <c r="U81" s="9"/>
      <c r="V81" s="7"/>
    </row>
    <row r="82" ht="15.75" customHeight="1">
      <c r="A82" s="7"/>
      <c r="U82" s="9"/>
      <c r="V82" s="7"/>
    </row>
    <row r="83" ht="15.75" customHeight="1">
      <c r="A83" s="7"/>
      <c r="U83" s="9"/>
      <c r="V83" s="7"/>
    </row>
    <row r="84" ht="15.75" customHeight="1">
      <c r="A84" s="7"/>
      <c r="U84" s="9"/>
      <c r="V84" s="7"/>
    </row>
    <row r="85" ht="15.75" customHeight="1">
      <c r="A85" s="7"/>
      <c r="U85" s="9"/>
      <c r="V85" s="7"/>
    </row>
    <row r="86" ht="15.75" customHeight="1">
      <c r="A86" s="7"/>
      <c r="U86" s="9"/>
      <c r="V86" s="7"/>
    </row>
    <row r="87" ht="15.75" customHeight="1">
      <c r="A87" s="7"/>
      <c r="U87" s="9"/>
      <c r="V87" s="7"/>
    </row>
    <row r="88" ht="15.75" customHeight="1">
      <c r="A88" s="7"/>
      <c r="U88" s="9"/>
      <c r="V88" s="7"/>
    </row>
    <row r="89" ht="15.75" customHeight="1">
      <c r="A89" s="7"/>
      <c r="U89" s="9"/>
      <c r="V89" s="7"/>
    </row>
    <row r="90" ht="15.75" customHeight="1">
      <c r="A90" s="7"/>
      <c r="U90" s="9"/>
      <c r="V90" s="7"/>
    </row>
    <row r="91" ht="15.75" customHeight="1">
      <c r="A91" s="7"/>
      <c r="U91" s="9"/>
      <c r="V91" s="7"/>
    </row>
    <row r="92" ht="15.75" customHeight="1">
      <c r="A92" s="7"/>
      <c r="U92" s="9"/>
      <c r="V92" s="7"/>
    </row>
    <row r="93" ht="15.75" customHeight="1">
      <c r="A93" s="7"/>
      <c r="U93" s="9"/>
      <c r="V93" s="7"/>
    </row>
    <row r="94" ht="15.75" customHeight="1">
      <c r="A94" s="7"/>
      <c r="U94" s="9"/>
      <c r="V94" s="7"/>
    </row>
    <row r="95" ht="15.75" customHeight="1">
      <c r="A95" s="7"/>
      <c r="U95" s="9"/>
      <c r="V95" s="7"/>
    </row>
    <row r="96" ht="15.75" customHeight="1">
      <c r="A96" s="7"/>
      <c r="U96" s="9"/>
      <c r="V96" s="7"/>
    </row>
    <row r="97" ht="15.75" customHeight="1">
      <c r="A97" s="7"/>
      <c r="U97" s="9"/>
      <c r="V97" s="7"/>
    </row>
    <row r="98" ht="15.75" customHeight="1">
      <c r="A98" s="7"/>
      <c r="U98" s="9"/>
      <c r="V98" s="7"/>
    </row>
    <row r="99" ht="15.75" customHeight="1">
      <c r="A99" s="7"/>
      <c r="U99" s="9"/>
      <c r="V99" s="7"/>
    </row>
    <row r="100" ht="15.75" customHeight="1">
      <c r="A100" s="7"/>
      <c r="U100" s="9"/>
      <c r="V100" s="7"/>
    </row>
    <row r="101" ht="15.75" customHeight="1">
      <c r="A101" s="7"/>
      <c r="U101" s="9"/>
      <c r="V101" s="7"/>
    </row>
    <row r="102" ht="15.75" customHeight="1">
      <c r="A102" s="7"/>
      <c r="U102" s="9"/>
      <c r="V102" s="7"/>
    </row>
    <row r="103" ht="15.75" customHeight="1">
      <c r="A103" s="7"/>
      <c r="U103" s="9"/>
      <c r="V103" s="7"/>
    </row>
    <row r="104" ht="15.75" customHeight="1">
      <c r="A104" s="7"/>
      <c r="U104" s="9"/>
      <c r="V104" s="7"/>
    </row>
    <row r="105" ht="15.75" customHeight="1">
      <c r="A105" s="7"/>
      <c r="U105" s="9"/>
      <c r="V105" s="7"/>
    </row>
    <row r="106" ht="15.75" customHeight="1">
      <c r="A106" s="7"/>
      <c r="U106" s="9"/>
      <c r="V106" s="7"/>
    </row>
    <row r="107" ht="15.75" customHeight="1">
      <c r="A107" s="7"/>
      <c r="U107" s="9"/>
      <c r="V107" s="7"/>
    </row>
    <row r="108" ht="15.75" customHeight="1">
      <c r="A108" s="7"/>
      <c r="U108" s="9"/>
      <c r="V108" s="7"/>
    </row>
    <row r="109" ht="15.75" customHeight="1">
      <c r="A109" s="7"/>
      <c r="U109" s="9"/>
      <c r="V109" s="7"/>
    </row>
    <row r="110" ht="15.75" customHeight="1">
      <c r="A110" s="7"/>
      <c r="U110" s="9"/>
      <c r="V110" s="7"/>
    </row>
    <row r="111" ht="15.75" customHeight="1">
      <c r="A111" s="7"/>
      <c r="U111" s="9"/>
      <c r="V111" s="7"/>
    </row>
    <row r="112" ht="15.75" customHeight="1">
      <c r="A112" s="7"/>
      <c r="U112" s="9"/>
      <c r="V112" s="7"/>
    </row>
    <row r="113" ht="15.75" customHeight="1">
      <c r="A113" s="7"/>
      <c r="U113" s="9"/>
      <c r="V113" s="7"/>
    </row>
    <row r="114" ht="15.75" customHeight="1">
      <c r="A114" s="7"/>
      <c r="U114" s="9"/>
      <c r="V114" s="7"/>
    </row>
    <row r="115" ht="15.75" customHeight="1">
      <c r="A115" s="7"/>
      <c r="U115" s="9"/>
      <c r="V115" s="7"/>
    </row>
    <row r="116" ht="15.75" customHeight="1">
      <c r="A116" s="7"/>
      <c r="U116" s="9"/>
      <c r="V116" s="7"/>
    </row>
    <row r="117" ht="15.75" customHeight="1">
      <c r="A117" s="7"/>
      <c r="U117" s="9"/>
      <c r="V117" s="7"/>
    </row>
    <row r="118" ht="15.75" customHeight="1">
      <c r="A118" s="7"/>
      <c r="U118" s="9"/>
      <c r="V118" s="7"/>
    </row>
    <row r="119" ht="15.75" customHeight="1">
      <c r="A119" s="7"/>
      <c r="U119" s="9"/>
      <c r="V119" s="7"/>
    </row>
    <row r="120" ht="15.75" customHeight="1">
      <c r="A120" s="7"/>
      <c r="U120" s="9"/>
      <c r="V120" s="7"/>
    </row>
    <row r="121" ht="15.75" customHeight="1">
      <c r="A121" s="7"/>
      <c r="U121" s="9"/>
      <c r="V121" s="7"/>
    </row>
    <row r="122" ht="15.75" customHeight="1">
      <c r="A122" s="7"/>
      <c r="U122" s="9"/>
      <c r="V122" s="7"/>
    </row>
    <row r="123" ht="15.75" customHeight="1">
      <c r="A123" s="7"/>
      <c r="U123" s="9"/>
      <c r="V123" s="7"/>
    </row>
    <row r="124" ht="15.75" customHeight="1">
      <c r="A124" s="7"/>
      <c r="U124" s="9"/>
      <c r="V124" s="7"/>
    </row>
    <row r="125" ht="15.75" customHeight="1">
      <c r="A125" s="7"/>
      <c r="U125" s="9"/>
      <c r="V125" s="7"/>
    </row>
    <row r="126" ht="15.75" customHeight="1">
      <c r="A126" s="7"/>
      <c r="U126" s="9"/>
      <c r="V126" s="7"/>
    </row>
    <row r="127" ht="15.75" customHeight="1">
      <c r="A127" s="7"/>
      <c r="U127" s="9"/>
      <c r="V127" s="7"/>
    </row>
    <row r="128" ht="15.75" customHeight="1">
      <c r="A128" s="7"/>
      <c r="U128" s="9"/>
      <c r="V128" s="7"/>
    </row>
    <row r="129" ht="15.75" customHeight="1">
      <c r="A129" s="7"/>
      <c r="U129" s="9"/>
      <c r="V129" s="7"/>
    </row>
    <row r="130" ht="15.75" customHeight="1">
      <c r="A130" s="7"/>
      <c r="U130" s="9"/>
      <c r="V130" s="7"/>
    </row>
    <row r="131" ht="15.75" customHeight="1">
      <c r="A131" s="7"/>
      <c r="U131" s="9"/>
      <c r="V131" s="7"/>
    </row>
    <row r="132" ht="15.75" customHeight="1">
      <c r="A132" s="7"/>
      <c r="U132" s="9"/>
      <c r="V132" s="7"/>
    </row>
    <row r="133" ht="15.75" customHeight="1">
      <c r="A133" s="7"/>
      <c r="U133" s="9"/>
      <c r="V133" s="7"/>
    </row>
    <row r="134" ht="15.75" customHeight="1">
      <c r="A134" s="7"/>
      <c r="U134" s="9"/>
      <c r="V134" s="7"/>
    </row>
    <row r="135" ht="15.75" customHeight="1">
      <c r="A135" s="7"/>
      <c r="U135" s="9"/>
      <c r="V135" s="7"/>
    </row>
    <row r="136" ht="15.75" customHeight="1">
      <c r="A136" s="7"/>
      <c r="U136" s="9"/>
      <c r="V136" s="7"/>
    </row>
    <row r="137" ht="15.75" customHeight="1">
      <c r="A137" s="7"/>
      <c r="U137" s="9"/>
      <c r="V137" s="7"/>
    </row>
    <row r="138" ht="15.75" customHeight="1">
      <c r="A138" s="7"/>
      <c r="U138" s="9"/>
      <c r="V138" s="7"/>
    </row>
    <row r="139" ht="15.75" customHeight="1">
      <c r="A139" s="7"/>
      <c r="U139" s="9"/>
      <c r="V139" s="7"/>
    </row>
    <row r="140" ht="15.75" customHeight="1">
      <c r="A140" s="7"/>
      <c r="U140" s="9"/>
      <c r="V140" s="7"/>
    </row>
    <row r="141" ht="15.75" customHeight="1">
      <c r="A141" s="7"/>
      <c r="U141" s="9"/>
      <c r="V141" s="7"/>
    </row>
    <row r="142" ht="15.75" customHeight="1">
      <c r="A142" s="7"/>
      <c r="U142" s="9"/>
      <c r="V142" s="7"/>
    </row>
    <row r="143" ht="15.75" customHeight="1">
      <c r="A143" s="7"/>
      <c r="U143" s="9"/>
      <c r="V143" s="7"/>
    </row>
    <row r="144" ht="15.75" customHeight="1">
      <c r="A144" s="7"/>
      <c r="U144" s="9"/>
      <c r="V144" s="7"/>
    </row>
    <row r="145" ht="15.75" customHeight="1">
      <c r="A145" s="7"/>
      <c r="U145" s="9"/>
      <c r="V145" s="7"/>
    </row>
    <row r="146" ht="15.75" customHeight="1">
      <c r="A146" s="7"/>
      <c r="U146" s="9"/>
      <c r="V146" s="7"/>
    </row>
    <row r="147" ht="15.75" customHeight="1">
      <c r="A147" s="7"/>
      <c r="U147" s="9"/>
      <c r="V147" s="7"/>
    </row>
    <row r="148" ht="15.75" customHeight="1">
      <c r="A148" s="7"/>
      <c r="U148" s="9"/>
      <c r="V148" s="7"/>
    </row>
    <row r="149" ht="15.75" customHeight="1">
      <c r="A149" s="7"/>
      <c r="U149" s="9"/>
      <c r="V149" s="7"/>
    </row>
    <row r="150" ht="15.75" customHeight="1">
      <c r="A150" s="7"/>
      <c r="U150" s="9"/>
      <c r="V150" s="7"/>
    </row>
    <row r="151" ht="15.75" customHeight="1">
      <c r="A151" s="7"/>
      <c r="U151" s="9"/>
      <c r="V151" s="7"/>
    </row>
    <row r="152" ht="15.75" customHeight="1">
      <c r="A152" s="7"/>
      <c r="U152" s="9"/>
      <c r="V152" s="7"/>
    </row>
    <row r="153" ht="15.75" customHeight="1">
      <c r="A153" s="7"/>
      <c r="U153" s="9"/>
      <c r="V153" s="7"/>
    </row>
    <row r="154" ht="15.75" customHeight="1">
      <c r="A154" s="7"/>
      <c r="U154" s="9"/>
      <c r="V154" s="7"/>
    </row>
    <row r="155" ht="15.75" customHeight="1">
      <c r="A155" s="7"/>
      <c r="U155" s="9"/>
      <c r="V155" s="7"/>
    </row>
    <row r="156" ht="15.75" customHeight="1">
      <c r="A156" s="7"/>
      <c r="U156" s="9"/>
      <c r="V156" s="7"/>
    </row>
    <row r="157" ht="15.75" customHeight="1">
      <c r="A157" s="7"/>
      <c r="U157" s="9"/>
      <c r="V157" s="7"/>
    </row>
    <row r="158" ht="15.75" customHeight="1">
      <c r="A158" s="7"/>
      <c r="U158" s="9"/>
      <c r="V158" s="7"/>
    </row>
    <row r="159" ht="15.75" customHeight="1">
      <c r="A159" s="7"/>
      <c r="U159" s="9"/>
      <c r="V159" s="7"/>
    </row>
    <row r="160" ht="15.75" customHeight="1">
      <c r="A160" s="7"/>
      <c r="U160" s="9"/>
      <c r="V160" s="7"/>
    </row>
    <row r="161" ht="15.75" customHeight="1">
      <c r="A161" s="7"/>
      <c r="U161" s="9"/>
      <c r="V161" s="7"/>
    </row>
    <row r="162" ht="15.75" customHeight="1">
      <c r="A162" s="7"/>
      <c r="U162" s="9"/>
      <c r="V162" s="7"/>
    </row>
    <row r="163" ht="15.75" customHeight="1">
      <c r="A163" s="7"/>
      <c r="U163" s="9"/>
      <c r="V163" s="7"/>
    </row>
    <row r="164" ht="15.75" customHeight="1">
      <c r="A164" s="7"/>
      <c r="U164" s="9"/>
      <c r="V164" s="7"/>
    </row>
    <row r="165" ht="15.75" customHeight="1">
      <c r="A165" s="7"/>
      <c r="U165" s="9"/>
      <c r="V165" s="7"/>
    </row>
    <row r="166" ht="15.75" customHeight="1">
      <c r="A166" s="7"/>
      <c r="U166" s="9"/>
      <c r="V166" s="7"/>
    </row>
    <row r="167" ht="15.75" customHeight="1">
      <c r="A167" s="7"/>
      <c r="U167" s="9"/>
      <c r="V167" s="7"/>
    </row>
    <row r="168" ht="15.75" customHeight="1">
      <c r="A168" s="7"/>
      <c r="U168" s="9"/>
      <c r="V168" s="7"/>
    </row>
    <row r="169" ht="15.75" customHeight="1">
      <c r="A169" s="7"/>
      <c r="U169" s="9"/>
      <c r="V169" s="7"/>
    </row>
    <row r="170" ht="15.75" customHeight="1">
      <c r="A170" s="7"/>
      <c r="U170" s="9"/>
      <c r="V170" s="7"/>
    </row>
    <row r="171" ht="15.75" customHeight="1">
      <c r="A171" s="7"/>
      <c r="U171" s="9"/>
      <c r="V171" s="7"/>
    </row>
    <row r="172" ht="15.75" customHeight="1">
      <c r="A172" s="7"/>
      <c r="U172" s="9"/>
      <c r="V172" s="7"/>
    </row>
    <row r="173" ht="15.75" customHeight="1">
      <c r="A173" s="7"/>
      <c r="U173" s="9"/>
      <c r="V173" s="7"/>
    </row>
    <row r="174" ht="15.75" customHeight="1">
      <c r="A174" s="7"/>
      <c r="U174" s="9"/>
      <c r="V174" s="7"/>
    </row>
    <row r="175" ht="15.75" customHeight="1">
      <c r="A175" s="7"/>
      <c r="U175" s="9"/>
      <c r="V175" s="7"/>
    </row>
    <row r="176" ht="15.75" customHeight="1">
      <c r="A176" s="7"/>
      <c r="U176" s="9"/>
      <c r="V176" s="7"/>
    </row>
    <row r="177" ht="15.75" customHeight="1">
      <c r="A177" s="7"/>
      <c r="U177" s="9"/>
      <c r="V177" s="7"/>
    </row>
    <row r="178" ht="15.75" customHeight="1">
      <c r="A178" s="7"/>
      <c r="U178" s="9"/>
      <c r="V178" s="7"/>
    </row>
    <row r="179" ht="15.75" customHeight="1">
      <c r="A179" s="7"/>
      <c r="U179" s="9"/>
      <c r="V179" s="7"/>
    </row>
    <row r="180" ht="15.75" customHeight="1">
      <c r="A180" s="7"/>
      <c r="U180" s="9"/>
      <c r="V180" s="7"/>
    </row>
    <row r="181" ht="15.75" customHeight="1">
      <c r="A181" s="7"/>
      <c r="U181" s="9"/>
      <c r="V181" s="7"/>
    </row>
    <row r="182" ht="15.75" customHeight="1">
      <c r="A182" s="7"/>
      <c r="U182" s="9"/>
      <c r="V182" s="7"/>
    </row>
    <row r="183" ht="15.75" customHeight="1">
      <c r="A183" s="7"/>
      <c r="U183" s="9"/>
      <c r="V183" s="7"/>
    </row>
    <row r="184" ht="15.75" customHeight="1">
      <c r="A184" s="7"/>
      <c r="U184" s="9"/>
      <c r="V184" s="7"/>
    </row>
    <row r="185" ht="15.75" customHeight="1">
      <c r="A185" s="7"/>
      <c r="U185" s="9"/>
      <c r="V185" s="7"/>
    </row>
    <row r="186" ht="15.75" customHeight="1">
      <c r="A186" s="7"/>
      <c r="U186" s="9"/>
      <c r="V186" s="7"/>
    </row>
    <row r="187" ht="15.75" customHeight="1">
      <c r="A187" s="7"/>
      <c r="U187" s="9"/>
      <c r="V187" s="7"/>
    </row>
    <row r="188" ht="15.75" customHeight="1">
      <c r="A188" s="7"/>
      <c r="U188" s="9"/>
      <c r="V188" s="7"/>
    </row>
    <row r="189" ht="15.75" customHeight="1">
      <c r="A189" s="7"/>
      <c r="U189" s="9"/>
      <c r="V189" s="7"/>
    </row>
    <row r="190" ht="15.75" customHeight="1">
      <c r="A190" s="7"/>
      <c r="U190" s="9"/>
      <c r="V190" s="7"/>
    </row>
    <row r="191" ht="15.75" customHeight="1">
      <c r="A191" s="7"/>
      <c r="U191" s="9"/>
      <c r="V191" s="7"/>
    </row>
    <row r="192" ht="15.75" customHeight="1">
      <c r="A192" s="7"/>
      <c r="U192" s="9"/>
      <c r="V192" s="7"/>
    </row>
    <row r="193" ht="15.75" customHeight="1">
      <c r="A193" s="7"/>
      <c r="U193" s="9"/>
      <c r="V193" s="7"/>
    </row>
    <row r="194" ht="15.75" customHeight="1">
      <c r="A194" s="7"/>
      <c r="U194" s="9"/>
      <c r="V194" s="7"/>
    </row>
    <row r="195" ht="15.75" customHeight="1">
      <c r="A195" s="7"/>
      <c r="U195" s="9"/>
      <c r="V195" s="7"/>
    </row>
    <row r="196" ht="15.75" customHeight="1">
      <c r="A196" s="7"/>
      <c r="U196" s="9"/>
      <c r="V196" s="7"/>
    </row>
    <row r="197" ht="15.75" customHeight="1">
      <c r="A197" s="7"/>
      <c r="U197" s="9"/>
      <c r="V197" s="7"/>
    </row>
    <row r="198" ht="15.75" customHeight="1">
      <c r="A198" s="7"/>
      <c r="U198" s="9"/>
      <c r="V198" s="7"/>
    </row>
    <row r="199" ht="15.75" customHeight="1">
      <c r="A199" s="7"/>
      <c r="U199" s="9"/>
      <c r="V199" s="7"/>
    </row>
    <row r="200" ht="15.75" customHeight="1">
      <c r="A200" s="7"/>
      <c r="U200" s="9"/>
      <c r="V200" s="7"/>
    </row>
    <row r="201" ht="15.75" customHeight="1">
      <c r="A201" s="7"/>
      <c r="U201" s="9"/>
      <c r="V201" s="7"/>
    </row>
    <row r="202" ht="15.75" customHeight="1">
      <c r="A202" s="7"/>
      <c r="U202" s="9"/>
      <c r="V202" s="7"/>
    </row>
    <row r="203" ht="15.75" customHeight="1">
      <c r="A203" s="7"/>
      <c r="U203" s="9"/>
      <c r="V203" s="7"/>
    </row>
    <row r="204" ht="15.75" customHeight="1">
      <c r="A204" s="7"/>
      <c r="U204" s="9"/>
      <c r="V204" s="7"/>
    </row>
    <row r="205" ht="15.75" customHeight="1">
      <c r="A205" s="7"/>
      <c r="U205" s="9"/>
      <c r="V205" s="7"/>
    </row>
    <row r="206" ht="15.75" customHeight="1">
      <c r="A206" s="7"/>
      <c r="U206" s="9"/>
      <c r="V206" s="7"/>
    </row>
    <row r="207" ht="15.75" customHeight="1">
      <c r="A207" s="7"/>
      <c r="U207" s="9"/>
      <c r="V207" s="7"/>
    </row>
    <row r="208" ht="15.75" customHeight="1">
      <c r="A208" s="7"/>
      <c r="U208" s="9"/>
      <c r="V208" s="7"/>
    </row>
    <row r="209" ht="15.75" customHeight="1">
      <c r="A209" s="7"/>
      <c r="U209" s="9"/>
      <c r="V209" s="7"/>
    </row>
    <row r="210" ht="15.75" customHeight="1">
      <c r="A210" s="7"/>
      <c r="U210" s="9"/>
      <c r="V210" s="7"/>
    </row>
    <row r="211" ht="15.75" customHeight="1">
      <c r="A211" s="7"/>
      <c r="U211" s="9"/>
      <c r="V211" s="7"/>
    </row>
    <row r="212" ht="15.75" customHeight="1">
      <c r="A212" s="7"/>
      <c r="U212" s="9"/>
      <c r="V212" s="7"/>
    </row>
    <row r="213" ht="15.75" customHeight="1">
      <c r="A213" s="7"/>
      <c r="U213" s="9"/>
      <c r="V213" s="7"/>
    </row>
    <row r="214" ht="15.75" customHeight="1">
      <c r="A214" s="7"/>
      <c r="U214" s="9"/>
      <c r="V214" s="7"/>
    </row>
    <row r="215" ht="15.75" customHeight="1">
      <c r="A215" s="7"/>
      <c r="U215" s="9"/>
      <c r="V215" s="7"/>
    </row>
    <row r="216" ht="15.75" customHeight="1">
      <c r="A216" s="7"/>
      <c r="U216" s="9"/>
      <c r="V216" s="7"/>
    </row>
    <row r="217" ht="15.75" customHeight="1">
      <c r="A217" s="7"/>
      <c r="U217" s="9"/>
      <c r="V217" s="7"/>
    </row>
    <row r="218" ht="15.75" customHeight="1">
      <c r="A218" s="7"/>
      <c r="U218" s="9"/>
      <c r="V218" s="7"/>
    </row>
    <row r="219" ht="15.75" customHeight="1">
      <c r="A219" s="7"/>
      <c r="U219" s="9"/>
      <c r="V219" s="7"/>
    </row>
    <row r="220" ht="15.75" customHeight="1">
      <c r="A220" s="7"/>
      <c r="U220" s="9"/>
      <c r="V220" s="7"/>
    </row>
    <row r="221" ht="15.75" customHeight="1">
      <c r="A221" s="7"/>
      <c r="U221" s="9"/>
      <c r="V221" s="7"/>
    </row>
    <row r="222" ht="15.75" customHeight="1">
      <c r="A222" s="7"/>
      <c r="U222" s="9"/>
      <c r="V222" s="7"/>
    </row>
    <row r="223" ht="15.75" customHeight="1">
      <c r="A223" s="7"/>
      <c r="U223" s="9"/>
      <c r="V223" s="7"/>
    </row>
    <row r="224" ht="15.75" customHeight="1">
      <c r="A224" s="7"/>
      <c r="U224" s="9"/>
      <c r="V224" s="7"/>
    </row>
    <row r="225" ht="15.75" customHeight="1">
      <c r="A225" s="7"/>
      <c r="U225" s="9"/>
      <c r="V225" s="7"/>
    </row>
    <row r="226" ht="15.75" customHeight="1">
      <c r="A226" s="7"/>
      <c r="U226" s="9"/>
      <c r="V226" s="7"/>
    </row>
    <row r="227" ht="15.75" customHeight="1">
      <c r="A227" s="7"/>
      <c r="U227" s="9"/>
      <c r="V227" s="7"/>
    </row>
    <row r="228" ht="15.75" customHeight="1">
      <c r="A228" s="7"/>
      <c r="U228" s="9"/>
      <c r="V228" s="7"/>
    </row>
    <row r="229" ht="15.75" customHeight="1">
      <c r="A229" s="7"/>
      <c r="U229" s="9"/>
      <c r="V229" s="7"/>
    </row>
    <row r="230" ht="15.75" customHeight="1">
      <c r="A230" s="7"/>
      <c r="U230" s="9"/>
      <c r="V230" s="7"/>
    </row>
    <row r="231" ht="15.75" customHeight="1">
      <c r="A231" s="7"/>
      <c r="U231" s="9"/>
      <c r="V231" s="7"/>
    </row>
    <row r="232" ht="15.75" customHeight="1">
      <c r="A232" s="7"/>
      <c r="U232" s="9"/>
      <c r="V232" s="7"/>
    </row>
    <row r="233" ht="15.75" customHeight="1">
      <c r="A233" s="7"/>
      <c r="U233" s="9"/>
      <c r="V233" s="7"/>
    </row>
    <row r="234" ht="15.75" customHeight="1">
      <c r="A234" s="7"/>
      <c r="U234" s="9"/>
      <c r="V234" s="7"/>
    </row>
    <row r="235" ht="15.75" customHeight="1">
      <c r="A235" s="7"/>
      <c r="U235" s="9"/>
      <c r="V235" s="7"/>
    </row>
    <row r="236" ht="15.75" customHeight="1">
      <c r="A236" s="7"/>
      <c r="U236" s="9"/>
      <c r="V236" s="7"/>
    </row>
    <row r="237" ht="15.75" customHeight="1">
      <c r="A237" s="7"/>
      <c r="U237" s="9"/>
      <c r="V237" s="7"/>
    </row>
    <row r="238" ht="15.75" customHeight="1">
      <c r="A238" s="7"/>
      <c r="U238" s="9"/>
      <c r="V238" s="7"/>
    </row>
    <row r="239" ht="15.75" customHeight="1">
      <c r="A239" s="7"/>
      <c r="U239" s="9"/>
      <c r="V239" s="7"/>
    </row>
    <row r="240" ht="15.75" customHeight="1">
      <c r="A240" s="7"/>
      <c r="U240" s="9"/>
      <c r="V240" s="7"/>
    </row>
    <row r="241" ht="15.75" customHeight="1">
      <c r="A241" s="7"/>
      <c r="U241" s="9"/>
      <c r="V241" s="7"/>
    </row>
    <row r="242" ht="15.75" customHeight="1">
      <c r="A242" s="7"/>
      <c r="U242" s="9"/>
      <c r="V242" s="7"/>
    </row>
    <row r="243" ht="15.75" customHeight="1">
      <c r="A243" s="7"/>
      <c r="U243" s="9"/>
      <c r="V243" s="7"/>
    </row>
    <row r="244" ht="15.75" customHeight="1">
      <c r="A244" s="7"/>
      <c r="U244" s="9"/>
      <c r="V244" s="7"/>
    </row>
    <row r="245" ht="15.75" customHeight="1">
      <c r="A245" s="7"/>
      <c r="U245" s="9"/>
      <c r="V245" s="7"/>
    </row>
    <row r="246" ht="15.75" customHeight="1">
      <c r="A246" s="7"/>
      <c r="U246" s="9"/>
      <c r="V246" s="7"/>
    </row>
    <row r="247" ht="15.75" customHeight="1">
      <c r="A247" s="7"/>
      <c r="U247" s="9"/>
      <c r="V247" s="7"/>
    </row>
    <row r="248" ht="15.75" customHeight="1">
      <c r="A248" s="7"/>
      <c r="U248" s="9"/>
      <c r="V248" s="7"/>
    </row>
    <row r="249" ht="15.75" customHeight="1">
      <c r="A249" s="7"/>
      <c r="U249" s="9"/>
      <c r="V249" s="7"/>
    </row>
    <row r="250" ht="15.75" customHeight="1">
      <c r="A250" s="7"/>
      <c r="U250" s="9"/>
      <c r="V250" s="7"/>
    </row>
    <row r="251" ht="15.75" customHeight="1">
      <c r="A251" s="7"/>
      <c r="U251" s="9"/>
      <c r="V251" s="7"/>
    </row>
    <row r="252" ht="15.75" customHeight="1">
      <c r="A252" s="7"/>
      <c r="U252" s="9"/>
      <c r="V252" s="7"/>
    </row>
    <row r="253" ht="15.75" customHeight="1">
      <c r="A253" s="7"/>
      <c r="U253" s="9"/>
      <c r="V253" s="7"/>
    </row>
    <row r="254" ht="15.75" customHeight="1">
      <c r="A254" s="7"/>
      <c r="U254" s="9"/>
      <c r="V254" s="7"/>
    </row>
    <row r="255" ht="15.75" customHeight="1">
      <c r="A255" s="7"/>
      <c r="U255" s="9"/>
      <c r="V255" s="7"/>
    </row>
    <row r="256" ht="15.75" customHeight="1">
      <c r="A256" s="7"/>
      <c r="U256" s="9"/>
      <c r="V256" s="7"/>
    </row>
    <row r="257" ht="15.75" customHeight="1">
      <c r="A257" s="7"/>
      <c r="U257" s="9"/>
      <c r="V257" s="7"/>
    </row>
    <row r="258" ht="15.75" customHeight="1">
      <c r="A258" s="7"/>
      <c r="U258" s="9"/>
      <c r="V258" s="7"/>
    </row>
    <row r="259" ht="15.75" customHeight="1">
      <c r="A259" s="7"/>
      <c r="U259" s="9"/>
      <c r="V259" s="7"/>
    </row>
    <row r="260" ht="15.75" customHeight="1">
      <c r="A260" s="7"/>
      <c r="U260" s="9"/>
      <c r="V260" s="7"/>
    </row>
    <row r="261" ht="15.75" customHeight="1">
      <c r="A261" s="7"/>
      <c r="U261" s="9"/>
      <c r="V261" s="7"/>
    </row>
    <row r="262" ht="15.75" customHeight="1">
      <c r="A262" s="7"/>
      <c r="U262" s="9"/>
      <c r="V262" s="7"/>
    </row>
    <row r="263" ht="15.75" customHeight="1">
      <c r="A263" s="7"/>
      <c r="U263" s="9"/>
      <c r="V263" s="7"/>
    </row>
    <row r="264" ht="15.75" customHeight="1">
      <c r="A264" s="7"/>
      <c r="U264" s="9"/>
      <c r="V264" s="7"/>
    </row>
    <row r="265" ht="15.75" customHeight="1">
      <c r="A265" s="7"/>
      <c r="U265" s="9"/>
      <c r="V265" s="7"/>
    </row>
    <row r="266" ht="15.75" customHeight="1">
      <c r="A266" s="7"/>
      <c r="U266" s="9"/>
      <c r="V266" s="7"/>
    </row>
    <row r="267" ht="15.75" customHeight="1">
      <c r="A267" s="7"/>
      <c r="U267" s="9"/>
      <c r="V267" s="7"/>
    </row>
    <row r="268" ht="15.75" customHeight="1">
      <c r="A268" s="7"/>
      <c r="U268" s="9"/>
      <c r="V268" s="7"/>
    </row>
    <row r="269" ht="15.75" customHeight="1">
      <c r="A269" s="7"/>
      <c r="U269" s="9"/>
      <c r="V269" s="7"/>
    </row>
    <row r="270" ht="15.75" customHeight="1">
      <c r="A270" s="7"/>
      <c r="U270" s="9"/>
      <c r="V270" s="7"/>
    </row>
    <row r="271" ht="15.75" customHeight="1">
      <c r="A271" s="7"/>
      <c r="U271" s="9"/>
      <c r="V271" s="7"/>
    </row>
    <row r="272" ht="15.75" customHeight="1">
      <c r="A272" s="7"/>
      <c r="U272" s="9"/>
      <c r="V272" s="7"/>
    </row>
    <row r="273" ht="15.75" customHeight="1">
      <c r="A273" s="7"/>
      <c r="U273" s="9"/>
      <c r="V273" s="7"/>
    </row>
    <row r="274" ht="15.75" customHeight="1">
      <c r="A274" s="7"/>
      <c r="U274" s="9"/>
      <c r="V274" s="7"/>
    </row>
    <row r="275" ht="15.75" customHeight="1">
      <c r="A275" s="7"/>
      <c r="U275" s="9"/>
      <c r="V275" s="7"/>
    </row>
    <row r="276" ht="15.75" customHeight="1">
      <c r="A276" s="7"/>
      <c r="U276" s="9"/>
      <c r="V276" s="7"/>
    </row>
    <row r="277" ht="15.75" customHeight="1">
      <c r="A277" s="7"/>
      <c r="U277" s="9"/>
      <c r="V277" s="7"/>
    </row>
    <row r="278" ht="15.75" customHeight="1">
      <c r="A278" s="7"/>
      <c r="U278" s="9"/>
      <c r="V278" s="7"/>
    </row>
    <row r="279" ht="15.75" customHeight="1">
      <c r="A279" s="7"/>
      <c r="U279" s="9"/>
      <c r="V279" s="7"/>
    </row>
    <row r="280" ht="15.75" customHeight="1">
      <c r="A280" s="7"/>
      <c r="U280" s="9"/>
      <c r="V280" s="7"/>
    </row>
    <row r="281" ht="15.75" customHeight="1">
      <c r="A281" s="7"/>
      <c r="U281" s="9"/>
      <c r="V281" s="7"/>
    </row>
    <row r="282" ht="15.75" customHeight="1">
      <c r="A282" s="7"/>
      <c r="U282" s="9"/>
      <c r="V282" s="7"/>
    </row>
    <row r="283" ht="15.75" customHeight="1">
      <c r="A283" s="7"/>
      <c r="U283" s="9"/>
      <c r="V283" s="7"/>
    </row>
    <row r="284" ht="15.75" customHeight="1">
      <c r="A284" s="7"/>
      <c r="U284" s="9"/>
      <c r="V284" s="7"/>
    </row>
    <row r="285" ht="15.75" customHeight="1">
      <c r="A285" s="7"/>
      <c r="U285" s="9"/>
      <c r="V285" s="7"/>
    </row>
    <row r="286" ht="15.75" customHeight="1">
      <c r="A286" s="7"/>
      <c r="U286" s="9"/>
      <c r="V286" s="7"/>
    </row>
    <row r="287" ht="15.75" customHeight="1">
      <c r="A287" s="7"/>
      <c r="U287" s="9"/>
      <c r="V287" s="7"/>
    </row>
    <row r="288" ht="15.75" customHeight="1">
      <c r="A288" s="7"/>
      <c r="U288" s="9"/>
      <c r="V288" s="7"/>
    </row>
    <row r="289" ht="15.75" customHeight="1">
      <c r="A289" s="7"/>
      <c r="U289" s="9"/>
      <c r="V289" s="7"/>
    </row>
    <row r="290" ht="15.75" customHeight="1">
      <c r="A290" s="7"/>
      <c r="U290" s="9"/>
      <c r="V290" s="7"/>
    </row>
    <row r="291" ht="15.75" customHeight="1">
      <c r="A291" s="7"/>
      <c r="U291" s="9"/>
      <c r="V291" s="7"/>
    </row>
    <row r="292" ht="15.75" customHeight="1">
      <c r="A292" s="7"/>
      <c r="U292" s="9"/>
      <c r="V292" s="7"/>
    </row>
    <row r="293" ht="15.75" customHeight="1">
      <c r="A293" s="7"/>
      <c r="U293" s="9"/>
      <c r="V293" s="7"/>
    </row>
    <row r="294" ht="15.75" customHeight="1">
      <c r="A294" s="7"/>
      <c r="U294" s="9"/>
      <c r="V294" s="7"/>
    </row>
    <row r="295" ht="15.75" customHeight="1">
      <c r="A295" s="7"/>
      <c r="U295" s="9"/>
      <c r="V295" s="7"/>
    </row>
    <row r="296" ht="15.75" customHeight="1">
      <c r="A296" s="7"/>
      <c r="U296" s="9"/>
      <c r="V296" s="7"/>
    </row>
    <row r="297" ht="15.75" customHeight="1">
      <c r="A297" s="7"/>
      <c r="U297" s="9"/>
      <c r="V297" s="7"/>
    </row>
    <row r="298" ht="15.75" customHeight="1">
      <c r="A298" s="7"/>
      <c r="U298" s="9"/>
      <c r="V298" s="7"/>
    </row>
    <row r="299" ht="15.75" customHeight="1">
      <c r="A299" s="7"/>
      <c r="U299" s="9"/>
      <c r="V299" s="7"/>
    </row>
    <row r="300" ht="15.75" customHeight="1">
      <c r="A300" s="7"/>
      <c r="U300" s="9"/>
      <c r="V300" s="7"/>
    </row>
    <row r="301" ht="15.75" customHeight="1">
      <c r="A301" s="7"/>
      <c r="U301" s="9"/>
      <c r="V301" s="7"/>
    </row>
    <row r="302" ht="15.75" customHeight="1">
      <c r="A302" s="7"/>
      <c r="U302" s="9"/>
      <c r="V302" s="7"/>
    </row>
    <row r="303" ht="15.75" customHeight="1">
      <c r="A303" s="7"/>
      <c r="U303" s="9"/>
      <c r="V303" s="7"/>
    </row>
    <row r="304" ht="15.75" customHeight="1">
      <c r="A304" s="7"/>
      <c r="U304" s="9"/>
      <c r="V304" s="7"/>
    </row>
    <row r="305" ht="15.75" customHeight="1">
      <c r="A305" s="7"/>
      <c r="U305" s="9"/>
      <c r="V305" s="7"/>
    </row>
    <row r="306" ht="15.75" customHeight="1">
      <c r="A306" s="7"/>
      <c r="U306" s="9"/>
      <c r="V306" s="7"/>
    </row>
    <row r="307" ht="15.75" customHeight="1">
      <c r="A307" s="7"/>
      <c r="U307" s="9"/>
      <c r="V307" s="7"/>
    </row>
    <row r="308" ht="15.75" customHeight="1">
      <c r="A308" s="7"/>
      <c r="U308" s="9"/>
      <c r="V308" s="7"/>
    </row>
    <row r="309" ht="15.75" customHeight="1">
      <c r="A309" s="7"/>
      <c r="U309" s="9"/>
      <c r="V309" s="7"/>
    </row>
    <row r="310" ht="15.75" customHeight="1">
      <c r="A310" s="7"/>
      <c r="U310" s="9"/>
      <c r="V310" s="7"/>
    </row>
    <row r="311" ht="15.75" customHeight="1">
      <c r="A311" s="7"/>
      <c r="U311" s="9"/>
      <c r="V311" s="7"/>
    </row>
    <row r="312" ht="15.75" customHeight="1">
      <c r="A312" s="7"/>
      <c r="U312" s="9"/>
      <c r="V312" s="7"/>
    </row>
    <row r="313" ht="15.75" customHeight="1">
      <c r="A313" s="7"/>
      <c r="U313" s="9"/>
      <c r="V313" s="7"/>
    </row>
    <row r="314" ht="15.75" customHeight="1">
      <c r="A314" s="7"/>
      <c r="U314" s="9"/>
      <c r="V314" s="7"/>
    </row>
    <row r="315" ht="15.75" customHeight="1">
      <c r="A315" s="7"/>
      <c r="U315" s="9"/>
      <c r="V315" s="7"/>
    </row>
    <row r="316" ht="15.75" customHeight="1">
      <c r="A316" s="7"/>
      <c r="U316" s="9"/>
      <c r="V316" s="7"/>
    </row>
    <row r="317" ht="15.75" customHeight="1">
      <c r="A317" s="7"/>
      <c r="U317" s="9"/>
      <c r="V317" s="7"/>
    </row>
    <row r="318" ht="15.75" customHeight="1">
      <c r="A318" s="7"/>
      <c r="U318" s="9"/>
      <c r="V318" s="7"/>
    </row>
    <row r="319" ht="15.75" customHeight="1">
      <c r="A319" s="7"/>
      <c r="U319" s="9"/>
      <c r="V319" s="7"/>
    </row>
    <row r="320" ht="15.75" customHeight="1">
      <c r="A320" s="7"/>
      <c r="U320" s="9"/>
      <c r="V320" s="7"/>
    </row>
    <row r="321" ht="15.75" customHeight="1">
      <c r="A321" s="7"/>
      <c r="U321" s="9"/>
      <c r="V321" s="7"/>
    </row>
    <row r="322" ht="15.75" customHeight="1">
      <c r="A322" s="7"/>
      <c r="U322" s="9"/>
      <c r="V322" s="7"/>
    </row>
    <row r="323" ht="15.75" customHeight="1">
      <c r="A323" s="7"/>
      <c r="U323" s="9"/>
      <c r="V323" s="7"/>
    </row>
    <row r="324" ht="15.75" customHeight="1">
      <c r="A324" s="7"/>
      <c r="U324" s="9"/>
      <c r="V324" s="7"/>
    </row>
    <row r="325" ht="15.75" customHeight="1">
      <c r="A325" s="7"/>
      <c r="U325" s="9"/>
      <c r="V325" s="7"/>
    </row>
    <row r="326" ht="15.75" customHeight="1">
      <c r="A326" s="7"/>
      <c r="U326" s="9"/>
      <c r="V326" s="7"/>
    </row>
    <row r="327" ht="15.75" customHeight="1">
      <c r="A327" s="7"/>
      <c r="U327" s="9"/>
      <c r="V327" s="7"/>
    </row>
    <row r="328" ht="15.75" customHeight="1">
      <c r="A328" s="7"/>
      <c r="U328" s="9"/>
      <c r="V328" s="7"/>
    </row>
    <row r="329" ht="15.75" customHeight="1">
      <c r="A329" s="7"/>
      <c r="U329" s="9"/>
      <c r="V329" s="7"/>
    </row>
    <row r="330" ht="15.75" customHeight="1">
      <c r="A330" s="7"/>
      <c r="U330" s="9"/>
      <c r="V330" s="7"/>
    </row>
    <row r="331" ht="15.75" customHeight="1">
      <c r="A331" s="7"/>
      <c r="U331" s="9"/>
      <c r="V331" s="7"/>
    </row>
    <row r="332" ht="15.75" customHeight="1">
      <c r="A332" s="7"/>
      <c r="U332" s="9"/>
      <c r="V332" s="7"/>
    </row>
    <row r="333" ht="15.75" customHeight="1">
      <c r="A333" s="7"/>
      <c r="U333" s="9"/>
      <c r="V333" s="7"/>
    </row>
    <row r="334" ht="15.75" customHeight="1">
      <c r="A334" s="7"/>
      <c r="U334" s="9"/>
      <c r="V334" s="7"/>
    </row>
    <row r="335" ht="15.75" customHeight="1">
      <c r="A335" s="7"/>
      <c r="U335" s="9"/>
      <c r="V335" s="7"/>
    </row>
    <row r="336" ht="15.75" customHeight="1">
      <c r="A336" s="7"/>
      <c r="U336" s="9"/>
      <c r="V336" s="7"/>
    </row>
    <row r="337" ht="15.75" customHeight="1">
      <c r="A337" s="7"/>
      <c r="U337" s="9"/>
      <c r="V337" s="7"/>
    </row>
    <row r="338" ht="15.75" customHeight="1">
      <c r="A338" s="7"/>
      <c r="U338" s="9"/>
      <c r="V338" s="7"/>
    </row>
    <row r="339" ht="15.75" customHeight="1">
      <c r="A339" s="7"/>
      <c r="U339" s="9"/>
      <c r="V339" s="7"/>
    </row>
    <row r="340" ht="15.75" customHeight="1">
      <c r="A340" s="7"/>
      <c r="U340" s="9"/>
      <c r="V340" s="7"/>
    </row>
    <row r="341" ht="15.75" customHeight="1">
      <c r="A341" s="7"/>
      <c r="U341" s="9"/>
      <c r="V341" s="7"/>
    </row>
    <row r="342" ht="15.75" customHeight="1">
      <c r="A342" s="7"/>
      <c r="U342" s="9"/>
      <c r="V342" s="7"/>
    </row>
    <row r="343" ht="15.75" customHeight="1">
      <c r="A343" s="7"/>
      <c r="U343" s="9"/>
      <c r="V343" s="7"/>
    </row>
    <row r="344" ht="15.75" customHeight="1">
      <c r="A344" s="7"/>
      <c r="U344" s="9"/>
      <c r="V344" s="7"/>
    </row>
    <row r="345" ht="15.75" customHeight="1">
      <c r="A345" s="7"/>
      <c r="U345" s="9"/>
      <c r="V345" s="7"/>
    </row>
    <row r="346" ht="15.75" customHeight="1">
      <c r="A346" s="7"/>
      <c r="U346" s="9"/>
      <c r="V346" s="7"/>
    </row>
    <row r="347" ht="15.75" customHeight="1">
      <c r="A347" s="7"/>
      <c r="U347" s="9"/>
      <c r="V347" s="7"/>
    </row>
    <row r="348" ht="15.75" customHeight="1">
      <c r="A348" s="7"/>
      <c r="U348" s="9"/>
      <c r="V348" s="7"/>
    </row>
    <row r="349" ht="15.75" customHeight="1">
      <c r="A349" s="7"/>
      <c r="U349" s="9"/>
      <c r="V349" s="7"/>
    </row>
    <row r="350" ht="15.75" customHeight="1">
      <c r="A350" s="7"/>
      <c r="U350" s="9"/>
      <c r="V350" s="7"/>
    </row>
    <row r="351" ht="15.75" customHeight="1">
      <c r="A351" s="7"/>
      <c r="U351" s="9"/>
      <c r="V351" s="7"/>
    </row>
    <row r="352" ht="15.75" customHeight="1">
      <c r="A352" s="7"/>
      <c r="U352" s="9"/>
      <c r="V352" s="7"/>
    </row>
    <row r="353" ht="15.75" customHeight="1">
      <c r="A353" s="7"/>
      <c r="U353" s="9"/>
      <c r="V353" s="7"/>
    </row>
    <row r="354" ht="15.75" customHeight="1">
      <c r="A354" s="7"/>
      <c r="U354" s="9"/>
      <c r="V354" s="7"/>
    </row>
    <row r="355" ht="15.75" customHeight="1">
      <c r="A355" s="7"/>
      <c r="U355" s="9"/>
      <c r="V355" s="7"/>
    </row>
    <row r="356" ht="15.75" customHeight="1">
      <c r="A356" s="7"/>
      <c r="U356" s="9"/>
      <c r="V356" s="7"/>
    </row>
    <row r="357" ht="15.75" customHeight="1">
      <c r="A357" s="7"/>
      <c r="U357" s="9"/>
      <c r="V357" s="7"/>
    </row>
    <row r="358" ht="15.75" customHeight="1">
      <c r="A358" s="7"/>
      <c r="U358" s="9"/>
      <c r="V358" s="7"/>
    </row>
    <row r="359" ht="15.75" customHeight="1">
      <c r="A359" s="7"/>
      <c r="U359" s="9"/>
      <c r="V359" s="7"/>
    </row>
    <row r="360" ht="15.75" customHeight="1">
      <c r="A360" s="7"/>
      <c r="U360" s="9"/>
      <c r="V360" s="7"/>
    </row>
    <row r="361" ht="15.75" customHeight="1">
      <c r="A361" s="7"/>
      <c r="U361" s="9"/>
      <c r="V361" s="7"/>
    </row>
    <row r="362" ht="15.75" customHeight="1">
      <c r="A362" s="7"/>
      <c r="U362" s="9"/>
      <c r="V362" s="7"/>
    </row>
    <row r="363" ht="15.75" customHeight="1">
      <c r="A363" s="7"/>
      <c r="U363" s="9"/>
      <c r="V363" s="7"/>
    </row>
    <row r="364" ht="15.75" customHeight="1">
      <c r="A364" s="7"/>
      <c r="U364" s="9"/>
      <c r="V364" s="7"/>
    </row>
    <row r="365" ht="15.75" customHeight="1">
      <c r="A365" s="7"/>
      <c r="U365" s="9"/>
      <c r="V365" s="7"/>
    </row>
    <row r="366" ht="15.75" customHeight="1">
      <c r="A366" s="7"/>
      <c r="U366" s="9"/>
      <c r="V366" s="7"/>
    </row>
    <row r="367" ht="15.75" customHeight="1">
      <c r="A367" s="7"/>
      <c r="U367" s="9"/>
      <c r="V367" s="7"/>
    </row>
    <row r="368" ht="15.75" customHeight="1">
      <c r="A368" s="7"/>
      <c r="U368" s="9"/>
      <c r="V368" s="7"/>
    </row>
    <row r="369" ht="15.75" customHeight="1">
      <c r="A369" s="7"/>
      <c r="U369" s="9"/>
      <c r="V369" s="7"/>
    </row>
    <row r="370" ht="15.75" customHeight="1">
      <c r="A370" s="7"/>
      <c r="U370" s="9"/>
      <c r="V370" s="7"/>
    </row>
    <row r="371" ht="15.75" customHeight="1">
      <c r="A371" s="7"/>
      <c r="U371" s="9"/>
      <c r="V371" s="7"/>
    </row>
    <row r="372" ht="15.75" customHeight="1">
      <c r="A372" s="7"/>
      <c r="U372" s="9"/>
      <c r="V372" s="7"/>
    </row>
    <row r="373" ht="15.75" customHeight="1">
      <c r="A373" s="7"/>
      <c r="U373" s="9"/>
      <c r="V373" s="7"/>
    </row>
    <row r="374" ht="15.75" customHeight="1">
      <c r="A374" s="7"/>
      <c r="U374" s="9"/>
      <c r="V374" s="7"/>
    </row>
    <row r="375" ht="15.75" customHeight="1">
      <c r="A375" s="7"/>
      <c r="U375" s="9"/>
      <c r="V375" s="7"/>
    </row>
    <row r="376" ht="15.75" customHeight="1">
      <c r="A376" s="7"/>
      <c r="U376" s="9"/>
      <c r="V376" s="7"/>
    </row>
    <row r="377" ht="15.75" customHeight="1">
      <c r="A377" s="7"/>
      <c r="U377" s="9"/>
      <c r="V377" s="7"/>
    </row>
    <row r="378" ht="15.75" customHeight="1">
      <c r="A378" s="7"/>
      <c r="U378" s="9"/>
      <c r="V378" s="7"/>
    </row>
    <row r="379" ht="15.75" customHeight="1">
      <c r="A379" s="7"/>
      <c r="U379" s="9"/>
      <c r="V379" s="7"/>
    </row>
    <row r="380" ht="15.75" customHeight="1">
      <c r="A380" s="7"/>
      <c r="U380" s="9"/>
      <c r="V380" s="7"/>
    </row>
    <row r="381" ht="15.75" customHeight="1">
      <c r="A381" s="7"/>
      <c r="U381" s="9"/>
      <c r="V381" s="7"/>
    </row>
    <row r="382" ht="15.75" customHeight="1">
      <c r="A382" s="7"/>
      <c r="U382" s="9"/>
      <c r="V382" s="7"/>
    </row>
    <row r="383" ht="15.75" customHeight="1">
      <c r="A383" s="7"/>
      <c r="U383" s="9"/>
      <c r="V383" s="7"/>
    </row>
    <row r="384" ht="15.75" customHeight="1">
      <c r="A384" s="7"/>
      <c r="U384" s="9"/>
      <c r="V384" s="7"/>
    </row>
    <row r="385" ht="15.75" customHeight="1">
      <c r="A385" s="7"/>
      <c r="U385" s="9"/>
      <c r="V385" s="7"/>
    </row>
    <row r="386" ht="15.75" customHeight="1">
      <c r="A386" s="7"/>
      <c r="U386" s="9"/>
      <c r="V386" s="7"/>
    </row>
    <row r="387" ht="15.75" customHeight="1">
      <c r="A387" s="7"/>
      <c r="U387" s="9"/>
      <c r="V387" s="7"/>
    </row>
    <row r="388" ht="15.75" customHeight="1">
      <c r="A388" s="7"/>
      <c r="U388" s="9"/>
      <c r="V388" s="7"/>
    </row>
    <row r="389" ht="15.75" customHeight="1">
      <c r="A389" s="7"/>
      <c r="U389" s="9"/>
      <c r="V389" s="7"/>
    </row>
    <row r="390" ht="15.75" customHeight="1">
      <c r="A390" s="7"/>
      <c r="U390" s="9"/>
      <c r="V390" s="7"/>
    </row>
    <row r="391" ht="15.75" customHeight="1">
      <c r="A391" s="7"/>
      <c r="U391" s="9"/>
      <c r="V391" s="7"/>
    </row>
    <row r="392" ht="15.75" customHeight="1">
      <c r="A392" s="7"/>
      <c r="U392" s="9"/>
      <c r="V392" s="7"/>
    </row>
    <row r="393" ht="15.75" customHeight="1">
      <c r="A393" s="7"/>
      <c r="U393" s="9"/>
      <c r="V393" s="7"/>
    </row>
    <row r="394" ht="15.75" customHeight="1">
      <c r="A394" s="7"/>
      <c r="U394" s="9"/>
      <c r="V394" s="7"/>
    </row>
    <row r="395" ht="15.75" customHeight="1">
      <c r="A395" s="7"/>
      <c r="U395" s="9"/>
      <c r="V395" s="7"/>
    </row>
    <row r="396" ht="15.75" customHeight="1">
      <c r="A396" s="7"/>
      <c r="U396" s="9"/>
      <c r="V396" s="7"/>
    </row>
    <row r="397" ht="15.75" customHeight="1">
      <c r="A397" s="7"/>
      <c r="U397" s="9"/>
      <c r="V397" s="7"/>
    </row>
    <row r="398" ht="15.75" customHeight="1">
      <c r="A398" s="7"/>
      <c r="U398" s="9"/>
      <c r="V398" s="7"/>
    </row>
    <row r="399" ht="15.75" customHeight="1">
      <c r="A399" s="7"/>
      <c r="U399" s="9"/>
      <c r="V399" s="7"/>
    </row>
    <row r="400" ht="15.75" customHeight="1">
      <c r="A400" s="7"/>
      <c r="U400" s="9"/>
      <c r="V400" s="7"/>
    </row>
    <row r="401" ht="15.75" customHeight="1">
      <c r="A401" s="7"/>
      <c r="U401" s="9"/>
      <c r="V401" s="7"/>
    </row>
    <row r="402" ht="15.75" customHeight="1">
      <c r="A402" s="7"/>
      <c r="U402" s="9"/>
      <c r="V402" s="7"/>
    </row>
    <row r="403" ht="15.75" customHeight="1">
      <c r="A403" s="7"/>
      <c r="U403" s="9"/>
      <c r="V403" s="7"/>
    </row>
    <row r="404" ht="15.75" customHeight="1">
      <c r="A404" s="7"/>
      <c r="U404" s="9"/>
      <c r="V404" s="7"/>
    </row>
    <row r="405" ht="15.75" customHeight="1">
      <c r="A405" s="7"/>
      <c r="U405" s="9"/>
      <c r="V405" s="7"/>
    </row>
    <row r="406" ht="15.75" customHeight="1">
      <c r="A406" s="7"/>
      <c r="U406" s="9"/>
      <c r="V406" s="7"/>
    </row>
    <row r="407" ht="15.75" customHeight="1">
      <c r="A407" s="7"/>
      <c r="U407" s="9"/>
      <c r="V407" s="7"/>
    </row>
    <row r="408" ht="15.75" customHeight="1">
      <c r="A408" s="7"/>
      <c r="U408" s="9"/>
      <c r="V408" s="7"/>
    </row>
    <row r="409" ht="15.75" customHeight="1">
      <c r="A409" s="7"/>
      <c r="U409" s="9"/>
      <c r="V409" s="7"/>
    </row>
    <row r="410" ht="15.75" customHeight="1">
      <c r="A410" s="7"/>
      <c r="U410" s="9"/>
      <c r="V410" s="7"/>
    </row>
    <row r="411" ht="15.75" customHeight="1">
      <c r="A411" s="7"/>
      <c r="U411" s="9"/>
      <c r="V411" s="7"/>
    </row>
    <row r="412" ht="15.75" customHeight="1">
      <c r="A412" s="7"/>
      <c r="U412" s="9"/>
      <c r="V412" s="7"/>
    </row>
    <row r="413" ht="15.75" customHeight="1">
      <c r="A413" s="7"/>
      <c r="U413" s="9"/>
      <c r="V413" s="7"/>
    </row>
    <row r="414" ht="15.75" customHeight="1">
      <c r="A414" s="7"/>
      <c r="U414" s="9"/>
      <c r="V414" s="7"/>
    </row>
    <row r="415" ht="15.75" customHeight="1">
      <c r="A415" s="7"/>
      <c r="U415" s="9"/>
      <c r="V415" s="7"/>
    </row>
    <row r="416" ht="15.75" customHeight="1">
      <c r="A416" s="7"/>
      <c r="U416" s="9"/>
      <c r="V416" s="7"/>
    </row>
    <row r="417" ht="15.75" customHeight="1">
      <c r="A417" s="7"/>
      <c r="U417" s="9"/>
      <c r="V417" s="7"/>
    </row>
    <row r="418" ht="15.75" customHeight="1">
      <c r="A418" s="7"/>
      <c r="U418" s="9"/>
      <c r="V418" s="7"/>
    </row>
    <row r="419" ht="15.75" customHeight="1">
      <c r="A419" s="7"/>
      <c r="U419" s="9"/>
      <c r="V419" s="7"/>
    </row>
    <row r="420" ht="15.75" customHeight="1">
      <c r="A420" s="7"/>
      <c r="U420" s="9"/>
      <c r="V420" s="7"/>
    </row>
    <row r="421" ht="15.75" customHeight="1">
      <c r="A421" s="7"/>
      <c r="U421" s="9"/>
      <c r="V421" s="7"/>
    </row>
    <row r="422" ht="15.75" customHeight="1">
      <c r="A422" s="7"/>
      <c r="U422" s="9"/>
      <c r="V422" s="7"/>
    </row>
    <row r="423" ht="15.75" customHeight="1">
      <c r="A423" s="7"/>
      <c r="U423" s="9"/>
      <c r="V423" s="7"/>
    </row>
    <row r="424" ht="15.75" customHeight="1">
      <c r="A424" s="7"/>
      <c r="U424" s="9"/>
      <c r="V424" s="7"/>
    </row>
    <row r="425" ht="15.75" customHeight="1">
      <c r="A425" s="7"/>
      <c r="U425" s="9"/>
      <c r="V425" s="7"/>
    </row>
    <row r="426" ht="15.75" customHeight="1">
      <c r="A426" s="7"/>
      <c r="U426" s="9"/>
      <c r="V426" s="7"/>
    </row>
    <row r="427" ht="15.75" customHeight="1">
      <c r="A427" s="7"/>
      <c r="U427" s="9"/>
      <c r="V427" s="7"/>
    </row>
    <row r="428" ht="15.75" customHeight="1">
      <c r="A428" s="7"/>
      <c r="U428" s="9"/>
      <c r="V428" s="7"/>
    </row>
    <row r="429" ht="15.75" customHeight="1">
      <c r="A429" s="7"/>
      <c r="U429" s="9"/>
      <c r="V429" s="7"/>
    </row>
    <row r="430" ht="15.75" customHeight="1">
      <c r="A430" s="7"/>
      <c r="U430" s="9"/>
      <c r="V430" s="7"/>
    </row>
    <row r="431" ht="15.75" customHeight="1">
      <c r="A431" s="7"/>
      <c r="U431" s="9"/>
      <c r="V431" s="7"/>
    </row>
    <row r="432" ht="15.75" customHeight="1">
      <c r="A432" s="7"/>
      <c r="U432" s="9"/>
      <c r="V432" s="7"/>
    </row>
    <row r="433" ht="15.75" customHeight="1">
      <c r="A433" s="7"/>
      <c r="U433" s="9"/>
      <c r="V433" s="7"/>
    </row>
    <row r="434" ht="15.75" customHeight="1">
      <c r="A434" s="7"/>
      <c r="U434" s="9"/>
      <c r="V434" s="7"/>
    </row>
    <row r="435" ht="15.75" customHeight="1">
      <c r="A435" s="7"/>
      <c r="U435" s="9"/>
      <c r="V435" s="7"/>
    </row>
    <row r="436" ht="15.75" customHeight="1">
      <c r="A436" s="7"/>
      <c r="U436" s="9"/>
      <c r="V436" s="7"/>
    </row>
    <row r="437" ht="15.75" customHeight="1">
      <c r="A437" s="7"/>
      <c r="U437" s="9"/>
      <c r="V437" s="7"/>
    </row>
    <row r="438" ht="15.75" customHeight="1">
      <c r="A438" s="7"/>
      <c r="U438" s="9"/>
      <c r="V438" s="7"/>
    </row>
    <row r="439" ht="15.75" customHeight="1">
      <c r="A439" s="7"/>
      <c r="U439" s="9"/>
      <c r="V439" s="7"/>
    </row>
    <row r="440" ht="15.75" customHeight="1">
      <c r="A440" s="7"/>
      <c r="U440" s="9"/>
      <c r="V440" s="7"/>
    </row>
    <row r="441" ht="15.75" customHeight="1">
      <c r="A441" s="7"/>
      <c r="U441" s="9"/>
      <c r="V441" s="7"/>
    </row>
    <row r="442" ht="15.75" customHeight="1">
      <c r="A442" s="7"/>
      <c r="U442" s="9"/>
      <c r="V442" s="7"/>
    </row>
    <row r="443" ht="15.75" customHeight="1">
      <c r="A443" s="7"/>
      <c r="U443" s="9"/>
      <c r="V443" s="7"/>
    </row>
    <row r="444" ht="15.75" customHeight="1">
      <c r="A444" s="7"/>
      <c r="U444" s="9"/>
      <c r="V444" s="7"/>
    </row>
    <row r="445" ht="15.75" customHeight="1">
      <c r="A445" s="7"/>
      <c r="U445" s="9"/>
      <c r="V445" s="7"/>
    </row>
    <row r="446" ht="15.75" customHeight="1">
      <c r="A446" s="7"/>
      <c r="U446" s="9"/>
      <c r="V446" s="7"/>
    </row>
    <row r="447" ht="15.75" customHeight="1">
      <c r="A447" s="7"/>
      <c r="U447" s="9"/>
      <c r="V447" s="7"/>
    </row>
    <row r="448" ht="15.75" customHeight="1">
      <c r="A448" s="7"/>
      <c r="U448" s="9"/>
      <c r="V448" s="7"/>
    </row>
    <row r="449" ht="15.75" customHeight="1">
      <c r="A449" s="7"/>
      <c r="U449" s="9"/>
      <c r="V449" s="7"/>
    </row>
    <row r="450" ht="15.75" customHeight="1">
      <c r="A450" s="7"/>
      <c r="U450" s="9"/>
      <c r="V450" s="7"/>
    </row>
    <row r="451" ht="15.75" customHeight="1">
      <c r="A451" s="7"/>
      <c r="U451" s="9"/>
      <c r="V451" s="7"/>
    </row>
    <row r="452" ht="15.75" customHeight="1">
      <c r="A452" s="7"/>
      <c r="U452" s="9"/>
      <c r="V452" s="7"/>
    </row>
    <row r="453" ht="15.75" customHeight="1">
      <c r="A453" s="7"/>
      <c r="U453" s="9"/>
      <c r="V453" s="7"/>
    </row>
    <row r="454" ht="15.75" customHeight="1">
      <c r="A454" s="7"/>
      <c r="U454" s="9"/>
      <c r="V454" s="7"/>
    </row>
    <row r="455" ht="15.75" customHeight="1">
      <c r="A455" s="7"/>
      <c r="U455" s="9"/>
      <c r="V455" s="7"/>
    </row>
    <row r="456" ht="15.75" customHeight="1">
      <c r="A456" s="7"/>
      <c r="U456" s="9"/>
      <c r="V456" s="7"/>
    </row>
    <row r="457" ht="15.75" customHeight="1">
      <c r="A457" s="7"/>
      <c r="U457" s="9"/>
      <c r="V457" s="7"/>
    </row>
    <row r="458" ht="15.75" customHeight="1">
      <c r="A458" s="7"/>
      <c r="U458" s="9"/>
      <c r="V458" s="7"/>
    </row>
    <row r="459" ht="15.75" customHeight="1">
      <c r="A459" s="7"/>
      <c r="U459" s="9"/>
      <c r="V459" s="7"/>
    </row>
    <row r="460" ht="15.75" customHeight="1">
      <c r="A460" s="7"/>
      <c r="U460" s="9"/>
      <c r="V460" s="7"/>
    </row>
    <row r="461" ht="15.75" customHeight="1">
      <c r="A461" s="7"/>
      <c r="U461" s="9"/>
      <c r="V461" s="7"/>
    </row>
    <row r="462" ht="15.75" customHeight="1">
      <c r="A462" s="7"/>
      <c r="U462" s="9"/>
      <c r="V462" s="7"/>
    </row>
    <row r="463" ht="15.75" customHeight="1">
      <c r="A463" s="7"/>
      <c r="U463" s="9"/>
      <c r="V463" s="7"/>
    </row>
    <row r="464" ht="15.75" customHeight="1">
      <c r="A464" s="7"/>
      <c r="U464" s="9"/>
      <c r="V464" s="7"/>
    </row>
    <row r="465" ht="15.75" customHeight="1">
      <c r="A465" s="7"/>
      <c r="U465" s="9"/>
      <c r="V465" s="7"/>
    </row>
    <row r="466" ht="15.75" customHeight="1">
      <c r="A466" s="7"/>
      <c r="U466" s="9"/>
      <c r="V466" s="7"/>
    </row>
    <row r="467" ht="15.75" customHeight="1">
      <c r="A467" s="7"/>
      <c r="U467" s="9"/>
      <c r="V467" s="7"/>
    </row>
    <row r="468" ht="15.75" customHeight="1">
      <c r="A468" s="7"/>
      <c r="U468" s="9"/>
      <c r="V468" s="7"/>
    </row>
    <row r="469" ht="15.75" customHeight="1">
      <c r="A469" s="7"/>
      <c r="U469" s="9"/>
      <c r="V469" s="7"/>
    </row>
    <row r="470" ht="15.75" customHeight="1">
      <c r="A470" s="7"/>
      <c r="U470" s="9"/>
      <c r="V470" s="7"/>
    </row>
    <row r="471" ht="15.75" customHeight="1">
      <c r="A471" s="7"/>
      <c r="U471" s="9"/>
      <c r="V471" s="7"/>
    </row>
    <row r="472" ht="15.75" customHeight="1">
      <c r="A472" s="7"/>
      <c r="U472" s="9"/>
      <c r="V472" s="7"/>
    </row>
    <row r="473" ht="15.75" customHeight="1">
      <c r="A473" s="7"/>
      <c r="U473" s="9"/>
      <c r="V473" s="7"/>
    </row>
    <row r="474" ht="15.75" customHeight="1">
      <c r="A474" s="7"/>
      <c r="U474" s="9"/>
      <c r="V474" s="7"/>
    </row>
    <row r="475" ht="15.75" customHeight="1">
      <c r="A475" s="7"/>
      <c r="U475" s="9"/>
      <c r="V475" s="7"/>
    </row>
    <row r="476" ht="15.75" customHeight="1">
      <c r="A476" s="7"/>
      <c r="U476" s="9"/>
      <c r="V476" s="7"/>
    </row>
    <row r="477" ht="15.75" customHeight="1">
      <c r="A477" s="7"/>
      <c r="U477" s="9"/>
      <c r="V477" s="7"/>
    </row>
    <row r="478" ht="15.75" customHeight="1">
      <c r="A478" s="7"/>
      <c r="U478" s="9"/>
      <c r="V478" s="7"/>
    </row>
    <row r="479" ht="15.75" customHeight="1">
      <c r="A479" s="7"/>
      <c r="U479" s="9"/>
      <c r="V479" s="7"/>
    </row>
    <row r="480" ht="15.75" customHeight="1">
      <c r="A480" s="7"/>
      <c r="U480" s="9"/>
      <c r="V480" s="7"/>
    </row>
    <row r="481" ht="15.75" customHeight="1">
      <c r="A481" s="7"/>
      <c r="U481" s="9"/>
      <c r="V481" s="7"/>
    </row>
    <row r="482" ht="15.75" customHeight="1">
      <c r="A482" s="7"/>
      <c r="U482" s="9"/>
      <c r="V482" s="7"/>
    </row>
    <row r="483" ht="15.75" customHeight="1">
      <c r="A483" s="7"/>
      <c r="U483" s="9"/>
      <c r="V483" s="7"/>
    </row>
    <row r="484" ht="15.75" customHeight="1">
      <c r="A484" s="7"/>
      <c r="U484" s="9"/>
      <c r="V484" s="7"/>
    </row>
    <row r="485" ht="15.75" customHeight="1">
      <c r="A485" s="7"/>
      <c r="U485" s="9"/>
      <c r="V485" s="7"/>
    </row>
    <row r="486" ht="15.75" customHeight="1">
      <c r="A486" s="7"/>
      <c r="U486" s="9"/>
      <c r="V486" s="7"/>
    </row>
    <row r="487" ht="15.75" customHeight="1">
      <c r="A487" s="7"/>
      <c r="U487" s="9"/>
      <c r="V487" s="7"/>
    </row>
    <row r="488" ht="15.75" customHeight="1">
      <c r="A488" s="7"/>
      <c r="U488" s="9"/>
      <c r="V488" s="7"/>
    </row>
    <row r="489" ht="15.75" customHeight="1">
      <c r="A489" s="7"/>
      <c r="U489" s="9"/>
      <c r="V489" s="7"/>
    </row>
    <row r="490" ht="15.75" customHeight="1">
      <c r="A490" s="7"/>
      <c r="U490" s="9"/>
      <c r="V490" s="7"/>
    </row>
    <row r="491" ht="15.75" customHeight="1">
      <c r="A491" s="7"/>
      <c r="U491" s="9"/>
      <c r="V491" s="7"/>
    </row>
    <row r="492" ht="15.75" customHeight="1">
      <c r="A492" s="7"/>
      <c r="U492" s="9"/>
      <c r="V492" s="7"/>
    </row>
    <row r="493" ht="15.75" customHeight="1">
      <c r="A493" s="7"/>
      <c r="U493" s="9"/>
      <c r="V493" s="7"/>
    </row>
    <row r="494" ht="15.75" customHeight="1">
      <c r="A494" s="7"/>
      <c r="U494" s="9"/>
      <c r="V494" s="7"/>
    </row>
    <row r="495" ht="15.75" customHeight="1">
      <c r="A495" s="7"/>
      <c r="U495" s="9"/>
      <c r="V495" s="7"/>
    </row>
    <row r="496" ht="15.75" customHeight="1">
      <c r="A496" s="7"/>
      <c r="U496" s="9"/>
      <c r="V496" s="7"/>
    </row>
    <row r="497" ht="15.75" customHeight="1">
      <c r="A497" s="7"/>
      <c r="U497" s="9"/>
      <c r="V497" s="7"/>
    </row>
    <row r="498" ht="15.75" customHeight="1">
      <c r="A498" s="7"/>
      <c r="U498" s="9"/>
      <c r="V498" s="7"/>
    </row>
    <row r="499" ht="15.75" customHeight="1">
      <c r="A499" s="7"/>
      <c r="U499" s="9"/>
      <c r="V499" s="7"/>
    </row>
    <row r="500" ht="15.75" customHeight="1">
      <c r="A500" s="7"/>
      <c r="U500" s="9"/>
      <c r="V500" s="7"/>
    </row>
    <row r="501" ht="15.75" customHeight="1">
      <c r="A501" s="7"/>
      <c r="U501" s="9"/>
      <c r="V501" s="7"/>
    </row>
    <row r="502" ht="15.75" customHeight="1">
      <c r="A502" s="7"/>
      <c r="U502" s="9"/>
      <c r="V502" s="7"/>
    </row>
    <row r="503" ht="15.75" customHeight="1">
      <c r="A503" s="7"/>
      <c r="U503" s="9"/>
      <c r="V503" s="7"/>
    </row>
    <row r="504" ht="15.75" customHeight="1">
      <c r="A504" s="7"/>
      <c r="U504" s="9"/>
      <c r="V504" s="7"/>
    </row>
    <row r="505" ht="15.75" customHeight="1">
      <c r="A505" s="7"/>
      <c r="U505" s="9"/>
      <c r="V505" s="7"/>
    </row>
    <row r="506" ht="15.75" customHeight="1">
      <c r="A506" s="7"/>
      <c r="U506" s="9"/>
      <c r="V506" s="7"/>
    </row>
    <row r="507" ht="15.75" customHeight="1">
      <c r="A507" s="7"/>
      <c r="U507" s="9"/>
      <c r="V507" s="7"/>
    </row>
    <row r="508" ht="15.75" customHeight="1">
      <c r="A508" s="7"/>
      <c r="U508" s="9"/>
      <c r="V508" s="7"/>
    </row>
    <row r="509" ht="15.75" customHeight="1">
      <c r="A509" s="7"/>
      <c r="U509" s="9"/>
      <c r="V509" s="7"/>
    </row>
    <row r="510" ht="15.75" customHeight="1">
      <c r="A510" s="7"/>
      <c r="U510" s="9"/>
      <c r="V510" s="7"/>
    </row>
    <row r="511" ht="15.75" customHeight="1">
      <c r="A511" s="7"/>
      <c r="U511" s="9"/>
      <c r="V511" s="7"/>
    </row>
    <row r="512" ht="15.75" customHeight="1">
      <c r="A512" s="7"/>
      <c r="U512" s="9"/>
      <c r="V512" s="7"/>
    </row>
    <row r="513" ht="15.75" customHeight="1">
      <c r="A513" s="7"/>
      <c r="U513" s="9"/>
      <c r="V513" s="7"/>
    </row>
    <row r="514" ht="15.75" customHeight="1">
      <c r="A514" s="7"/>
      <c r="U514" s="9"/>
      <c r="V514" s="7"/>
    </row>
    <row r="515" ht="15.75" customHeight="1">
      <c r="A515" s="7"/>
      <c r="U515" s="9"/>
      <c r="V515" s="7"/>
    </row>
    <row r="516" ht="15.75" customHeight="1">
      <c r="A516" s="7"/>
      <c r="U516" s="9"/>
      <c r="V516" s="7"/>
    </row>
    <row r="517" ht="15.75" customHeight="1">
      <c r="A517" s="7"/>
      <c r="U517" s="9"/>
      <c r="V517" s="7"/>
    </row>
    <row r="518" ht="15.75" customHeight="1">
      <c r="A518" s="7"/>
      <c r="U518" s="9"/>
      <c r="V518" s="7"/>
    </row>
    <row r="519" ht="15.75" customHeight="1">
      <c r="A519" s="7"/>
      <c r="U519" s="9"/>
      <c r="V519" s="7"/>
    </row>
    <row r="520" ht="15.75" customHeight="1">
      <c r="A520" s="7"/>
      <c r="U520" s="9"/>
      <c r="V520" s="7"/>
    </row>
    <row r="521" ht="15.75" customHeight="1">
      <c r="A521" s="7"/>
      <c r="U521" s="9"/>
      <c r="V521" s="7"/>
    </row>
    <row r="522" ht="15.75" customHeight="1">
      <c r="A522" s="7"/>
      <c r="U522" s="9"/>
      <c r="V522" s="7"/>
    </row>
    <row r="523" ht="15.75" customHeight="1">
      <c r="A523" s="7"/>
      <c r="U523" s="9"/>
      <c r="V523" s="7"/>
    </row>
    <row r="524" ht="15.75" customHeight="1">
      <c r="A524" s="7"/>
      <c r="U524" s="9"/>
      <c r="V524" s="7"/>
    </row>
    <row r="525" ht="15.75" customHeight="1">
      <c r="A525" s="7"/>
      <c r="U525" s="9"/>
      <c r="V525" s="7"/>
    </row>
    <row r="526" ht="15.75" customHeight="1">
      <c r="A526" s="7"/>
      <c r="U526" s="9"/>
      <c r="V526" s="7"/>
    </row>
    <row r="527" ht="15.75" customHeight="1">
      <c r="A527" s="7"/>
      <c r="U527" s="9"/>
      <c r="V527" s="7"/>
    </row>
    <row r="528" ht="15.75" customHeight="1">
      <c r="A528" s="7"/>
      <c r="U528" s="9"/>
      <c r="V528" s="7"/>
    </row>
    <row r="529" ht="15.75" customHeight="1">
      <c r="A529" s="7"/>
      <c r="U529" s="9"/>
      <c r="V529" s="7"/>
    </row>
    <row r="530" ht="15.75" customHeight="1">
      <c r="A530" s="7"/>
      <c r="U530" s="9"/>
      <c r="V530" s="7"/>
    </row>
    <row r="531" ht="15.75" customHeight="1">
      <c r="A531" s="7"/>
      <c r="U531" s="9"/>
      <c r="V531" s="7"/>
    </row>
    <row r="532" ht="15.75" customHeight="1">
      <c r="A532" s="7"/>
      <c r="U532" s="9"/>
      <c r="V532" s="7"/>
    </row>
    <row r="533" ht="15.75" customHeight="1">
      <c r="A533" s="7"/>
      <c r="U533" s="9"/>
      <c r="V533" s="7"/>
    </row>
    <row r="534" ht="15.75" customHeight="1">
      <c r="A534" s="7"/>
      <c r="U534" s="9"/>
      <c r="V534" s="7"/>
    </row>
    <row r="535" ht="15.75" customHeight="1">
      <c r="A535" s="7"/>
      <c r="U535" s="9"/>
      <c r="V535" s="7"/>
    </row>
    <row r="536" ht="15.75" customHeight="1">
      <c r="A536" s="7"/>
      <c r="U536" s="9"/>
      <c r="V536" s="7"/>
    </row>
    <row r="537" ht="15.75" customHeight="1">
      <c r="A537" s="7"/>
      <c r="U537" s="9"/>
      <c r="V537" s="7"/>
    </row>
    <row r="538" ht="15.75" customHeight="1">
      <c r="A538" s="7"/>
      <c r="U538" s="9"/>
      <c r="V538" s="7"/>
    </row>
    <row r="539" ht="15.75" customHeight="1">
      <c r="A539" s="7"/>
      <c r="U539" s="9"/>
      <c r="V539" s="7"/>
    </row>
    <row r="540" ht="15.75" customHeight="1">
      <c r="A540" s="7"/>
      <c r="U540" s="9"/>
      <c r="V540" s="7"/>
    </row>
    <row r="541" ht="15.75" customHeight="1">
      <c r="A541" s="7"/>
      <c r="U541" s="9"/>
      <c r="V541" s="7"/>
    </row>
    <row r="542" ht="15.75" customHeight="1">
      <c r="A542" s="7"/>
      <c r="U542" s="9"/>
      <c r="V542" s="7"/>
    </row>
    <row r="543" ht="15.75" customHeight="1">
      <c r="A543" s="7"/>
      <c r="U543" s="9"/>
      <c r="V543" s="7"/>
    </row>
    <row r="544" ht="15.75" customHeight="1">
      <c r="A544" s="7"/>
      <c r="U544" s="9"/>
      <c r="V544" s="7"/>
    </row>
    <row r="545" ht="15.75" customHeight="1">
      <c r="A545" s="7"/>
      <c r="U545" s="9"/>
      <c r="V545" s="7"/>
    </row>
    <row r="546" ht="15.75" customHeight="1">
      <c r="A546" s="7"/>
      <c r="U546" s="9"/>
      <c r="V546" s="7"/>
    </row>
    <row r="547" ht="15.75" customHeight="1">
      <c r="A547" s="7"/>
      <c r="U547" s="9"/>
      <c r="V547" s="7"/>
    </row>
    <row r="548" ht="15.75" customHeight="1">
      <c r="A548" s="7"/>
      <c r="U548" s="9"/>
      <c r="V548" s="7"/>
    </row>
    <row r="549" ht="15.75" customHeight="1">
      <c r="A549" s="7"/>
      <c r="U549" s="9"/>
      <c r="V549" s="7"/>
    </row>
    <row r="550" ht="15.75" customHeight="1">
      <c r="A550" s="7"/>
      <c r="U550" s="9"/>
      <c r="V550" s="7"/>
    </row>
    <row r="551" ht="15.75" customHeight="1">
      <c r="A551" s="7"/>
      <c r="U551" s="9"/>
      <c r="V551" s="7"/>
    </row>
    <row r="552" ht="15.75" customHeight="1">
      <c r="A552" s="7"/>
      <c r="U552" s="9"/>
      <c r="V552" s="7"/>
    </row>
    <row r="553" ht="15.75" customHeight="1">
      <c r="A553" s="7"/>
      <c r="U553" s="9"/>
      <c r="V553" s="7"/>
    </row>
    <row r="554" ht="15.75" customHeight="1">
      <c r="A554" s="7"/>
      <c r="U554" s="9"/>
      <c r="V554" s="7"/>
    </row>
    <row r="555" ht="15.75" customHeight="1">
      <c r="A555" s="7"/>
      <c r="U555" s="9"/>
      <c r="V555" s="7"/>
    </row>
    <row r="556" ht="15.75" customHeight="1">
      <c r="A556" s="7"/>
      <c r="U556" s="9"/>
      <c r="V556" s="7"/>
    </row>
    <row r="557" ht="15.75" customHeight="1">
      <c r="A557" s="7"/>
      <c r="U557" s="9"/>
      <c r="V557" s="7"/>
    </row>
    <row r="558" ht="15.75" customHeight="1">
      <c r="A558" s="7"/>
      <c r="U558" s="9"/>
      <c r="V558" s="7"/>
    </row>
    <row r="559" ht="15.75" customHeight="1">
      <c r="A559" s="7"/>
      <c r="U559" s="9"/>
      <c r="V559" s="7"/>
    </row>
    <row r="560" ht="15.75" customHeight="1">
      <c r="A560" s="7"/>
      <c r="U560" s="9"/>
      <c r="V560" s="7"/>
    </row>
    <row r="561" ht="15.75" customHeight="1">
      <c r="A561" s="7"/>
      <c r="U561" s="9"/>
      <c r="V561" s="7"/>
    </row>
    <row r="562" ht="15.75" customHeight="1">
      <c r="A562" s="7"/>
      <c r="U562" s="9"/>
      <c r="V562" s="7"/>
    </row>
    <row r="563" ht="15.75" customHeight="1">
      <c r="A563" s="7"/>
      <c r="U563" s="9"/>
      <c r="V563" s="7"/>
    </row>
    <row r="564" ht="15.75" customHeight="1">
      <c r="A564" s="7"/>
      <c r="U564" s="9"/>
      <c r="V564" s="7"/>
    </row>
    <row r="565" ht="15.75" customHeight="1">
      <c r="A565" s="7"/>
      <c r="U565" s="9"/>
      <c r="V565" s="7"/>
    </row>
    <row r="566" ht="15.75" customHeight="1">
      <c r="A566" s="7"/>
      <c r="U566" s="9"/>
      <c r="V566" s="7"/>
    </row>
    <row r="567" ht="15.75" customHeight="1">
      <c r="A567" s="7"/>
      <c r="U567" s="9"/>
      <c r="V567" s="7"/>
    </row>
    <row r="568" ht="15.75" customHeight="1">
      <c r="A568" s="7"/>
      <c r="U568" s="9"/>
      <c r="V568" s="7"/>
    </row>
    <row r="569" ht="15.75" customHeight="1">
      <c r="A569" s="7"/>
      <c r="U569" s="9"/>
      <c r="V569" s="7"/>
    </row>
    <row r="570" ht="15.75" customHeight="1">
      <c r="A570" s="7"/>
      <c r="U570" s="9"/>
      <c r="V570" s="7"/>
    </row>
    <row r="571" ht="15.75" customHeight="1">
      <c r="A571" s="7"/>
      <c r="U571" s="9"/>
      <c r="V571" s="7"/>
    </row>
    <row r="572" ht="15.75" customHeight="1">
      <c r="A572" s="7"/>
      <c r="U572" s="9"/>
      <c r="V572" s="7"/>
    </row>
    <row r="573" ht="15.75" customHeight="1">
      <c r="A573" s="7"/>
      <c r="U573" s="9"/>
      <c r="V573" s="7"/>
    </row>
    <row r="574" ht="15.75" customHeight="1">
      <c r="A574" s="7"/>
      <c r="U574" s="9"/>
      <c r="V574" s="7"/>
    </row>
    <row r="575" ht="15.75" customHeight="1">
      <c r="A575" s="7"/>
      <c r="U575" s="9"/>
      <c r="V575" s="7"/>
    </row>
    <row r="576" ht="15.75" customHeight="1">
      <c r="A576" s="7"/>
      <c r="U576" s="9"/>
      <c r="V576" s="7"/>
    </row>
    <row r="577" ht="15.75" customHeight="1">
      <c r="A577" s="7"/>
      <c r="U577" s="9"/>
      <c r="V577" s="7"/>
    </row>
    <row r="578" ht="15.75" customHeight="1">
      <c r="A578" s="7"/>
      <c r="U578" s="9"/>
      <c r="V578" s="7"/>
    </row>
    <row r="579" ht="15.75" customHeight="1">
      <c r="A579" s="7"/>
      <c r="U579" s="9"/>
      <c r="V579" s="7"/>
    </row>
    <row r="580" ht="15.75" customHeight="1">
      <c r="A580" s="7"/>
      <c r="U580" s="9"/>
      <c r="V580" s="7"/>
    </row>
    <row r="581" ht="15.75" customHeight="1">
      <c r="A581" s="7"/>
      <c r="U581" s="9"/>
      <c r="V581" s="7"/>
    </row>
    <row r="582" ht="15.75" customHeight="1">
      <c r="A582" s="7"/>
      <c r="U582" s="9"/>
      <c r="V582" s="7"/>
    </row>
    <row r="583" ht="15.75" customHeight="1">
      <c r="A583" s="7"/>
      <c r="U583" s="9"/>
      <c r="V583" s="7"/>
    </row>
    <row r="584" ht="15.75" customHeight="1">
      <c r="A584" s="7"/>
      <c r="U584" s="9"/>
      <c r="V584" s="7"/>
    </row>
    <row r="585" ht="15.75" customHeight="1">
      <c r="A585" s="7"/>
      <c r="U585" s="9"/>
      <c r="V585" s="7"/>
    </row>
    <row r="586" ht="15.75" customHeight="1">
      <c r="A586" s="7"/>
      <c r="U586" s="9"/>
      <c r="V586" s="7"/>
    </row>
    <row r="587" ht="15.75" customHeight="1">
      <c r="A587" s="7"/>
      <c r="U587" s="9"/>
      <c r="V587" s="7"/>
    </row>
    <row r="588" ht="15.75" customHeight="1">
      <c r="A588" s="7"/>
      <c r="U588" s="9"/>
      <c r="V588" s="7"/>
    </row>
    <row r="589" ht="15.75" customHeight="1">
      <c r="A589" s="7"/>
      <c r="U589" s="9"/>
      <c r="V589" s="7"/>
    </row>
    <row r="590" ht="15.75" customHeight="1">
      <c r="A590" s="7"/>
      <c r="U590" s="9"/>
      <c r="V590" s="7"/>
    </row>
    <row r="591" ht="15.75" customHeight="1">
      <c r="A591" s="7"/>
      <c r="U591" s="9"/>
      <c r="V591" s="7"/>
    </row>
    <row r="592" ht="15.75" customHeight="1">
      <c r="A592" s="7"/>
      <c r="U592" s="9"/>
      <c r="V592" s="7"/>
    </row>
    <row r="593" ht="15.75" customHeight="1">
      <c r="A593" s="7"/>
      <c r="U593" s="9"/>
      <c r="V593" s="7"/>
    </row>
    <row r="594" ht="15.75" customHeight="1">
      <c r="A594" s="7"/>
      <c r="U594" s="9"/>
      <c r="V594" s="7"/>
    </row>
    <row r="595" ht="15.75" customHeight="1">
      <c r="A595" s="7"/>
      <c r="U595" s="9"/>
      <c r="V595" s="7"/>
    </row>
    <row r="596" ht="15.75" customHeight="1">
      <c r="A596" s="7"/>
      <c r="U596" s="9"/>
      <c r="V596" s="7"/>
    </row>
    <row r="597" ht="15.75" customHeight="1">
      <c r="A597" s="7"/>
      <c r="U597" s="9"/>
      <c r="V597" s="7"/>
    </row>
    <row r="598" ht="15.75" customHeight="1">
      <c r="A598" s="7"/>
      <c r="U598" s="9"/>
      <c r="V598" s="7"/>
    </row>
    <row r="599" ht="15.75" customHeight="1">
      <c r="A599" s="7"/>
      <c r="U599" s="9"/>
      <c r="V599" s="7"/>
    </row>
    <row r="600" ht="15.75" customHeight="1">
      <c r="A600" s="7"/>
      <c r="U600" s="9"/>
      <c r="V600" s="7"/>
    </row>
    <row r="601" ht="15.75" customHeight="1">
      <c r="A601" s="7"/>
      <c r="U601" s="9"/>
      <c r="V601" s="7"/>
    </row>
    <row r="602" ht="15.75" customHeight="1">
      <c r="A602" s="7"/>
      <c r="U602" s="9"/>
      <c r="V602" s="7"/>
    </row>
    <row r="603" ht="15.75" customHeight="1">
      <c r="A603" s="7"/>
      <c r="U603" s="9"/>
      <c r="V603" s="7"/>
    </row>
    <row r="604" ht="15.75" customHeight="1">
      <c r="A604" s="7"/>
      <c r="U604" s="9"/>
      <c r="V604" s="7"/>
    </row>
    <row r="605" ht="15.75" customHeight="1">
      <c r="A605" s="7"/>
      <c r="U605" s="9"/>
      <c r="V605" s="7"/>
    </row>
    <row r="606" ht="15.75" customHeight="1">
      <c r="A606" s="7"/>
      <c r="U606" s="9"/>
      <c r="V606" s="7"/>
    </row>
    <row r="607" ht="15.75" customHeight="1">
      <c r="A607" s="7"/>
      <c r="U607" s="9"/>
      <c r="V607" s="7"/>
    </row>
    <row r="608" ht="15.75" customHeight="1">
      <c r="A608" s="7"/>
      <c r="U608" s="9"/>
      <c r="V608" s="7"/>
    </row>
    <row r="609" ht="15.75" customHeight="1">
      <c r="A609" s="7"/>
      <c r="U609" s="9"/>
      <c r="V609" s="7"/>
    </row>
    <row r="610" ht="15.75" customHeight="1">
      <c r="A610" s="7"/>
      <c r="U610" s="9"/>
      <c r="V610" s="7"/>
    </row>
    <row r="611" ht="15.75" customHeight="1">
      <c r="A611" s="7"/>
      <c r="U611" s="9"/>
      <c r="V611" s="7"/>
    </row>
    <row r="612" ht="15.75" customHeight="1">
      <c r="A612" s="7"/>
      <c r="U612" s="9"/>
      <c r="V612" s="7"/>
    </row>
    <row r="613" ht="15.75" customHeight="1">
      <c r="A613" s="7"/>
      <c r="U613" s="9"/>
      <c r="V613" s="7"/>
    </row>
    <row r="614" ht="15.75" customHeight="1">
      <c r="A614" s="7"/>
      <c r="U614" s="9"/>
      <c r="V614" s="7"/>
    </row>
    <row r="615" ht="15.75" customHeight="1">
      <c r="A615" s="7"/>
      <c r="U615" s="9"/>
      <c r="V615" s="7"/>
    </row>
    <row r="616" ht="15.75" customHeight="1">
      <c r="A616" s="7"/>
      <c r="U616" s="9"/>
      <c r="V616" s="7"/>
    </row>
    <row r="617" ht="15.75" customHeight="1">
      <c r="A617" s="7"/>
      <c r="U617" s="9"/>
      <c r="V617" s="7"/>
    </row>
    <row r="618" ht="15.75" customHeight="1">
      <c r="A618" s="7"/>
      <c r="U618" s="9"/>
      <c r="V618" s="7"/>
    </row>
    <row r="619" ht="15.75" customHeight="1">
      <c r="A619" s="7"/>
      <c r="U619" s="9"/>
      <c r="V619" s="7"/>
    </row>
    <row r="620" ht="15.75" customHeight="1">
      <c r="A620" s="7"/>
      <c r="U620" s="9"/>
      <c r="V620" s="7"/>
    </row>
    <row r="621" ht="15.75" customHeight="1">
      <c r="A621" s="7"/>
      <c r="U621" s="9"/>
      <c r="V621" s="7"/>
    </row>
    <row r="622" ht="15.75" customHeight="1">
      <c r="A622" s="7"/>
      <c r="U622" s="9"/>
      <c r="V622" s="7"/>
    </row>
    <row r="623" ht="15.75" customHeight="1">
      <c r="A623" s="7"/>
      <c r="U623" s="9"/>
      <c r="V623" s="7"/>
    </row>
    <row r="624" ht="15.75" customHeight="1">
      <c r="A624" s="7"/>
      <c r="U624" s="9"/>
      <c r="V624" s="7"/>
    </row>
    <row r="625" ht="15.75" customHeight="1">
      <c r="A625" s="7"/>
      <c r="U625" s="9"/>
      <c r="V625" s="7"/>
    </row>
    <row r="626" ht="15.75" customHeight="1">
      <c r="A626" s="7"/>
      <c r="U626" s="9"/>
      <c r="V626" s="7"/>
    </row>
    <row r="627" ht="15.75" customHeight="1">
      <c r="A627" s="7"/>
      <c r="U627" s="9"/>
      <c r="V627" s="7"/>
    </row>
    <row r="628" ht="15.75" customHeight="1">
      <c r="A628" s="7"/>
      <c r="U628" s="9"/>
      <c r="V628" s="7"/>
    </row>
    <row r="629" ht="15.75" customHeight="1">
      <c r="A629" s="7"/>
      <c r="U629" s="9"/>
      <c r="V629" s="7"/>
    </row>
    <row r="630" ht="15.75" customHeight="1">
      <c r="A630" s="7"/>
      <c r="U630" s="9"/>
      <c r="V630" s="7"/>
    </row>
    <row r="631" ht="15.75" customHeight="1">
      <c r="A631" s="7"/>
      <c r="U631" s="9"/>
      <c r="V631" s="7"/>
    </row>
    <row r="632" ht="15.75" customHeight="1">
      <c r="A632" s="7"/>
      <c r="U632" s="9"/>
      <c r="V632" s="7"/>
    </row>
    <row r="633" ht="15.75" customHeight="1">
      <c r="A633" s="7"/>
      <c r="U633" s="9"/>
      <c r="V633" s="7"/>
    </row>
    <row r="634" ht="15.75" customHeight="1">
      <c r="A634" s="7"/>
      <c r="U634" s="9"/>
      <c r="V634" s="7"/>
    </row>
    <row r="635" ht="15.75" customHeight="1">
      <c r="A635" s="7"/>
      <c r="U635" s="9"/>
      <c r="V635" s="7"/>
    </row>
    <row r="636" ht="15.75" customHeight="1">
      <c r="A636" s="7"/>
      <c r="U636" s="9"/>
      <c r="V636" s="7"/>
    </row>
    <row r="637" ht="15.75" customHeight="1">
      <c r="A637" s="7"/>
      <c r="U637" s="9"/>
      <c r="V637" s="7"/>
    </row>
    <row r="638" ht="15.75" customHeight="1">
      <c r="A638" s="7"/>
      <c r="U638" s="9"/>
      <c r="V638" s="7"/>
    </row>
    <row r="639" ht="15.75" customHeight="1">
      <c r="A639" s="7"/>
      <c r="U639" s="9"/>
      <c r="V639" s="7"/>
    </row>
    <row r="640" ht="15.75" customHeight="1">
      <c r="A640" s="7"/>
      <c r="U640" s="9"/>
      <c r="V640" s="7"/>
    </row>
    <row r="641" ht="15.75" customHeight="1">
      <c r="A641" s="7"/>
      <c r="U641" s="9"/>
      <c r="V641" s="7"/>
    </row>
    <row r="642" ht="15.75" customHeight="1">
      <c r="A642" s="7"/>
      <c r="U642" s="9"/>
      <c r="V642" s="7"/>
    </row>
    <row r="643" ht="15.75" customHeight="1">
      <c r="A643" s="7"/>
      <c r="U643" s="9"/>
      <c r="V643" s="7"/>
    </row>
    <row r="644" ht="15.75" customHeight="1">
      <c r="A644" s="7"/>
      <c r="U644" s="9"/>
      <c r="V644" s="7"/>
    </row>
    <row r="645" ht="15.75" customHeight="1">
      <c r="A645" s="7"/>
      <c r="U645" s="9"/>
      <c r="V645" s="7"/>
    </row>
    <row r="646" ht="15.75" customHeight="1">
      <c r="A646" s="7"/>
      <c r="U646" s="9"/>
      <c r="V646" s="7"/>
    </row>
    <row r="647" ht="15.75" customHeight="1">
      <c r="A647" s="7"/>
      <c r="U647" s="9"/>
      <c r="V647" s="7"/>
    </row>
    <row r="648" ht="15.75" customHeight="1">
      <c r="A648" s="7"/>
      <c r="U648" s="9"/>
      <c r="V648" s="7"/>
    </row>
    <row r="649" ht="15.75" customHeight="1">
      <c r="A649" s="7"/>
      <c r="U649" s="9"/>
      <c r="V649" s="7"/>
    </row>
    <row r="650" ht="15.75" customHeight="1">
      <c r="A650" s="7"/>
      <c r="U650" s="9"/>
      <c r="V650" s="7"/>
    </row>
    <row r="651" ht="15.75" customHeight="1">
      <c r="A651" s="7"/>
      <c r="U651" s="9"/>
      <c r="V651" s="7"/>
    </row>
    <row r="652" ht="15.75" customHeight="1">
      <c r="A652" s="7"/>
      <c r="U652" s="9"/>
      <c r="V652" s="7"/>
    </row>
    <row r="653" ht="15.75" customHeight="1">
      <c r="A653" s="7"/>
      <c r="U653" s="9"/>
      <c r="V653" s="7"/>
    </row>
    <row r="654" ht="15.75" customHeight="1">
      <c r="A654" s="7"/>
      <c r="U654" s="9"/>
      <c r="V654" s="7"/>
    </row>
    <row r="655" ht="15.75" customHeight="1">
      <c r="A655" s="7"/>
      <c r="U655" s="9"/>
      <c r="V655" s="7"/>
    </row>
    <row r="656" ht="15.75" customHeight="1">
      <c r="A656" s="7"/>
      <c r="U656" s="9"/>
      <c r="V656" s="7"/>
    </row>
    <row r="657" ht="15.75" customHeight="1">
      <c r="A657" s="7"/>
      <c r="U657" s="9"/>
      <c r="V657" s="7"/>
    </row>
    <row r="658" ht="15.75" customHeight="1">
      <c r="A658" s="7"/>
      <c r="U658" s="9"/>
      <c r="V658" s="7"/>
    </row>
    <row r="659" ht="15.75" customHeight="1">
      <c r="A659" s="7"/>
      <c r="U659" s="9"/>
      <c r="V659" s="7"/>
    </row>
    <row r="660" ht="15.75" customHeight="1">
      <c r="A660" s="7"/>
      <c r="U660" s="9"/>
      <c r="V660" s="7"/>
    </row>
    <row r="661" ht="15.75" customHeight="1">
      <c r="A661" s="7"/>
      <c r="U661" s="9"/>
      <c r="V661" s="7"/>
    </row>
    <row r="662" ht="15.75" customHeight="1">
      <c r="A662" s="7"/>
      <c r="U662" s="9"/>
      <c r="V662" s="7"/>
    </row>
    <row r="663" ht="15.75" customHeight="1">
      <c r="A663" s="7"/>
      <c r="U663" s="9"/>
      <c r="V663" s="7"/>
    </row>
    <row r="664" ht="15.75" customHeight="1">
      <c r="A664" s="7"/>
      <c r="U664" s="9"/>
      <c r="V664" s="7"/>
    </row>
    <row r="665" ht="15.75" customHeight="1">
      <c r="A665" s="7"/>
      <c r="U665" s="9"/>
      <c r="V665" s="7"/>
    </row>
    <row r="666" ht="15.75" customHeight="1">
      <c r="A666" s="7"/>
      <c r="U666" s="9"/>
      <c r="V666" s="7"/>
    </row>
    <row r="667" ht="15.75" customHeight="1">
      <c r="A667" s="7"/>
      <c r="U667" s="9"/>
      <c r="V667" s="7"/>
    </row>
    <row r="668" ht="15.75" customHeight="1">
      <c r="A668" s="7"/>
      <c r="U668" s="9"/>
      <c r="V668" s="7"/>
    </row>
    <row r="669" ht="15.75" customHeight="1">
      <c r="A669" s="7"/>
      <c r="U669" s="9"/>
      <c r="V669" s="7"/>
    </row>
    <row r="670" ht="15.75" customHeight="1">
      <c r="A670" s="7"/>
      <c r="U670" s="9"/>
      <c r="V670" s="7"/>
    </row>
    <row r="671" ht="15.75" customHeight="1">
      <c r="A671" s="7"/>
      <c r="U671" s="9"/>
      <c r="V671" s="7"/>
    </row>
    <row r="672" ht="15.75" customHeight="1">
      <c r="A672" s="7"/>
      <c r="U672" s="9"/>
      <c r="V672" s="7"/>
    </row>
    <row r="673" ht="15.75" customHeight="1">
      <c r="A673" s="7"/>
      <c r="U673" s="9"/>
      <c r="V673" s="7"/>
    </row>
    <row r="674" ht="15.75" customHeight="1">
      <c r="A674" s="7"/>
      <c r="U674" s="9"/>
      <c r="V674" s="7"/>
    </row>
    <row r="675" ht="15.75" customHeight="1">
      <c r="A675" s="7"/>
      <c r="U675" s="9"/>
      <c r="V675" s="7"/>
    </row>
    <row r="676" ht="15.75" customHeight="1">
      <c r="A676" s="7"/>
      <c r="U676" s="9"/>
      <c r="V676" s="7"/>
    </row>
    <row r="677" ht="15.75" customHeight="1">
      <c r="A677" s="7"/>
      <c r="U677" s="9"/>
      <c r="V677" s="7"/>
    </row>
    <row r="678" ht="15.75" customHeight="1">
      <c r="A678" s="7"/>
      <c r="U678" s="9"/>
      <c r="V678" s="7"/>
    </row>
    <row r="679" ht="15.75" customHeight="1">
      <c r="A679" s="7"/>
      <c r="U679" s="9"/>
      <c r="V679" s="7"/>
    </row>
    <row r="680" ht="15.75" customHeight="1">
      <c r="A680" s="7"/>
      <c r="U680" s="9"/>
      <c r="V680" s="7"/>
    </row>
    <row r="681" ht="15.75" customHeight="1">
      <c r="A681" s="7"/>
      <c r="U681" s="9"/>
      <c r="V681" s="7"/>
    </row>
    <row r="682" ht="15.75" customHeight="1">
      <c r="A682" s="7"/>
      <c r="U682" s="9"/>
      <c r="V682" s="7"/>
    </row>
    <row r="683" ht="15.75" customHeight="1">
      <c r="A683" s="7"/>
      <c r="U683" s="9"/>
      <c r="V683" s="7"/>
    </row>
    <row r="684" ht="15.75" customHeight="1">
      <c r="A684" s="7"/>
      <c r="U684" s="9"/>
      <c r="V684" s="7"/>
    </row>
    <row r="685" ht="15.75" customHeight="1">
      <c r="A685" s="7"/>
      <c r="U685" s="9"/>
      <c r="V685" s="7"/>
    </row>
    <row r="686" ht="15.75" customHeight="1">
      <c r="A686" s="7"/>
      <c r="U686" s="9"/>
      <c r="V686" s="7"/>
    </row>
    <row r="687" ht="15.75" customHeight="1">
      <c r="A687" s="7"/>
      <c r="U687" s="9"/>
      <c r="V687" s="7"/>
    </row>
    <row r="688" ht="15.75" customHeight="1">
      <c r="A688" s="7"/>
      <c r="U688" s="9"/>
      <c r="V688" s="7"/>
    </row>
    <row r="689" ht="15.75" customHeight="1">
      <c r="A689" s="7"/>
      <c r="U689" s="9"/>
      <c r="V689" s="7"/>
    </row>
    <row r="690" ht="15.75" customHeight="1">
      <c r="A690" s="7"/>
      <c r="U690" s="9"/>
      <c r="V690" s="7"/>
    </row>
    <row r="691" ht="15.75" customHeight="1">
      <c r="A691" s="7"/>
      <c r="U691" s="9"/>
      <c r="V691" s="7"/>
    </row>
    <row r="692" ht="15.75" customHeight="1">
      <c r="A692" s="7"/>
      <c r="U692" s="9"/>
      <c r="V692" s="7"/>
    </row>
    <row r="693" ht="15.75" customHeight="1">
      <c r="A693" s="7"/>
      <c r="U693" s="9"/>
      <c r="V693" s="7"/>
    </row>
    <row r="694" ht="15.75" customHeight="1">
      <c r="A694" s="7"/>
      <c r="U694" s="9"/>
      <c r="V694" s="7"/>
    </row>
    <row r="695" ht="15.75" customHeight="1">
      <c r="A695" s="7"/>
      <c r="U695" s="9"/>
      <c r="V695" s="7"/>
    </row>
    <row r="696" ht="15.75" customHeight="1">
      <c r="A696" s="7"/>
      <c r="U696" s="9"/>
      <c r="V696" s="7"/>
    </row>
    <row r="697" ht="15.75" customHeight="1">
      <c r="A697" s="7"/>
      <c r="U697" s="9"/>
      <c r="V697" s="7"/>
    </row>
    <row r="698" ht="15.75" customHeight="1">
      <c r="A698" s="7"/>
      <c r="U698" s="9"/>
      <c r="V698" s="7"/>
    </row>
    <row r="699" ht="15.75" customHeight="1">
      <c r="A699" s="7"/>
      <c r="U699" s="9"/>
      <c r="V699" s="7"/>
    </row>
    <row r="700" ht="15.75" customHeight="1">
      <c r="A700" s="7"/>
      <c r="U700" s="9"/>
      <c r="V700" s="7"/>
    </row>
    <row r="701" ht="15.75" customHeight="1">
      <c r="A701" s="7"/>
      <c r="U701" s="9"/>
      <c r="V701" s="7"/>
    </row>
    <row r="702" ht="15.75" customHeight="1">
      <c r="A702" s="7"/>
      <c r="U702" s="9"/>
      <c r="V702" s="7"/>
    </row>
    <row r="703" ht="15.75" customHeight="1">
      <c r="A703" s="7"/>
      <c r="U703" s="9"/>
      <c r="V703" s="7"/>
    </row>
    <row r="704" ht="15.75" customHeight="1">
      <c r="A704" s="7"/>
      <c r="U704" s="9"/>
      <c r="V704" s="7"/>
    </row>
    <row r="705" ht="15.75" customHeight="1">
      <c r="A705" s="7"/>
      <c r="U705" s="9"/>
      <c r="V705" s="7"/>
    </row>
    <row r="706" ht="15.75" customHeight="1">
      <c r="A706" s="7"/>
      <c r="U706" s="9"/>
      <c r="V706" s="7"/>
    </row>
    <row r="707" ht="15.75" customHeight="1">
      <c r="A707" s="7"/>
      <c r="U707" s="9"/>
      <c r="V707" s="7"/>
    </row>
    <row r="708" ht="15.75" customHeight="1">
      <c r="A708" s="7"/>
      <c r="U708" s="9"/>
      <c r="V708" s="7"/>
    </row>
    <row r="709" ht="15.75" customHeight="1">
      <c r="A709" s="7"/>
      <c r="U709" s="9"/>
      <c r="V709" s="7"/>
    </row>
    <row r="710" ht="15.75" customHeight="1">
      <c r="A710" s="7"/>
      <c r="U710" s="9"/>
      <c r="V710" s="7"/>
    </row>
    <row r="711" ht="15.75" customHeight="1">
      <c r="A711" s="7"/>
      <c r="U711" s="9"/>
      <c r="V711" s="7"/>
    </row>
    <row r="712" ht="15.75" customHeight="1">
      <c r="A712" s="7"/>
      <c r="U712" s="9"/>
      <c r="V712" s="7"/>
    </row>
    <row r="713" ht="15.75" customHeight="1">
      <c r="A713" s="7"/>
      <c r="U713" s="9"/>
      <c r="V713" s="7"/>
    </row>
    <row r="714" ht="15.75" customHeight="1">
      <c r="A714" s="7"/>
      <c r="U714" s="9"/>
      <c r="V714" s="7"/>
    </row>
    <row r="715" ht="15.75" customHeight="1">
      <c r="A715" s="7"/>
      <c r="U715" s="9"/>
      <c r="V715" s="7"/>
    </row>
    <row r="716" ht="15.75" customHeight="1">
      <c r="A716" s="7"/>
      <c r="U716" s="9"/>
      <c r="V716" s="7"/>
    </row>
    <row r="717" ht="15.75" customHeight="1">
      <c r="A717" s="7"/>
      <c r="U717" s="9"/>
      <c r="V717" s="7"/>
    </row>
    <row r="718" ht="15.75" customHeight="1">
      <c r="A718" s="7"/>
      <c r="U718" s="9"/>
      <c r="V718" s="7"/>
    </row>
    <row r="719" ht="15.75" customHeight="1">
      <c r="A719" s="7"/>
      <c r="U719" s="9"/>
      <c r="V719" s="7"/>
    </row>
    <row r="720" ht="15.75" customHeight="1">
      <c r="A720" s="7"/>
      <c r="U720" s="9"/>
      <c r="V720" s="7"/>
    </row>
    <row r="721" ht="15.75" customHeight="1">
      <c r="A721" s="7"/>
      <c r="U721" s="9"/>
      <c r="V721" s="7"/>
    </row>
    <row r="722" ht="15.75" customHeight="1">
      <c r="A722" s="7"/>
      <c r="U722" s="9"/>
      <c r="V722" s="7"/>
    </row>
    <row r="723" ht="15.75" customHeight="1">
      <c r="A723" s="7"/>
      <c r="U723" s="9"/>
      <c r="V723" s="7"/>
    </row>
    <row r="724" ht="15.75" customHeight="1">
      <c r="A724" s="7"/>
      <c r="U724" s="9"/>
      <c r="V724" s="7"/>
    </row>
    <row r="725" ht="15.75" customHeight="1">
      <c r="A725" s="7"/>
      <c r="U725" s="9"/>
      <c r="V725" s="7"/>
    </row>
    <row r="726" ht="15.75" customHeight="1">
      <c r="A726" s="7"/>
      <c r="U726" s="9"/>
      <c r="V726" s="7"/>
    </row>
    <row r="727" ht="15.75" customHeight="1">
      <c r="A727" s="7"/>
      <c r="U727" s="9"/>
      <c r="V727" s="7"/>
    </row>
    <row r="728" ht="15.75" customHeight="1">
      <c r="A728" s="7"/>
      <c r="U728" s="9"/>
      <c r="V728" s="7"/>
    </row>
    <row r="729" ht="15.75" customHeight="1">
      <c r="A729" s="7"/>
      <c r="U729" s="9"/>
      <c r="V729" s="7"/>
    </row>
    <row r="730" ht="15.75" customHeight="1">
      <c r="A730" s="7"/>
      <c r="U730" s="9"/>
      <c r="V730" s="7"/>
    </row>
    <row r="731" ht="15.75" customHeight="1">
      <c r="A731" s="7"/>
      <c r="U731" s="9"/>
      <c r="V731" s="7"/>
    </row>
    <row r="732" ht="15.75" customHeight="1">
      <c r="A732" s="7"/>
      <c r="U732" s="9"/>
      <c r="V732" s="7"/>
    </row>
    <row r="733" ht="15.75" customHeight="1">
      <c r="A733" s="7"/>
      <c r="U733" s="9"/>
      <c r="V733" s="7"/>
    </row>
    <row r="734" ht="15.75" customHeight="1">
      <c r="A734" s="7"/>
      <c r="U734" s="9"/>
      <c r="V734" s="7"/>
    </row>
    <row r="735" ht="15.75" customHeight="1">
      <c r="A735" s="7"/>
      <c r="U735" s="9"/>
      <c r="V735" s="7"/>
    </row>
    <row r="736" ht="15.75" customHeight="1">
      <c r="A736" s="7"/>
      <c r="U736" s="9"/>
      <c r="V736" s="7"/>
    </row>
    <row r="737" ht="15.75" customHeight="1">
      <c r="A737" s="7"/>
      <c r="U737" s="9"/>
      <c r="V737" s="7"/>
    </row>
    <row r="738" ht="15.75" customHeight="1">
      <c r="A738" s="7"/>
      <c r="U738" s="9"/>
      <c r="V738" s="7"/>
    </row>
    <row r="739" ht="15.75" customHeight="1">
      <c r="A739" s="7"/>
      <c r="U739" s="9"/>
      <c r="V739" s="7"/>
    </row>
    <row r="740" ht="15.75" customHeight="1">
      <c r="A740" s="7"/>
      <c r="U740" s="9"/>
      <c r="V740" s="7"/>
    </row>
    <row r="741" ht="15.75" customHeight="1">
      <c r="A741" s="7"/>
      <c r="U741" s="9"/>
      <c r="V741" s="7"/>
    </row>
    <row r="742" ht="15.75" customHeight="1">
      <c r="A742" s="7"/>
      <c r="U742" s="9"/>
      <c r="V742" s="7"/>
    </row>
    <row r="743" ht="15.75" customHeight="1">
      <c r="A743" s="7"/>
      <c r="U743" s="9"/>
      <c r="V743" s="7"/>
    </row>
    <row r="744" ht="15.75" customHeight="1">
      <c r="A744" s="7"/>
      <c r="U744" s="9"/>
      <c r="V744" s="7"/>
    </row>
    <row r="745" ht="15.75" customHeight="1">
      <c r="A745" s="7"/>
      <c r="U745" s="9"/>
      <c r="V745" s="7"/>
    </row>
    <row r="746" ht="15.75" customHeight="1">
      <c r="A746" s="7"/>
      <c r="U746" s="9"/>
      <c r="V746" s="7"/>
    </row>
    <row r="747" ht="15.75" customHeight="1">
      <c r="A747" s="7"/>
      <c r="U747" s="9"/>
      <c r="V747" s="7"/>
    </row>
    <row r="748" ht="15.75" customHeight="1">
      <c r="A748" s="7"/>
      <c r="U748" s="9"/>
      <c r="V748" s="7"/>
    </row>
    <row r="749" ht="15.75" customHeight="1">
      <c r="A749" s="7"/>
      <c r="U749" s="9"/>
      <c r="V749" s="7"/>
    </row>
    <row r="750" ht="15.75" customHeight="1">
      <c r="A750" s="7"/>
      <c r="U750" s="9"/>
      <c r="V750" s="7"/>
    </row>
    <row r="751" ht="15.75" customHeight="1">
      <c r="A751" s="7"/>
      <c r="U751" s="9"/>
      <c r="V751" s="7"/>
    </row>
    <row r="752" ht="15.75" customHeight="1">
      <c r="A752" s="7"/>
      <c r="U752" s="9"/>
      <c r="V752" s="7"/>
    </row>
    <row r="753" ht="15.75" customHeight="1">
      <c r="A753" s="7"/>
      <c r="U753" s="9"/>
      <c r="V753" s="7"/>
    </row>
    <row r="754" ht="15.75" customHeight="1">
      <c r="A754" s="7"/>
      <c r="U754" s="9"/>
      <c r="V754" s="7"/>
    </row>
    <row r="755" ht="15.75" customHeight="1">
      <c r="A755" s="7"/>
      <c r="U755" s="9"/>
      <c r="V755" s="7"/>
    </row>
    <row r="756" ht="15.75" customHeight="1">
      <c r="A756" s="7"/>
      <c r="U756" s="9"/>
      <c r="V756" s="7"/>
    </row>
    <row r="757" ht="15.75" customHeight="1">
      <c r="A757" s="7"/>
      <c r="U757" s="9"/>
      <c r="V757" s="7"/>
    </row>
    <row r="758" ht="15.75" customHeight="1">
      <c r="A758" s="7"/>
      <c r="U758" s="9"/>
      <c r="V758" s="7"/>
    </row>
    <row r="759" ht="15.75" customHeight="1">
      <c r="A759" s="7"/>
      <c r="U759" s="9"/>
      <c r="V759" s="7"/>
    </row>
    <row r="760" ht="15.75" customHeight="1">
      <c r="A760" s="7"/>
      <c r="U760" s="9"/>
      <c r="V760" s="7"/>
    </row>
    <row r="761" ht="15.75" customHeight="1">
      <c r="A761" s="7"/>
      <c r="U761" s="9"/>
      <c r="V761" s="7"/>
    </row>
    <row r="762" ht="15.75" customHeight="1">
      <c r="A762" s="7"/>
      <c r="U762" s="9"/>
      <c r="V762" s="7"/>
    </row>
    <row r="763" ht="15.75" customHeight="1">
      <c r="A763" s="7"/>
      <c r="U763" s="9"/>
      <c r="V763" s="7"/>
    </row>
    <row r="764" ht="15.75" customHeight="1">
      <c r="A764" s="7"/>
      <c r="U764" s="9"/>
      <c r="V764" s="7"/>
    </row>
    <row r="765" ht="15.75" customHeight="1">
      <c r="A765" s="7"/>
      <c r="U765" s="9"/>
      <c r="V765" s="7"/>
    </row>
    <row r="766" ht="15.75" customHeight="1">
      <c r="A766" s="7"/>
      <c r="U766" s="9"/>
      <c r="V766" s="7"/>
    </row>
    <row r="767" ht="15.75" customHeight="1">
      <c r="A767" s="7"/>
      <c r="U767" s="9"/>
      <c r="V767" s="7"/>
    </row>
    <row r="768" ht="15.75" customHeight="1">
      <c r="A768" s="7"/>
      <c r="U768" s="9"/>
      <c r="V768" s="7"/>
    </row>
    <row r="769" ht="15.75" customHeight="1">
      <c r="A769" s="7"/>
      <c r="U769" s="9"/>
      <c r="V769" s="7"/>
    </row>
    <row r="770" ht="15.75" customHeight="1">
      <c r="A770" s="7"/>
      <c r="U770" s="9"/>
      <c r="V770" s="7"/>
    </row>
    <row r="771" ht="15.75" customHeight="1">
      <c r="A771" s="7"/>
      <c r="U771" s="9"/>
      <c r="V771" s="7"/>
    </row>
    <row r="772" ht="15.75" customHeight="1">
      <c r="A772" s="7"/>
      <c r="U772" s="9"/>
      <c r="V772" s="7"/>
    </row>
    <row r="773" ht="15.75" customHeight="1">
      <c r="A773" s="7"/>
      <c r="U773" s="9"/>
      <c r="V773" s="7"/>
    </row>
    <row r="774" ht="15.75" customHeight="1">
      <c r="A774" s="7"/>
      <c r="U774" s="9"/>
      <c r="V774" s="7"/>
    </row>
    <row r="775" ht="15.75" customHeight="1">
      <c r="A775" s="7"/>
      <c r="U775" s="9"/>
      <c r="V775" s="7"/>
    </row>
    <row r="776" ht="15.75" customHeight="1">
      <c r="A776" s="7"/>
      <c r="U776" s="9"/>
      <c r="V776" s="7"/>
    </row>
    <row r="777" ht="15.75" customHeight="1">
      <c r="A777" s="7"/>
      <c r="U777" s="9"/>
      <c r="V777" s="7"/>
    </row>
    <row r="778" ht="15.75" customHeight="1">
      <c r="A778" s="7"/>
      <c r="U778" s="9"/>
      <c r="V778" s="7"/>
    </row>
    <row r="779" ht="15.75" customHeight="1">
      <c r="A779" s="7"/>
      <c r="U779" s="9"/>
      <c r="V779" s="7"/>
    </row>
    <row r="780" ht="15.75" customHeight="1">
      <c r="A780" s="7"/>
      <c r="U780" s="9"/>
      <c r="V780" s="7"/>
    </row>
    <row r="781" ht="15.75" customHeight="1">
      <c r="A781" s="7"/>
      <c r="U781" s="9"/>
      <c r="V781" s="7"/>
    </row>
    <row r="782" ht="15.75" customHeight="1">
      <c r="A782" s="7"/>
      <c r="U782" s="9"/>
      <c r="V782" s="7"/>
    </row>
    <row r="783" ht="15.75" customHeight="1">
      <c r="A783" s="7"/>
      <c r="U783" s="9"/>
      <c r="V783" s="7"/>
    </row>
    <row r="784" ht="15.75" customHeight="1">
      <c r="A784" s="7"/>
      <c r="U784" s="9"/>
      <c r="V784" s="7"/>
    </row>
    <row r="785" ht="15.75" customHeight="1">
      <c r="A785" s="7"/>
      <c r="U785" s="9"/>
      <c r="V785" s="7"/>
    </row>
    <row r="786" ht="15.75" customHeight="1">
      <c r="A786" s="7"/>
      <c r="U786" s="9"/>
      <c r="V786" s="7"/>
    </row>
    <row r="787" ht="15.75" customHeight="1">
      <c r="A787" s="7"/>
      <c r="U787" s="9"/>
      <c r="V787" s="7"/>
    </row>
    <row r="788" ht="15.75" customHeight="1">
      <c r="A788" s="7"/>
      <c r="U788" s="9"/>
      <c r="V788" s="7"/>
    </row>
    <row r="789" ht="15.75" customHeight="1">
      <c r="A789" s="7"/>
      <c r="U789" s="9"/>
      <c r="V789" s="7"/>
    </row>
    <row r="790" ht="15.75" customHeight="1">
      <c r="A790" s="7"/>
      <c r="U790" s="9"/>
      <c r="V790" s="7"/>
    </row>
    <row r="791" ht="15.75" customHeight="1">
      <c r="A791" s="7"/>
      <c r="U791" s="9"/>
      <c r="V791" s="7"/>
    </row>
    <row r="792" ht="15.75" customHeight="1">
      <c r="A792" s="7"/>
      <c r="U792" s="9"/>
      <c r="V792" s="7"/>
    </row>
    <row r="793" ht="15.75" customHeight="1">
      <c r="A793" s="7"/>
      <c r="U793" s="9"/>
      <c r="V793" s="7"/>
    </row>
    <row r="794" ht="15.75" customHeight="1">
      <c r="A794" s="7"/>
      <c r="U794" s="9"/>
      <c r="V794" s="7"/>
    </row>
    <row r="795" ht="15.75" customHeight="1">
      <c r="A795" s="7"/>
      <c r="U795" s="9"/>
      <c r="V795" s="7"/>
    </row>
    <row r="796" ht="15.75" customHeight="1">
      <c r="A796" s="7"/>
      <c r="U796" s="9"/>
      <c r="V796" s="7"/>
    </row>
    <row r="797" ht="15.75" customHeight="1">
      <c r="A797" s="7"/>
      <c r="U797" s="9"/>
      <c r="V797" s="7"/>
    </row>
    <row r="798" ht="15.75" customHeight="1">
      <c r="A798" s="7"/>
      <c r="U798" s="9"/>
      <c r="V798" s="7"/>
    </row>
    <row r="799" ht="15.75" customHeight="1">
      <c r="A799" s="7"/>
      <c r="U799" s="9"/>
      <c r="V799" s="7"/>
    </row>
    <row r="800" ht="15.75" customHeight="1">
      <c r="A800" s="7"/>
      <c r="U800" s="9"/>
      <c r="V800" s="7"/>
    </row>
    <row r="801" ht="15.75" customHeight="1">
      <c r="A801" s="7"/>
      <c r="U801" s="9"/>
      <c r="V801" s="7"/>
    </row>
    <row r="802" ht="15.75" customHeight="1">
      <c r="A802" s="7"/>
      <c r="U802" s="9"/>
      <c r="V802" s="7"/>
    </row>
    <row r="803" ht="15.75" customHeight="1">
      <c r="A803" s="7"/>
      <c r="U803" s="9"/>
      <c r="V803" s="7"/>
    </row>
    <row r="804" ht="15.75" customHeight="1">
      <c r="A804" s="7"/>
      <c r="U804" s="9"/>
      <c r="V804" s="7"/>
    </row>
    <row r="805" ht="15.75" customHeight="1">
      <c r="A805" s="7"/>
      <c r="U805" s="9"/>
      <c r="V805" s="7"/>
    </row>
    <row r="806" ht="15.75" customHeight="1">
      <c r="A806" s="7"/>
      <c r="U806" s="9"/>
      <c r="V806" s="7"/>
    </row>
    <row r="807" ht="15.75" customHeight="1">
      <c r="A807" s="7"/>
      <c r="U807" s="9"/>
      <c r="V807" s="7"/>
    </row>
    <row r="808" ht="15.75" customHeight="1">
      <c r="A808" s="7"/>
      <c r="U808" s="9"/>
      <c r="V808" s="7"/>
    </row>
    <row r="809" ht="15.75" customHeight="1">
      <c r="A809" s="7"/>
      <c r="U809" s="9"/>
      <c r="V809" s="7"/>
    </row>
    <row r="810" ht="15.75" customHeight="1">
      <c r="A810" s="7"/>
      <c r="U810" s="9"/>
      <c r="V810" s="7"/>
    </row>
    <row r="811" ht="15.75" customHeight="1">
      <c r="A811" s="7"/>
      <c r="U811" s="9"/>
      <c r="V811" s="7"/>
    </row>
    <row r="812" ht="15.75" customHeight="1">
      <c r="A812" s="7"/>
      <c r="U812" s="9"/>
      <c r="V812" s="7"/>
    </row>
    <row r="813" ht="15.75" customHeight="1">
      <c r="A813" s="7"/>
      <c r="U813" s="9"/>
      <c r="V813" s="7"/>
    </row>
    <row r="814" ht="15.75" customHeight="1">
      <c r="A814" s="7"/>
      <c r="U814" s="9"/>
      <c r="V814" s="7"/>
    </row>
    <row r="815" ht="15.75" customHeight="1">
      <c r="A815" s="7"/>
      <c r="U815" s="9"/>
      <c r="V815" s="7"/>
    </row>
    <row r="816" ht="15.75" customHeight="1">
      <c r="A816" s="7"/>
      <c r="U816" s="9"/>
      <c r="V816" s="7"/>
    </row>
    <row r="817" ht="15.75" customHeight="1">
      <c r="A817" s="7"/>
      <c r="U817" s="9"/>
      <c r="V817" s="7"/>
    </row>
    <row r="818" ht="15.75" customHeight="1">
      <c r="A818" s="7"/>
      <c r="U818" s="9"/>
      <c r="V818" s="7"/>
    </row>
    <row r="819" ht="15.75" customHeight="1">
      <c r="A819" s="7"/>
      <c r="U819" s="9"/>
      <c r="V819" s="7"/>
    </row>
    <row r="820" ht="15.75" customHeight="1">
      <c r="A820" s="7"/>
      <c r="U820" s="9"/>
      <c r="V820" s="7"/>
    </row>
    <row r="821" ht="15.75" customHeight="1">
      <c r="A821" s="7"/>
      <c r="U821" s="9"/>
      <c r="V821" s="7"/>
    </row>
    <row r="822" ht="15.75" customHeight="1">
      <c r="A822" s="7"/>
      <c r="U822" s="9"/>
      <c r="V822" s="7"/>
    </row>
    <row r="823" ht="15.75" customHeight="1">
      <c r="A823" s="7"/>
      <c r="U823" s="9"/>
      <c r="V823" s="7"/>
    </row>
    <row r="824" ht="15.75" customHeight="1">
      <c r="A824" s="7"/>
      <c r="U824" s="9"/>
      <c r="V824" s="7"/>
    </row>
    <row r="825" ht="15.75" customHeight="1">
      <c r="A825" s="7"/>
      <c r="U825" s="9"/>
      <c r="V825" s="7"/>
    </row>
    <row r="826" ht="15.75" customHeight="1">
      <c r="A826" s="7"/>
      <c r="U826" s="9"/>
      <c r="V826" s="7"/>
    </row>
    <row r="827" ht="15.75" customHeight="1">
      <c r="A827" s="7"/>
      <c r="U827" s="9"/>
      <c r="V827" s="7"/>
    </row>
    <row r="828" ht="15.75" customHeight="1">
      <c r="A828" s="7"/>
      <c r="U828" s="9"/>
      <c r="V828" s="7"/>
    </row>
    <row r="829" ht="15.75" customHeight="1">
      <c r="A829" s="7"/>
      <c r="U829" s="9"/>
      <c r="V829" s="7"/>
    </row>
    <row r="830" ht="15.75" customHeight="1">
      <c r="A830" s="7"/>
      <c r="U830" s="9"/>
      <c r="V830" s="7"/>
    </row>
    <row r="831" ht="15.75" customHeight="1">
      <c r="A831" s="7"/>
      <c r="U831" s="9"/>
      <c r="V831" s="7"/>
    </row>
    <row r="832" ht="15.75" customHeight="1">
      <c r="A832" s="7"/>
      <c r="U832" s="9"/>
      <c r="V832" s="7"/>
    </row>
    <row r="833" ht="15.75" customHeight="1">
      <c r="A833" s="7"/>
      <c r="U833" s="9"/>
      <c r="V833" s="7"/>
    </row>
    <row r="834" ht="15.75" customHeight="1">
      <c r="A834" s="7"/>
      <c r="U834" s="9"/>
      <c r="V834" s="7"/>
    </row>
    <row r="835" ht="15.75" customHeight="1">
      <c r="A835" s="7"/>
      <c r="U835" s="9"/>
      <c r="V835" s="7"/>
    </row>
    <row r="836" ht="15.75" customHeight="1">
      <c r="A836" s="7"/>
      <c r="U836" s="9"/>
      <c r="V836" s="7"/>
    </row>
    <row r="837" ht="15.75" customHeight="1">
      <c r="A837" s="7"/>
      <c r="U837" s="9"/>
      <c r="V837" s="7"/>
    </row>
    <row r="838" ht="15.75" customHeight="1">
      <c r="A838" s="7"/>
      <c r="U838" s="9"/>
      <c r="V838" s="7"/>
    </row>
    <row r="839" ht="15.75" customHeight="1">
      <c r="A839" s="7"/>
      <c r="U839" s="9"/>
      <c r="V839" s="7"/>
    </row>
    <row r="840" ht="15.75" customHeight="1">
      <c r="A840" s="7"/>
      <c r="U840" s="9"/>
      <c r="V840" s="7"/>
    </row>
    <row r="841" ht="15.75" customHeight="1">
      <c r="A841" s="7"/>
      <c r="U841" s="9"/>
      <c r="V841" s="7"/>
    </row>
    <row r="842" ht="15.75" customHeight="1">
      <c r="A842" s="7"/>
      <c r="U842" s="9"/>
      <c r="V842" s="7"/>
    </row>
    <row r="843" ht="15.75" customHeight="1">
      <c r="A843" s="7"/>
      <c r="U843" s="9"/>
      <c r="V843" s="7"/>
    </row>
    <row r="844" ht="15.75" customHeight="1">
      <c r="A844" s="7"/>
      <c r="U844" s="9"/>
      <c r="V844" s="7"/>
    </row>
    <row r="845" ht="15.75" customHeight="1">
      <c r="A845" s="7"/>
      <c r="U845" s="9"/>
      <c r="V845" s="7"/>
    </row>
    <row r="846" ht="15.75" customHeight="1">
      <c r="A846" s="7"/>
      <c r="U846" s="9"/>
      <c r="V846" s="7"/>
    </row>
    <row r="847" ht="15.75" customHeight="1">
      <c r="A847" s="7"/>
      <c r="U847" s="9"/>
      <c r="V847" s="7"/>
    </row>
    <row r="848" ht="15.75" customHeight="1">
      <c r="A848" s="7"/>
      <c r="U848" s="9"/>
      <c r="V848" s="7"/>
    </row>
    <row r="849" ht="15.75" customHeight="1">
      <c r="A849" s="7"/>
      <c r="U849" s="9"/>
      <c r="V849" s="7"/>
    </row>
    <row r="850" ht="15.75" customHeight="1">
      <c r="A850" s="7"/>
      <c r="U850" s="9"/>
      <c r="V850" s="7"/>
    </row>
    <row r="851" ht="15.75" customHeight="1">
      <c r="A851" s="7"/>
      <c r="U851" s="9"/>
      <c r="V851" s="7"/>
    </row>
    <row r="852" ht="15.75" customHeight="1">
      <c r="A852" s="7"/>
      <c r="U852" s="9"/>
      <c r="V852" s="7"/>
    </row>
    <row r="853" ht="15.75" customHeight="1">
      <c r="A853" s="7"/>
      <c r="U853" s="9"/>
      <c r="V853" s="7"/>
    </row>
    <row r="854" ht="15.75" customHeight="1">
      <c r="A854" s="7"/>
      <c r="U854" s="9"/>
      <c r="V854" s="7"/>
    </row>
    <row r="855" ht="15.75" customHeight="1">
      <c r="A855" s="7"/>
      <c r="U855" s="9"/>
      <c r="V855" s="7"/>
    </row>
    <row r="856" ht="15.75" customHeight="1">
      <c r="A856" s="7"/>
      <c r="U856" s="9"/>
      <c r="V856" s="7"/>
    </row>
    <row r="857" ht="15.75" customHeight="1">
      <c r="A857" s="7"/>
      <c r="U857" s="9"/>
      <c r="V857" s="7"/>
    </row>
    <row r="858" ht="15.75" customHeight="1">
      <c r="A858" s="7"/>
      <c r="U858" s="9"/>
      <c r="V858" s="7"/>
    </row>
    <row r="859" ht="15.75" customHeight="1">
      <c r="A859" s="7"/>
      <c r="U859" s="9"/>
      <c r="V859" s="7"/>
    </row>
    <row r="860" ht="15.75" customHeight="1">
      <c r="A860" s="7"/>
      <c r="U860" s="9"/>
      <c r="V860" s="7"/>
    </row>
    <row r="861" ht="15.75" customHeight="1">
      <c r="A861" s="7"/>
      <c r="U861" s="9"/>
      <c r="V861" s="7"/>
    </row>
    <row r="862" ht="15.75" customHeight="1">
      <c r="A862" s="7"/>
      <c r="U862" s="9"/>
      <c r="V862" s="7"/>
    </row>
    <row r="863" ht="15.75" customHeight="1">
      <c r="A863" s="7"/>
      <c r="U863" s="9"/>
      <c r="V863" s="7"/>
    </row>
    <row r="864" ht="15.75" customHeight="1">
      <c r="A864" s="7"/>
      <c r="U864" s="9"/>
      <c r="V864" s="7"/>
    </row>
    <row r="865" ht="15.75" customHeight="1">
      <c r="A865" s="7"/>
      <c r="U865" s="9"/>
      <c r="V865" s="7"/>
    </row>
    <row r="866" ht="15.75" customHeight="1">
      <c r="A866" s="7"/>
      <c r="U866" s="9"/>
      <c r="V866" s="7"/>
    </row>
    <row r="867" ht="15.75" customHeight="1">
      <c r="A867" s="7"/>
      <c r="U867" s="9"/>
      <c r="V867" s="7"/>
    </row>
    <row r="868" ht="15.75" customHeight="1">
      <c r="A868" s="7"/>
      <c r="U868" s="9"/>
      <c r="V868" s="7"/>
    </row>
    <row r="869" ht="15.75" customHeight="1">
      <c r="A869" s="7"/>
      <c r="U869" s="9"/>
      <c r="V869" s="7"/>
    </row>
    <row r="870" ht="15.75" customHeight="1">
      <c r="A870" s="7"/>
      <c r="U870" s="9"/>
      <c r="V870" s="7"/>
    </row>
    <row r="871" ht="15.75" customHeight="1">
      <c r="A871" s="7"/>
      <c r="U871" s="9"/>
      <c r="V871" s="7"/>
    </row>
    <row r="872" ht="15.75" customHeight="1">
      <c r="A872" s="7"/>
      <c r="U872" s="9"/>
      <c r="V872" s="7"/>
    </row>
    <row r="873" ht="15.75" customHeight="1">
      <c r="A873" s="7"/>
      <c r="U873" s="9"/>
      <c r="V873" s="7"/>
    </row>
    <row r="874" ht="15.75" customHeight="1">
      <c r="A874" s="7"/>
      <c r="U874" s="9"/>
      <c r="V874" s="7"/>
    </row>
    <row r="875" ht="15.75" customHeight="1">
      <c r="A875" s="7"/>
      <c r="U875" s="9"/>
      <c r="V875" s="7"/>
    </row>
    <row r="876" ht="15.75" customHeight="1">
      <c r="A876" s="7"/>
      <c r="U876" s="9"/>
      <c r="V876" s="7"/>
    </row>
    <row r="877" ht="15.75" customHeight="1">
      <c r="A877" s="7"/>
      <c r="U877" s="9"/>
      <c r="V877" s="7"/>
    </row>
    <row r="878" ht="15.75" customHeight="1">
      <c r="A878" s="7"/>
      <c r="U878" s="9"/>
      <c r="V878" s="7"/>
    </row>
    <row r="879" ht="15.75" customHeight="1">
      <c r="A879" s="7"/>
      <c r="U879" s="9"/>
      <c r="V879" s="7"/>
    </row>
    <row r="880" ht="15.75" customHeight="1">
      <c r="A880" s="7"/>
      <c r="U880" s="9"/>
      <c r="V880" s="7"/>
    </row>
    <row r="881" ht="15.75" customHeight="1">
      <c r="A881" s="7"/>
      <c r="U881" s="9"/>
      <c r="V881" s="7"/>
    </row>
    <row r="882" ht="15.75" customHeight="1">
      <c r="A882" s="7"/>
      <c r="U882" s="9"/>
      <c r="V882" s="7"/>
    </row>
    <row r="883" ht="15.75" customHeight="1">
      <c r="A883" s="7"/>
      <c r="U883" s="9"/>
      <c r="V883" s="7"/>
    </row>
    <row r="884" ht="15.75" customHeight="1">
      <c r="A884" s="7"/>
      <c r="U884" s="9"/>
      <c r="V884" s="7"/>
    </row>
    <row r="885" ht="15.75" customHeight="1">
      <c r="A885" s="7"/>
      <c r="U885" s="9"/>
      <c r="V885" s="7"/>
    </row>
    <row r="886" ht="15.75" customHeight="1">
      <c r="A886" s="7"/>
      <c r="U886" s="9"/>
      <c r="V886" s="7"/>
    </row>
    <row r="887" ht="15.75" customHeight="1">
      <c r="A887" s="7"/>
      <c r="U887" s="9"/>
      <c r="V887" s="7"/>
    </row>
    <row r="888" ht="15.75" customHeight="1">
      <c r="A888" s="7"/>
      <c r="U888" s="9"/>
      <c r="V888" s="7"/>
    </row>
    <row r="889" ht="15.75" customHeight="1">
      <c r="A889" s="7"/>
      <c r="U889" s="9"/>
      <c r="V889" s="7"/>
    </row>
    <row r="890" ht="15.75" customHeight="1">
      <c r="A890" s="7"/>
      <c r="U890" s="9"/>
      <c r="V890" s="7"/>
    </row>
    <row r="891" ht="15.75" customHeight="1">
      <c r="A891" s="7"/>
      <c r="U891" s="9"/>
      <c r="V891" s="7"/>
    </row>
    <row r="892" ht="15.75" customHeight="1">
      <c r="A892" s="7"/>
      <c r="U892" s="9"/>
      <c r="V892" s="7"/>
    </row>
    <row r="893" ht="15.75" customHeight="1">
      <c r="A893" s="7"/>
      <c r="U893" s="9"/>
      <c r="V893" s="7"/>
    </row>
    <row r="894" ht="15.75" customHeight="1">
      <c r="A894" s="7"/>
      <c r="U894" s="9"/>
      <c r="V894" s="7"/>
    </row>
    <row r="895" ht="15.75" customHeight="1">
      <c r="A895" s="7"/>
      <c r="U895" s="9"/>
      <c r="V895" s="7"/>
    </row>
    <row r="896" ht="15.75" customHeight="1">
      <c r="A896" s="7"/>
      <c r="U896" s="9"/>
      <c r="V896" s="7"/>
    </row>
    <row r="897" ht="15.75" customHeight="1">
      <c r="A897" s="7"/>
      <c r="U897" s="9"/>
      <c r="V897" s="7"/>
    </row>
    <row r="898" ht="15.75" customHeight="1">
      <c r="A898" s="7"/>
      <c r="U898" s="9"/>
      <c r="V898" s="7"/>
    </row>
    <row r="899" ht="15.75" customHeight="1">
      <c r="A899" s="7"/>
      <c r="U899" s="9"/>
      <c r="V899" s="7"/>
    </row>
    <row r="900" ht="15.75" customHeight="1">
      <c r="A900" s="7"/>
      <c r="U900" s="9"/>
      <c r="V900" s="7"/>
    </row>
    <row r="901" ht="15.75" customHeight="1">
      <c r="A901" s="7"/>
      <c r="U901" s="9"/>
      <c r="V901" s="7"/>
    </row>
    <row r="902" ht="15.75" customHeight="1">
      <c r="A902" s="7"/>
      <c r="U902" s="9"/>
      <c r="V902" s="7"/>
    </row>
    <row r="903" ht="15.75" customHeight="1">
      <c r="A903" s="7"/>
      <c r="U903" s="9"/>
      <c r="V903" s="7"/>
    </row>
    <row r="904" ht="15.75" customHeight="1">
      <c r="A904" s="7"/>
      <c r="U904" s="9"/>
      <c r="V904" s="7"/>
    </row>
    <row r="905" ht="15.75" customHeight="1">
      <c r="A905" s="7"/>
      <c r="U905" s="9"/>
      <c r="V905" s="7"/>
    </row>
    <row r="906" ht="15.75" customHeight="1">
      <c r="A906" s="7"/>
      <c r="U906" s="9"/>
      <c r="V906" s="7"/>
    </row>
    <row r="907" ht="15.75" customHeight="1">
      <c r="A907" s="7"/>
      <c r="U907" s="9"/>
      <c r="V907" s="7"/>
    </row>
    <row r="908" ht="15.75" customHeight="1">
      <c r="A908" s="7"/>
      <c r="U908" s="9"/>
      <c r="V908" s="7"/>
    </row>
    <row r="909" ht="15.75" customHeight="1">
      <c r="A909" s="7"/>
      <c r="U909" s="9"/>
      <c r="V909" s="7"/>
    </row>
    <row r="910" ht="15.75" customHeight="1">
      <c r="A910" s="7"/>
      <c r="U910" s="9"/>
      <c r="V910" s="7"/>
    </row>
    <row r="911" ht="15.75" customHeight="1">
      <c r="A911" s="7"/>
      <c r="U911" s="9"/>
      <c r="V911" s="7"/>
    </row>
    <row r="912" ht="15.75" customHeight="1">
      <c r="A912" s="7"/>
      <c r="U912" s="9"/>
      <c r="V912" s="7"/>
    </row>
    <row r="913" ht="15.75" customHeight="1">
      <c r="A913" s="7"/>
      <c r="U913" s="9"/>
      <c r="V913" s="7"/>
    </row>
    <row r="914" ht="15.75" customHeight="1">
      <c r="A914" s="7"/>
      <c r="U914" s="9"/>
      <c r="V914" s="7"/>
    </row>
    <row r="915" ht="15.75" customHeight="1">
      <c r="A915" s="7"/>
      <c r="U915" s="9"/>
      <c r="V915" s="7"/>
    </row>
    <row r="916" ht="15.75" customHeight="1">
      <c r="A916" s="7"/>
      <c r="U916" s="9"/>
      <c r="V916" s="7"/>
    </row>
    <row r="917" ht="15.75" customHeight="1">
      <c r="A917" s="7"/>
      <c r="U917" s="9"/>
      <c r="V917" s="7"/>
    </row>
    <row r="918" ht="15.75" customHeight="1">
      <c r="A918" s="7"/>
      <c r="U918" s="9"/>
      <c r="V918" s="7"/>
    </row>
    <row r="919" ht="15.75" customHeight="1">
      <c r="A919" s="7"/>
      <c r="U919" s="9"/>
      <c r="V919" s="7"/>
    </row>
    <row r="920" ht="15.75" customHeight="1">
      <c r="A920" s="7"/>
      <c r="U920" s="9"/>
      <c r="V920" s="7"/>
    </row>
    <row r="921" ht="15.75" customHeight="1">
      <c r="A921" s="7"/>
      <c r="U921" s="9"/>
      <c r="V921" s="7"/>
    </row>
    <row r="922" ht="15.75" customHeight="1">
      <c r="A922" s="7"/>
      <c r="U922" s="9"/>
      <c r="V922" s="7"/>
    </row>
    <row r="923" ht="15.75" customHeight="1">
      <c r="A923" s="7"/>
      <c r="U923" s="9"/>
      <c r="V923" s="7"/>
    </row>
    <row r="924" ht="15.75" customHeight="1">
      <c r="A924" s="7"/>
      <c r="U924" s="9"/>
      <c r="V924" s="7"/>
    </row>
    <row r="925" ht="15.75" customHeight="1">
      <c r="A925" s="7"/>
      <c r="U925" s="9"/>
      <c r="V925" s="7"/>
    </row>
    <row r="926" ht="15.75" customHeight="1">
      <c r="A926" s="7"/>
      <c r="U926" s="9"/>
      <c r="V926" s="7"/>
    </row>
    <row r="927" ht="15.75" customHeight="1">
      <c r="A927" s="7"/>
      <c r="U927" s="9"/>
      <c r="V927" s="7"/>
    </row>
    <row r="928" ht="15.75" customHeight="1">
      <c r="A928" s="7"/>
      <c r="U928" s="9"/>
      <c r="V928" s="7"/>
    </row>
    <row r="929" ht="15.75" customHeight="1">
      <c r="A929" s="7"/>
      <c r="U929" s="9"/>
      <c r="V929" s="7"/>
    </row>
    <row r="930" ht="15.75" customHeight="1">
      <c r="A930" s="7"/>
      <c r="U930" s="9"/>
      <c r="V930" s="7"/>
    </row>
    <row r="931" ht="15.75" customHeight="1">
      <c r="A931" s="7"/>
      <c r="U931" s="9"/>
      <c r="V931" s="7"/>
    </row>
    <row r="932" ht="15.75" customHeight="1">
      <c r="A932" s="7"/>
      <c r="U932" s="9"/>
      <c r="V932" s="7"/>
    </row>
    <row r="933" ht="15.75" customHeight="1">
      <c r="A933" s="7"/>
      <c r="U933" s="9"/>
      <c r="V933" s="7"/>
    </row>
    <row r="934" ht="15.75" customHeight="1">
      <c r="A934" s="7"/>
      <c r="U934" s="9"/>
      <c r="V934" s="7"/>
    </row>
    <row r="935" ht="15.75" customHeight="1">
      <c r="A935" s="7"/>
      <c r="U935" s="9"/>
      <c r="V935" s="7"/>
    </row>
    <row r="936" ht="15.75" customHeight="1">
      <c r="A936" s="7"/>
      <c r="U936" s="9"/>
      <c r="V936" s="7"/>
    </row>
    <row r="937" ht="15.75" customHeight="1">
      <c r="A937" s="7"/>
      <c r="U937" s="9"/>
      <c r="V937" s="7"/>
    </row>
    <row r="938" ht="15.75" customHeight="1">
      <c r="A938" s="7"/>
      <c r="U938" s="9"/>
      <c r="V938" s="7"/>
    </row>
    <row r="939" ht="15.75" customHeight="1">
      <c r="A939" s="7"/>
      <c r="U939" s="9"/>
      <c r="V939" s="7"/>
    </row>
    <row r="940" ht="15.75" customHeight="1">
      <c r="A940" s="7"/>
      <c r="U940" s="9"/>
      <c r="V940" s="7"/>
    </row>
    <row r="941" ht="15.75" customHeight="1">
      <c r="A941" s="7"/>
      <c r="U941" s="9"/>
      <c r="V941" s="7"/>
    </row>
    <row r="942" ht="15.75" customHeight="1">
      <c r="A942" s="7"/>
      <c r="U942" s="9"/>
      <c r="V942" s="7"/>
    </row>
    <row r="943" ht="15.75" customHeight="1">
      <c r="A943" s="7"/>
      <c r="U943" s="9"/>
      <c r="V943" s="7"/>
    </row>
    <row r="944" ht="15.75" customHeight="1">
      <c r="A944" s="7"/>
      <c r="U944" s="9"/>
      <c r="V944" s="7"/>
    </row>
    <row r="945" ht="15.75" customHeight="1">
      <c r="A945" s="7"/>
      <c r="U945" s="9"/>
      <c r="V945" s="7"/>
    </row>
    <row r="946" ht="15.75" customHeight="1">
      <c r="A946" s="7"/>
      <c r="U946" s="9"/>
      <c r="V946" s="7"/>
    </row>
    <row r="947" ht="15.75" customHeight="1">
      <c r="A947" s="7"/>
      <c r="U947" s="9"/>
      <c r="V947" s="7"/>
    </row>
    <row r="948" ht="15.75" customHeight="1">
      <c r="A948" s="7"/>
      <c r="U948" s="9"/>
      <c r="V948" s="7"/>
    </row>
    <row r="949" ht="15.75" customHeight="1">
      <c r="A949" s="7"/>
      <c r="U949" s="9"/>
      <c r="V949" s="7"/>
    </row>
    <row r="950" ht="15.75" customHeight="1">
      <c r="A950" s="7"/>
      <c r="U950" s="9"/>
      <c r="V950" s="7"/>
    </row>
    <row r="951" ht="15.75" customHeight="1">
      <c r="A951" s="7"/>
      <c r="U951" s="9"/>
      <c r="V951" s="7"/>
    </row>
    <row r="952" ht="15.75" customHeight="1">
      <c r="A952" s="7"/>
      <c r="U952" s="9"/>
      <c r="V952" s="7"/>
    </row>
    <row r="953" ht="15.75" customHeight="1">
      <c r="A953" s="7"/>
      <c r="U953" s="9"/>
      <c r="V953" s="7"/>
    </row>
    <row r="954" ht="15.75" customHeight="1">
      <c r="A954" s="7"/>
      <c r="U954" s="9"/>
      <c r="V954" s="7"/>
    </row>
    <row r="955" ht="15.75" customHeight="1">
      <c r="A955" s="7"/>
      <c r="U955" s="9"/>
      <c r="V955" s="7"/>
    </row>
    <row r="956" ht="15.75" customHeight="1">
      <c r="A956" s="7"/>
      <c r="U956" s="9"/>
      <c r="V956" s="7"/>
    </row>
    <row r="957" ht="15.75" customHeight="1">
      <c r="A957" s="7"/>
      <c r="U957" s="9"/>
      <c r="V957" s="7"/>
    </row>
    <row r="958" ht="15.75" customHeight="1">
      <c r="A958" s="7"/>
      <c r="U958" s="9"/>
      <c r="V958" s="7"/>
    </row>
    <row r="959" ht="15.75" customHeight="1">
      <c r="A959" s="7"/>
      <c r="U959" s="9"/>
      <c r="V959" s="7"/>
    </row>
    <row r="960" ht="15.75" customHeight="1">
      <c r="A960" s="7"/>
      <c r="U960" s="9"/>
      <c r="V960" s="7"/>
    </row>
    <row r="961" ht="15.75" customHeight="1">
      <c r="A961" s="7"/>
      <c r="U961" s="9"/>
      <c r="V961" s="7"/>
    </row>
    <row r="962" ht="15.75" customHeight="1">
      <c r="A962" s="7"/>
      <c r="U962" s="9"/>
      <c r="V962" s="7"/>
    </row>
    <row r="963" ht="15.75" customHeight="1">
      <c r="A963" s="7"/>
      <c r="U963" s="9"/>
      <c r="V963" s="7"/>
    </row>
    <row r="964" ht="15.75" customHeight="1">
      <c r="A964" s="7"/>
      <c r="U964" s="9"/>
      <c r="V964" s="7"/>
    </row>
    <row r="965" ht="15.75" customHeight="1">
      <c r="A965" s="7"/>
      <c r="U965" s="9"/>
      <c r="V965" s="7"/>
    </row>
    <row r="966" ht="15.75" customHeight="1">
      <c r="A966" s="7"/>
      <c r="U966" s="9"/>
      <c r="V966" s="7"/>
    </row>
    <row r="967" ht="15.75" customHeight="1">
      <c r="A967" s="7"/>
      <c r="U967" s="9"/>
      <c r="V967" s="7"/>
    </row>
    <row r="968" ht="15.75" customHeight="1">
      <c r="A968" s="7"/>
      <c r="U968" s="9"/>
      <c r="V968" s="7"/>
    </row>
    <row r="969" ht="15.75" customHeight="1">
      <c r="A969" s="7"/>
      <c r="U969" s="9"/>
      <c r="V969" s="7"/>
    </row>
    <row r="970" ht="15.75" customHeight="1">
      <c r="A970" s="7"/>
      <c r="U970" s="9"/>
      <c r="V970" s="7"/>
    </row>
    <row r="971" ht="15.75" customHeight="1">
      <c r="A971" s="7"/>
      <c r="U971" s="9"/>
      <c r="V971" s="7"/>
    </row>
    <row r="972" ht="15.75" customHeight="1">
      <c r="A972" s="7"/>
      <c r="U972" s="9"/>
      <c r="V972" s="7"/>
    </row>
    <row r="973" ht="15.75" customHeight="1">
      <c r="A973" s="7"/>
      <c r="U973" s="9"/>
      <c r="V973" s="7"/>
    </row>
    <row r="974" ht="15.75" customHeight="1">
      <c r="A974" s="7"/>
      <c r="U974" s="9"/>
      <c r="V974" s="7"/>
    </row>
    <row r="975" ht="15.75" customHeight="1">
      <c r="A975" s="7"/>
      <c r="U975" s="9"/>
      <c r="V975" s="7"/>
    </row>
    <row r="976" ht="15.75" customHeight="1">
      <c r="A976" s="7"/>
      <c r="U976" s="9"/>
      <c r="V976" s="7"/>
    </row>
    <row r="977" ht="15.75" customHeight="1">
      <c r="A977" s="7"/>
      <c r="U977" s="9"/>
      <c r="V977" s="7"/>
    </row>
    <row r="978" ht="15.75" customHeight="1">
      <c r="A978" s="7"/>
      <c r="U978" s="9"/>
      <c r="V978" s="7"/>
    </row>
    <row r="979" ht="15.75" customHeight="1">
      <c r="A979" s="7"/>
      <c r="U979" s="9"/>
      <c r="V979" s="7"/>
    </row>
    <row r="980" ht="15.75" customHeight="1">
      <c r="A980" s="7"/>
      <c r="U980" s="9"/>
      <c r="V980" s="7"/>
    </row>
    <row r="981" ht="15.75" customHeight="1">
      <c r="A981" s="7"/>
      <c r="U981" s="9"/>
      <c r="V981" s="7"/>
    </row>
    <row r="982" ht="15.75" customHeight="1">
      <c r="A982" s="7"/>
      <c r="U982" s="9"/>
      <c r="V982" s="7"/>
    </row>
    <row r="983" ht="15.75" customHeight="1">
      <c r="A983" s="7"/>
      <c r="U983" s="9"/>
      <c r="V983" s="7"/>
    </row>
    <row r="984" ht="15.75" customHeight="1">
      <c r="A984" s="7"/>
      <c r="U984" s="9"/>
      <c r="V984" s="7"/>
    </row>
    <row r="985" ht="15.75" customHeight="1">
      <c r="A985" s="7"/>
      <c r="U985" s="9"/>
      <c r="V985" s="7"/>
    </row>
    <row r="986" ht="15.75" customHeight="1">
      <c r="A986" s="7"/>
      <c r="U986" s="9"/>
      <c r="V986" s="7"/>
    </row>
    <row r="987" ht="15.75" customHeight="1">
      <c r="A987" s="7"/>
      <c r="U987" s="9"/>
      <c r="V987" s="7"/>
    </row>
    <row r="988" ht="15.75" customHeight="1">
      <c r="A988" s="7"/>
      <c r="U988" s="9"/>
      <c r="V988" s="7"/>
    </row>
    <row r="989" ht="15.75" customHeight="1">
      <c r="A989" s="7"/>
      <c r="U989" s="9"/>
      <c r="V989" s="7"/>
    </row>
    <row r="990" ht="15.75" customHeight="1">
      <c r="A990" s="7"/>
      <c r="U990" s="9"/>
      <c r="V990" s="7"/>
    </row>
    <row r="991" ht="15.75" customHeight="1">
      <c r="A991" s="7"/>
      <c r="U991" s="9"/>
      <c r="V991" s="7"/>
    </row>
    <row r="992" ht="15.75" customHeight="1">
      <c r="A992" s="7"/>
      <c r="U992" s="9"/>
      <c r="V992" s="7"/>
    </row>
    <row r="993" ht="15.75" customHeight="1">
      <c r="A993" s="7"/>
      <c r="U993" s="9"/>
      <c r="V993" s="7"/>
    </row>
    <row r="994" ht="15.75" customHeight="1">
      <c r="A994" s="7"/>
      <c r="U994" s="9"/>
      <c r="V994" s="7"/>
    </row>
    <row r="995" ht="15.75" customHeight="1">
      <c r="A995" s="7"/>
      <c r="U995" s="9"/>
      <c r="V995" s="7"/>
    </row>
    <row r="996" ht="15.75" customHeight="1">
      <c r="A996" s="7"/>
      <c r="U996" s="9"/>
      <c r="V996" s="7"/>
    </row>
    <row r="997" ht="15.75" customHeight="1">
      <c r="A997" s="7"/>
      <c r="U997" s="9"/>
      <c r="V997" s="7"/>
    </row>
    <row r="998" ht="15.75" customHeight="1">
      <c r="A998" s="7"/>
      <c r="U998" s="9"/>
      <c r="V998" s="7"/>
    </row>
    <row r="999" ht="15.75" customHeight="1">
      <c r="A999" s="7"/>
      <c r="U999" s="9"/>
      <c r="V999" s="7"/>
    </row>
    <row r="1000" ht="15.75" customHeight="1">
      <c r="A1000" s="7"/>
      <c r="U1000" s="9"/>
      <c r="V1000" s="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2.57"/>
    <col customWidth="1" min="3" max="3" width="17.86"/>
    <col customWidth="1" min="4" max="4" width="13.29"/>
    <col customWidth="1" min="5" max="5" width="23.71"/>
    <col customWidth="1" min="6" max="6" width="18.29"/>
    <col customWidth="1" min="7" max="26" width="8.71"/>
  </cols>
  <sheetData>
    <row r="1">
      <c r="A1" s="8" t="s">
        <v>2</v>
      </c>
      <c r="B1" s="8" t="s">
        <v>3</v>
      </c>
      <c r="C1" s="8" t="s">
        <v>3718</v>
      </c>
      <c r="D1" s="8" t="s">
        <v>3719</v>
      </c>
      <c r="E1" s="8" t="s">
        <v>3720</v>
      </c>
      <c r="F1" s="8" t="s">
        <v>3721</v>
      </c>
    </row>
    <row r="2">
      <c r="A2" s="17" t="s">
        <v>24</v>
      </c>
      <c r="B2" s="17" t="s">
        <v>3722</v>
      </c>
      <c r="C2" s="17">
        <v>33.0</v>
      </c>
      <c r="D2" s="17" t="s">
        <v>3723</v>
      </c>
      <c r="E2" s="18">
        <v>46058.04166666666</v>
      </c>
      <c r="F2" s="18">
        <v>46059.41666666666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 t="s">
        <v>24</v>
      </c>
      <c r="B3" s="17" t="s">
        <v>3724</v>
      </c>
      <c r="C3" s="17">
        <v>33.0</v>
      </c>
      <c r="D3" s="17" t="s">
        <v>3723</v>
      </c>
      <c r="E3" s="18">
        <v>46058.04166666666</v>
      </c>
      <c r="F3" s="18">
        <v>46059.41666666666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 t="s">
        <v>24</v>
      </c>
      <c r="B4" s="17" t="s">
        <v>3725</v>
      </c>
      <c r="C4" s="17">
        <v>33.0</v>
      </c>
      <c r="D4" s="17" t="s">
        <v>3723</v>
      </c>
      <c r="E4" s="18">
        <v>46058.04166666666</v>
      </c>
      <c r="F4" s="18">
        <v>46059.41666666666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 t="s">
        <v>24</v>
      </c>
      <c r="B5" s="17" t="s">
        <v>3726</v>
      </c>
      <c r="C5" s="17">
        <v>33.0</v>
      </c>
      <c r="D5" s="17" t="s">
        <v>3723</v>
      </c>
      <c r="E5" s="18">
        <v>46058.04166666666</v>
      </c>
      <c r="F5" s="18">
        <v>46059.41666666666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 t="s">
        <v>24</v>
      </c>
      <c r="B6" s="17" t="s">
        <v>3727</v>
      </c>
      <c r="C6" s="17">
        <v>33.0</v>
      </c>
      <c r="D6" s="17" t="s">
        <v>3723</v>
      </c>
      <c r="E6" s="18">
        <v>46058.04166666666</v>
      </c>
      <c r="F6" s="18">
        <v>46059.41666666666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 t="s">
        <v>24</v>
      </c>
      <c r="B7" s="17" t="s">
        <v>3728</v>
      </c>
      <c r="C7" s="17">
        <v>33.0</v>
      </c>
      <c r="D7" s="17" t="s">
        <v>3723</v>
      </c>
      <c r="E7" s="18">
        <v>46058.04166666666</v>
      </c>
      <c r="F7" s="18">
        <v>46059.41666666666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 t="s">
        <v>24</v>
      </c>
      <c r="B8" s="17" t="s">
        <v>3729</v>
      </c>
      <c r="C8" s="17">
        <v>33.0</v>
      </c>
      <c r="D8" s="17" t="s">
        <v>3723</v>
      </c>
      <c r="E8" s="18">
        <v>46058.04166666666</v>
      </c>
      <c r="F8" s="18">
        <v>46059.41666666666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 t="s">
        <v>24</v>
      </c>
      <c r="B9" s="17" t="s">
        <v>3730</v>
      </c>
      <c r="C9" s="17">
        <v>33.0</v>
      </c>
      <c r="D9" s="17" t="s">
        <v>3723</v>
      </c>
      <c r="E9" s="18">
        <v>46058.04166666666</v>
      </c>
      <c r="F9" s="18">
        <v>46059.41666666666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 t="s">
        <v>24</v>
      </c>
      <c r="B10" s="17" t="s">
        <v>3731</v>
      </c>
      <c r="C10" s="17">
        <v>33.0</v>
      </c>
      <c r="D10" s="17" t="s">
        <v>3723</v>
      </c>
      <c r="E10" s="18">
        <v>46058.04166666666</v>
      </c>
      <c r="F10" s="18">
        <v>46059.41666666666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 t="s">
        <v>24</v>
      </c>
      <c r="B11" s="17" t="s">
        <v>3732</v>
      </c>
      <c r="C11" s="17">
        <v>33.0</v>
      </c>
      <c r="D11" s="17" t="s">
        <v>3723</v>
      </c>
      <c r="E11" s="18">
        <v>46058.04166666666</v>
      </c>
      <c r="F11" s="18">
        <v>46059.41666666666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 t="s">
        <v>24</v>
      </c>
      <c r="B12" s="17" t="s">
        <v>3733</v>
      </c>
      <c r="C12" s="17">
        <v>33.0</v>
      </c>
      <c r="D12" s="17" t="s">
        <v>3723</v>
      </c>
      <c r="E12" s="18">
        <v>46058.04166666666</v>
      </c>
      <c r="F12" s="18">
        <v>46059.41666666666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 t="s">
        <v>24</v>
      </c>
      <c r="B13" s="17" t="s">
        <v>3734</v>
      </c>
      <c r="C13" s="17">
        <v>33.0</v>
      </c>
      <c r="D13" s="17" t="s">
        <v>3723</v>
      </c>
      <c r="E13" s="18">
        <v>46058.04166666666</v>
      </c>
      <c r="F13" s="18">
        <v>46059.41666666666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9" t="s">
        <v>121</v>
      </c>
      <c r="B14" s="19" t="s">
        <v>3735</v>
      </c>
      <c r="C14" s="19">
        <v>21.0</v>
      </c>
      <c r="D14" s="19" t="s">
        <v>3723</v>
      </c>
      <c r="E14" s="20">
        <v>46058.16666666666</v>
      </c>
      <c r="F14" s="20">
        <v>46059.04166666666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 t="s">
        <v>121</v>
      </c>
      <c r="B15" s="19" t="s">
        <v>3736</v>
      </c>
      <c r="C15" s="19">
        <v>21.0</v>
      </c>
      <c r="D15" s="19" t="s">
        <v>3723</v>
      </c>
      <c r="E15" s="20">
        <v>46058.16666666666</v>
      </c>
      <c r="F15" s="20">
        <v>46059.04166666666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 t="s">
        <v>121</v>
      </c>
      <c r="B16" s="19" t="s">
        <v>3737</v>
      </c>
      <c r="C16" s="19">
        <v>21.0</v>
      </c>
      <c r="D16" s="19" t="s">
        <v>3723</v>
      </c>
      <c r="E16" s="20">
        <v>46058.16666666666</v>
      </c>
      <c r="F16" s="20">
        <v>46059.04166666666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 t="s">
        <v>121</v>
      </c>
      <c r="B17" s="19" t="s">
        <v>3738</v>
      </c>
      <c r="C17" s="19">
        <v>21.0</v>
      </c>
      <c r="D17" s="19" t="s">
        <v>3723</v>
      </c>
      <c r="E17" s="20">
        <v>46058.16666666666</v>
      </c>
      <c r="F17" s="20">
        <v>46059.04166666666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 t="s">
        <v>121</v>
      </c>
      <c r="B18" s="19" t="s">
        <v>3739</v>
      </c>
      <c r="C18" s="19">
        <v>24.0</v>
      </c>
      <c r="D18" s="19" t="s">
        <v>3723</v>
      </c>
      <c r="E18" s="20">
        <v>46058.04166666666</v>
      </c>
      <c r="F18" s="20">
        <v>46059.04166666666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 t="s">
        <v>121</v>
      </c>
      <c r="B19" s="19" t="s">
        <v>3740</v>
      </c>
      <c r="C19" s="19">
        <v>24.0</v>
      </c>
      <c r="D19" s="19" t="s">
        <v>3723</v>
      </c>
      <c r="E19" s="20">
        <v>46058.16666666666</v>
      </c>
      <c r="F19" s="20">
        <v>46059.16666666666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 t="s">
        <v>121</v>
      </c>
      <c r="B20" s="19" t="s">
        <v>3741</v>
      </c>
      <c r="C20" s="19">
        <v>24.0</v>
      </c>
      <c r="D20" s="19" t="s">
        <v>3723</v>
      </c>
      <c r="E20" s="20">
        <v>46058.04166666666</v>
      </c>
      <c r="F20" s="20">
        <v>46059.04166666666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 t="s">
        <v>121</v>
      </c>
      <c r="B21" s="19" t="s">
        <v>3742</v>
      </c>
      <c r="C21" s="19">
        <v>27.0</v>
      </c>
      <c r="D21" s="19" t="s">
        <v>3723</v>
      </c>
      <c r="E21" s="20">
        <v>46058.04166666666</v>
      </c>
      <c r="F21" s="20">
        <v>46059.16666666666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 t="s">
        <v>121</v>
      </c>
      <c r="B22" s="19" t="s">
        <v>3743</v>
      </c>
      <c r="C22" s="19">
        <v>27.0</v>
      </c>
      <c r="D22" s="19" t="s">
        <v>3723</v>
      </c>
      <c r="E22" s="20">
        <v>46058.04166666666</v>
      </c>
      <c r="F22" s="20">
        <v>46059.16666666666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 t="s">
        <v>121</v>
      </c>
      <c r="B23" s="19" t="s">
        <v>3744</v>
      </c>
      <c r="C23" s="19">
        <v>27.0</v>
      </c>
      <c r="D23" s="19" t="s">
        <v>3723</v>
      </c>
      <c r="E23" s="20">
        <v>46058.04166666666</v>
      </c>
      <c r="F23" s="20">
        <v>46059.16666666666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 t="s">
        <v>121</v>
      </c>
      <c r="B24" s="19" t="s">
        <v>3745</v>
      </c>
      <c r="C24" s="19">
        <v>27.0</v>
      </c>
      <c r="D24" s="19" t="s">
        <v>3723</v>
      </c>
      <c r="E24" s="20">
        <v>46058.04166666666</v>
      </c>
      <c r="F24" s="20">
        <v>46059.16666666666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 t="s">
        <v>121</v>
      </c>
      <c r="B25" s="19" t="s">
        <v>3746</v>
      </c>
      <c r="C25" s="19">
        <v>27.0</v>
      </c>
      <c r="D25" s="19" t="s">
        <v>3723</v>
      </c>
      <c r="E25" s="20">
        <v>46058.04166666666</v>
      </c>
      <c r="F25" s="20">
        <v>46059.16666666666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 t="s">
        <v>121</v>
      </c>
      <c r="B26" s="19" t="s">
        <v>3747</v>
      </c>
      <c r="C26" s="19">
        <v>33.0</v>
      </c>
      <c r="D26" s="19" t="s">
        <v>3723</v>
      </c>
      <c r="E26" s="20">
        <v>46058.04166666666</v>
      </c>
      <c r="F26" s="20">
        <v>46059.41666666666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 t="s">
        <v>121</v>
      </c>
      <c r="B27" s="19" t="s">
        <v>3748</v>
      </c>
      <c r="C27" s="19">
        <v>33.0</v>
      </c>
      <c r="D27" s="19" t="s">
        <v>3723</v>
      </c>
      <c r="E27" s="20">
        <v>46058.04166666666</v>
      </c>
      <c r="F27" s="20">
        <v>46059.41666666666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0" t="s">
        <v>919</v>
      </c>
      <c r="B28" s="10" t="s">
        <v>3749</v>
      </c>
      <c r="C28" s="10">
        <v>21.0</v>
      </c>
      <c r="D28" s="10" t="s">
        <v>3723</v>
      </c>
      <c r="E28" s="21">
        <v>46058.16666666666</v>
      </c>
      <c r="F28" s="21">
        <v>46059.04166666666</v>
      </c>
    </row>
    <row r="29" ht="15.75" customHeight="1">
      <c r="A29" s="10" t="s">
        <v>919</v>
      </c>
      <c r="B29" s="10" t="s">
        <v>3750</v>
      </c>
      <c r="C29" s="10">
        <v>27.0</v>
      </c>
      <c r="D29" s="10" t="s">
        <v>3723</v>
      </c>
      <c r="E29" s="21">
        <v>46058.16666666666</v>
      </c>
      <c r="F29" s="21">
        <v>46059.29166666666</v>
      </c>
    </row>
    <row r="30" ht="15.75" customHeight="1">
      <c r="A30" s="10" t="s">
        <v>919</v>
      </c>
      <c r="B30" s="10" t="s">
        <v>3751</v>
      </c>
      <c r="C30" s="10">
        <v>27.0</v>
      </c>
      <c r="D30" s="10" t="s">
        <v>3723</v>
      </c>
      <c r="E30" s="21">
        <v>46058.16666666666</v>
      </c>
      <c r="F30" s="21">
        <v>46059.29166666666</v>
      </c>
    </row>
    <row r="31" ht="15.75" customHeight="1">
      <c r="A31" s="10" t="s">
        <v>919</v>
      </c>
      <c r="B31" s="10" t="s">
        <v>3752</v>
      </c>
      <c r="C31" s="10">
        <v>30.0</v>
      </c>
      <c r="D31" s="10" t="s">
        <v>3723</v>
      </c>
      <c r="E31" s="21">
        <v>46058.04166666666</v>
      </c>
      <c r="F31" s="21">
        <v>46059.29166666666</v>
      </c>
    </row>
    <row r="32" ht="15.75" customHeight="1">
      <c r="A32" s="10" t="s">
        <v>919</v>
      </c>
      <c r="B32" s="10" t="s">
        <v>3753</v>
      </c>
      <c r="C32" s="10">
        <v>30.0</v>
      </c>
      <c r="D32" s="10" t="s">
        <v>3723</v>
      </c>
      <c r="E32" s="21">
        <v>46058.04166666666</v>
      </c>
      <c r="F32" s="21">
        <v>46059.29166666666</v>
      </c>
    </row>
    <row r="33" ht="15.75" customHeight="1">
      <c r="A33" s="10" t="s">
        <v>919</v>
      </c>
      <c r="B33" s="10" t="s">
        <v>3754</v>
      </c>
      <c r="C33" s="10">
        <v>24.0</v>
      </c>
      <c r="D33" s="10" t="s">
        <v>3723</v>
      </c>
      <c r="E33" s="21">
        <v>46058.16666666666</v>
      </c>
      <c r="F33" s="21">
        <v>46059.166666666664</v>
      </c>
    </row>
    <row r="34" ht="15.75" customHeight="1">
      <c r="A34" s="10" t="s">
        <v>919</v>
      </c>
      <c r="B34" s="10" t="s">
        <v>3755</v>
      </c>
      <c r="C34" s="10">
        <v>27.0</v>
      </c>
      <c r="D34" s="10" t="s">
        <v>3723</v>
      </c>
      <c r="E34" s="21">
        <v>46058.16666666666</v>
      </c>
      <c r="F34" s="21">
        <v>46059.291666666664</v>
      </c>
    </row>
    <row r="35" ht="13.5" customHeight="1">
      <c r="A35" s="10" t="s">
        <v>919</v>
      </c>
      <c r="B35" s="10" t="s">
        <v>3756</v>
      </c>
      <c r="C35" s="10">
        <v>30.0</v>
      </c>
      <c r="D35" s="10" t="s">
        <v>3723</v>
      </c>
      <c r="E35" s="21">
        <v>46058.04166666666</v>
      </c>
      <c r="F35" s="21">
        <v>46059.291666666664</v>
      </c>
    </row>
    <row r="36" ht="15.75" customHeight="1">
      <c r="A36" s="10" t="s">
        <v>3300</v>
      </c>
      <c r="B36" s="10" t="s">
        <v>3757</v>
      </c>
      <c r="C36" s="10">
        <v>21.0</v>
      </c>
      <c r="D36" s="10" t="s">
        <v>3723</v>
      </c>
      <c r="E36" s="21">
        <v>46058.16666666666</v>
      </c>
      <c r="F36" s="21">
        <v>46059.041666666664</v>
      </c>
    </row>
    <row r="37" ht="15.75" customHeight="1">
      <c r="A37" s="10" t="s">
        <v>3300</v>
      </c>
      <c r="B37" s="10" t="s">
        <v>3758</v>
      </c>
      <c r="C37" s="10">
        <v>21.0</v>
      </c>
      <c r="D37" s="10" t="s">
        <v>3723</v>
      </c>
      <c r="E37" s="21">
        <v>46058.16666666666</v>
      </c>
      <c r="F37" s="21">
        <v>46060.0416666088</v>
      </c>
    </row>
    <row r="38" ht="15.75" customHeight="1">
      <c r="A38" s="10" t="s">
        <v>3300</v>
      </c>
      <c r="B38" s="10" t="s">
        <v>3759</v>
      </c>
      <c r="C38" s="10">
        <v>21.0</v>
      </c>
      <c r="D38" s="10" t="s">
        <v>3723</v>
      </c>
      <c r="E38" s="21">
        <v>46058.16666666666</v>
      </c>
      <c r="F38" s="21">
        <v>46061.0416666088</v>
      </c>
    </row>
    <row r="39" ht="15.75" customHeight="1">
      <c r="A39" s="10" t="s">
        <v>3300</v>
      </c>
      <c r="B39" s="10" t="s">
        <v>3760</v>
      </c>
      <c r="C39" s="10">
        <v>21.0</v>
      </c>
      <c r="D39" s="10" t="s">
        <v>3723</v>
      </c>
      <c r="E39" s="21">
        <v>46058.16666666666</v>
      </c>
      <c r="F39" s="21">
        <v>46062.0416666088</v>
      </c>
    </row>
    <row r="40" ht="15.75" customHeight="1">
      <c r="A40" s="10" t="s">
        <v>3300</v>
      </c>
      <c r="B40" s="10" t="s">
        <v>3761</v>
      </c>
      <c r="C40" s="10">
        <v>21.0</v>
      </c>
      <c r="D40" s="10" t="s">
        <v>3723</v>
      </c>
      <c r="E40" s="21">
        <v>46058.16666666666</v>
      </c>
      <c r="F40" s="21">
        <v>46063.0416666088</v>
      </c>
    </row>
    <row r="41" ht="15.75" customHeight="1">
      <c r="A41" s="22" t="s">
        <v>1453</v>
      </c>
      <c r="B41" s="22" t="s">
        <v>3762</v>
      </c>
      <c r="C41" s="22">
        <v>6.0</v>
      </c>
      <c r="D41" s="22" t="s">
        <v>3723</v>
      </c>
      <c r="E41" s="23">
        <v>46059.16666666666</v>
      </c>
      <c r="F41" s="23">
        <v>46059.41666666666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 t="s">
        <v>1453</v>
      </c>
      <c r="B42" s="22" t="s">
        <v>3736</v>
      </c>
      <c r="C42" s="22">
        <v>6.0</v>
      </c>
      <c r="D42" s="22" t="s">
        <v>3723</v>
      </c>
      <c r="E42" s="23">
        <v>46059.16666666666</v>
      </c>
      <c r="F42" s="23">
        <v>46059.41666666666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 t="s">
        <v>1453</v>
      </c>
      <c r="B43" s="22" t="s">
        <v>3763</v>
      </c>
      <c r="C43" s="22">
        <v>6.0</v>
      </c>
      <c r="D43" s="22" t="s">
        <v>3723</v>
      </c>
      <c r="E43" s="23">
        <v>46059.16666666666</v>
      </c>
      <c r="F43" s="23">
        <v>46059.41666666666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 t="s">
        <v>1453</v>
      </c>
      <c r="B44" s="22" t="s">
        <v>3764</v>
      </c>
      <c r="C44" s="22">
        <v>12.0</v>
      </c>
      <c r="D44" s="22" t="s">
        <v>3723</v>
      </c>
      <c r="E44" s="23">
        <v>46058.91666666666</v>
      </c>
      <c r="F44" s="23">
        <v>46059.41666666666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 t="s">
        <v>1453</v>
      </c>
      <c r="B45" s="22" t="s">
        <v>3765</v>
      </c>
      <c r="C45" s="22">
        <v>12.0</v>
      </c>
      <c r="D45" s="22" t="s">
        <v>3723</v>
      </c>
      <c r="E45" s="23">
        <v>46058.91666666666</v>
      </c>
      <c r="F45" s="23">
        <v>46059.41666666666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 t="s">
        <v>1453</v>
      </c>
      <c r="B46" s="22" t="s">
        <v>3766</v>
      </c>
      <c r="C46" s="22">
        <v>12.0</v>
      </c>
      <c r="D46" s="22" t="s">
        <v>3723</v>
      </c>
      <c r="E46" s="23">
        <v>46058.91666666666</v>
      </c>
      <c r="F46" s="23">
        <v>46059.41666666666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 t="s">
        <v>1453</v>
      </c>
      <c r="B47" s="22" t="s">
        <v>3767</v>
      </c>
      <c r="C47" s="22">
        <v>12.0</v>
      </c>
      <c r="D47" s="22" t="s">
        <v>3723</v>
      </c>
      <c r="E47" s="23">
        <v>46058.91666666666</v>
      </c>
      <c r="F47" s="23">
        <v>46059.41666666666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10" t="s">
        <v>50</v>
      </c>
      <c r="B48" s="10" t="s">
        <v>3768</v>
      </c>
      <c r="C48" s="10">
        <v>30.0</v>
      </c>
      <c r="D48" s="10" t="s">
        <v>3723</v>
      </c>
      <c r="E48" s="21">
        <v>46058.16666666666</v>
      </c>
      <c r="F48" s="21">
        <v>46059.41666666666</v>
      </c>
    </row>
    <row r="49" ht="15.75" customHeight="1">
      <c r="A49" s="10" t="s">
        <v>50</v>
      </c>
      <c r="B49" s="10" t="s">
        <v>3769</v>
      </c>
      <c r="C49" s="10">
        <v>30.0</v>
      </c>
      <c r="D49" s="10" t="s">
        <v>3723</v>
      </c>
      <c r="E49" s="21">
        <v>46058.16666666666</v>
      </c>
      <c r="F49" s="21">
        <v>46059.41666666666</v>
      </c>
    </row>
    <row r="50" ht="15.75" customHeight="1">
      <c r="A50" s="10" t="s">
        <v>50</v>
      </c>
      <c r="B50" s="10" t="s">
        <v>3770</v>
      </c>
      <c r="C50" s="10">
        <v>30.0</v>
      </c>
      <c r="D50" s="10" t="s">
        <v>3723</v>
      </c>
      <c r="E50" s="21">
        <v>46058.16666666666</v>
      </c>
      <c r="F50" s="21">
        <v>46059.41666666666</v>
      </c>
    </row>
    <row r="51" ht="15.75" customHeight="1">
      <c r="A51" s="10" t="s">
        <v>50</v>
      </c>
      <c r="B51" s="10" t="s">
        <v>3771</v>
      </c>
      <c r="C51" s="10">
        <v>30.0</v>
      </c>
      <c r="D51" s="10" t="s">
        <v>3723</v>
      </c>
      <c r="E51" s="21">
        <v>46058.16666666666</v>
      </c>
      <c r="F51" s="21">
        <v>46059.41666666666</v>
      </c>
    </row>
    <row r="52" ht="15.75" customHeight="1">
      <c r="A52" s="10" t="s">
        <v>50</v>
      </c>
      <c r="B52" s="10" t="s">
        <v>3772</v>
      </c>
      <c r="C52" s="10">
        <v>30.0</v>
      </c>
      <c r="D52" s="10" t="s">
        <v>3723</v>
      </c>
      <c r="E52" s="21">
        <v>46058.16666666666</v>
      </c>
      <c r="F52" s="21">
        <v>46059.41666666666</v>
      </c>
    </row>
    <row r="53" ht="15.75" customHeight="1">
      <c r="A53" s="10" t="s">
        <v>50</v>
      </c>
      <c r="B53" s="10" t="s">
        <v>3773</v>
      </c>
      <c r="C53" s="10">
        <v>30.0</v>
      </c>
      <c r="D53" s="10" t="s">
        <v>3723</v>
      </c>
      <c r="E53" s="21">
        <v>46058.16666666666</v>
      </c>
      <c r="F53" s="21">
        <v>46059.41666666666</v>
      </c>
    </row>
    <row r="54" ht="15.75" customHeight="1">
      <c r="A54" s="10" t="s">
        <v>50</v>
      </c>
      <c r="B54" s="10" t="s">
        <v>3774</v>
      </c>
      <c r="C54" s="10">
        <v>30.0</v>
      </c>
      <c r="D54" s="10" t="s">
        <v>3723</v>
      </c>
      <c r="E54" s="21">
        <v>46058.16666666666</v>
      </c>
      <c r="F54" s="21">
        <v>46059.41666666666</v>
      </c>
    </row>
    <row r="55" ht="15.75" customHeight="1">
      <c r="A55" s="10" t="s">
        <v>50</v>
      </c>
      <c r="B55" s="10" t="s">
        <v>3775</v>
      </c>
      <c r="C55" s="10">
        <v>30.0</v>
      </c>
      <c r="D55" s="10" t="s">
        <v>3723</v>
      </c>
      <c r="E55" s="21">
        <v>46058.16666666666</v>
      </c>
      <c r="F55" s="21">
        <v>46059.41666666666</v>
      </c>
    </row>
    <row r="56" ht="15.75" customHeight="1">
      <c r="A56" s="10" t="s">
        <v>50</v>
      </c>
      <c r="B56" s="10" t="s">
        <v>3776</v>
      </c>
      <c r="C56" s="10">
        <v>30.0</v>
      </c>
      <c r="D56" s="10" t="s">
        <v>3723</v>
      </c>
      <c r="E56" s="21">
        <v>46058.16666666666</v>
      </c>
      <c r="F56" s="21">
        <v>46059.41666666666</v>
      </c>
    </row>
    <row r="57" ht="15.75" customHeight="1">
      <c r="A57" s="10" t="s">
        <v>50</v>
      </c>
      <c r="B57" s="10" t="s">
        <v>3777</v>
      </c>
      <c r="C57" s="10">
        <v>30.0</v>
      </c>
      <c r="D57" s="10" t="s">
        <v>3723</v>
      </c>
      <c r="E57" s="21">
        <v>46058.16666666666</v>
      </c>
      <c r="F57" s="21">
        <v>46059.41666666666</v>
      </c>
    </row>
    <row r="58" ht="15.75" customHeight="1">
      <c r="A58" s="10" t="s">
        <v>50</v>
      </c>
      <c r="B58" s="10" t="s">
        <v>3778</v>
      </c>
      <c r="C58" s="10">
        <v>30.0</v>
      </c>
      <c r="D58" s="10" t="s">
        <v>3723</v>
      </c>
      <c r="E58" s="21">
        <v>46058.16666666666</v>
      </c>
      <c r="F58" s="21">
        <v>46059.41666666666</v>
      </c>
    </row>
    <row r="59" ht="15.75" customHeight="1">
      <c r="A59" s="10" t="s">
        <v>50</v>
      </c>
      <c r="B59" s="10" t="s">
        <v>3779</v>
      </c>
      <c r="C59" s="10">
        <v>30.0</v>
      </c>
      <c r="D59" s="10" t="s">
        <v>3723</v>
      </c>
      <c r="E59" s="21">
        <v>46058.16666666666</v>
      </c>
      <c r="F59" s="21">
        <v>46059.41666666666</v>
      </c>
    </row>
    <row r="60" ht="15.75" customHeight="1">
      <c r="A60" s="10" t="s">
        <v>50</v>
      </c>
      <c r="B60" s="10" t="s">
        <v>3780</v>
      </c>
      <c r="C60" s="10">
        <v>30.0</v>
      </c>
      <c r="D60" s="10" t="s">
        <v>3723</v>
      </c>
      <c r="E60" s="21">
        <v>46058.16666666666</v>
      </c>
      <c r="F60" s="21">
        <v>46059.41666666666</v>
      </c>
    </row>
    <row r="61" ht="15.75" customHeight="1">
      <c r="A61" s="10" t="s">
        <v>50</v>
      </c>
      <c r="B61" s="10" t="s">
        <v>3781</v>
      </c>
      <c r="C61" s="10">
        <v>30.0</v>
      </c>
      <c r="D61" s="10" t="s">
        <v>3723</v>
      </c>
      <c r="E61" s="21">
        <v>46058.16666666666</v>
      </c>
      <c r="F61" s="21">
        <v>46059.41666666666</v>
      </c>
    </row>
    <row r="62" ht="15.75" customHeight="1">
      <c r="A62" s="10" t="s">
        <v>50</v>
      </c>
      <c r="B62" s="10" t="s">
        <v>3782</v>
      </c>
      <c r="C62" s="10">
        <v>30.0</v>
      </c>
      <c r="D62" s="10" t="s">
        <v>3723</v>
      </c>
      <c r="E62" s="21">
        <v>46058.16666666666</v>
      </c>
      <c r="F62" s="21">
        <v>46059.41666666666</v>
      </c>
    </row>
    <row r="63" ht="15.75" customHeight="1">
      <c r="A63" s="10" t="s">
        <v>50</v>
      </c>
      <c r="B63" s="10" t="s">
        <v>3783</v>
      </c>
      <c r="C63" s="10">
        <v>30.0</v>
      </c>
      <c r="D63" s="10" t="s">
        <v>3723</v>
      </c>
      <c r="E63" s="21">
        <v>46058.16666666666</v>
      </c>
      <c r="F63" s="21">
        <v>46059.41666666666</v>
      </c>
    </row>
    <row r="64" ht="15.75" customHeight="1">
      <c r="A64" s="10" t="s">
        <v>50</v>
      </c>
      <c r="B64" s="10" t="s">
        <v>3784</v>
      </c>
      <c r="C64" s="10">
        <v>30.0</v>
      </c>
      <c r="D64" s="10" t="s">
        <v>3723</v>
      </c>
      <c r="E64" s="21">
        <v>46058.16666666666</v>
      </c>
      <c r="F64" s="21">
        <v>46059.41666666666</v>
      </c>
    </row>
    <row r="65" ht="15.75" customHeight="1">
      <c r="A65" s="10" t="s">
        <v>50</v>
      </c>
      <c r="B65" s="10" t="s">
        <v>3785</v>
      </c>
      <c r="C65" s="10">
        <v>30.0</v>
      </c>
      <c r="D65" s="10" t="s">
        <v>3723</v>
      </c>
      <c r="E65" s="21">
        <v>46058.16666666666</v>
      </c>
      <c r="F65" s="21">
        <v>46059.41666666666</v>
      </c>
    </row>
    <row r="66" ht="15.75" customHeight="1">
      <c r="A66" s="10" t="s">
        <v>50</v>
      </c>
      <c r="B66" s="10" t="s">
        <v>3786</v>
      </c>
      <c r="C66" s="10">
        <v>30.0</v>
      </c>
      <c r="D66" s="10" t="s">
        <v>3723</v>
      </c>
      <c r="E66" s="21">
        <v>46058.16666666666</v>
      </c>
      <c r="F66" s="21">
        <v>46059.41666666666</v>
      </c>
    </row>
    <row r="67" ht="15.75" customHeight="1">
      <c r="A67" s="10" t="s">
        <v>50</v>
      </c>
      <c r="B67" s="10" t="s">
        <v>3787</v>
      </c>
      <c r="C67" s="10">
        <v>30.0</v>
      </c>
      <c r="D67" s="10" t="s">
        <v>3723</v>
      </c>
      <c r="E67" s="21">
        <v>46058.16666666666</v>
      </c>
      <c r="F67" s="21">
        <v>46059.41666666666</v>
      </c>
    </row>
    <row r="68" ht="15.75" customHeight="1">
      <c r="A68" s="10" t="s">
        <v>50</v>
      </c>
      <c r="B68" s="10" t="s">
        <v>3788</v>
      </c>
      <c r="C68" s="10">
        <v>30.0</v>
      </c>
      <c r="D68" s="10" t="s">
        <v>3723</v>
      </c>
      <c r="E68" s="21">
        <v>46058.16666666666</v>
      </c>
      <c r="F68" s="21">
        <v>46059.41666666666</v>
      </c>
    </row>
    <row r="69" ht="15.75" customHeight="1">
      <c r="A69" s="10" t="s">
        <v>50</v>
      </c>
      <c r="B69" s="10" t="s">
        <v>3789</v>
      </c>
      <c r="C69" s="10">
        <v>30.0</v>
      </c>
      <c r="D69" s="10" t="s">
        <v>3723</v>
      </c>
      <c r="E69" s="21">
        <v>46058.16666666666</v>
      </c>
      <c r="F69" s="21">
        <v>46059.41666666666</v>
      </c>
    </row>
    <row r="70" ht="15.75" customHeight="1">
      <c r="A70" s="10" t="s">
        <v>50</v>
      </c>
      <c r="B70" s="10" t="s">
        <v>3790</v>
      </c>
      <c r="C70" s="10">
        <v>30.0</v>
      </c>
      <c r="D70" s="10" t="s">
        <v>3723</v>
      </c>
      <c r="E70" s="21">
        <v>46058.16666666666</v>
      </c>
      <c r="F70" s="21">
        <v>46059.41666666666</v>
      </c>
    </row>
    <row r="71" ht="15.75" customHeight="1">
      <c r="A71" s="10" t="s">
        <v>50</v>
      </c>
      <c r="B71" s="10" t="s">
        <v>3791</v>
      </c>
      <c r="C71" s="10">
        <v>33.0</v>
      </c>
      <c r="D71" s="10" t="s">
        <v>3723</v>
      </c>
      <c r="E71" s="21">
        <v>46058.04166666666</v>
      </c>
      <c r="F71" s="21">
        <v>46059.41666666666</v>
      </c>
    </row>
    <row r="72" ht="15.75" customHeight="1">
      <c r="A72" s="10" t="s">
        <v>50</v>
      </c>
      <c r="B72" s="10" t="s">
        <v>3792</v>
      </c>
      <c r="C72" s="10">
        <v>33.0</v>
      </c>
      <c r="D72" s="10" t="s">
        <v>3723</v>
      </c>
      <c r="E72" s="21">
        <v>46058.04166666666</v>
      </c>
      <c r="F72" s="21">
        <v>46059.41666666666</v>
      </c>
    </row>
    <row r="73" ht="15.75" customHeight="1">
      <c r="A73" s="10" t="s">
        <v>50</v>
      </c>
      <c r="B73" s="10" t="s">
        <v>3793</v>
      </c>
      <c r="C73" s="10">
        <v>33.0</v>
      </c>
      <c r="D73" s="10" t="s">
        <v>3723</v>
      </c>
      <c r="E73" s="21">
        <v>46058.04166666666</v>
      </c>
      <c r="F73" s="21">
        <v>46059.41666666666</v>
      </c>
    </row>
    <row r="74" ht="15.75" customHeight="1">
      <c r="A74" s="24" t="s">
        <v>68</v>
      </c>
      <c r="B74" s="24" t="s">
        <v>3794</v>
      </c>
      <c r="C74" s="24">
        <v>30.0</v>
      </c>
      <c r="D74" s="24" t="s">
        <v>3723</v>
      </c>
      <c r="E74" s="25">
        <v>46058.16666666666</v>
      </c>
      <c r="F74" s="25">
        <v>46059.41666666666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 t="s">
        <v>68</v>
      </c>
      <c r="B75" s="24" t="s">
        <v>3795</v>
      </c>
      <c r="C75" s="24">
        <v>30.0</v>
      </c>
      <c r="D75" s="24" t="s">
        <v>3723</v>
      </c>
      <c r="E75" s="25">
        <v>46058.16666666666</v>
      </c>
      <c r="F75" s="25">
        <v>46059.41666666666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 t="s">
        <v>68</v>
      </c>
      <c r="B76" s="24" t="s">
        <v>3796</v>
      </c>
      <c r="C76" s="24">
        <v>30.0</v>
      </c>
      <c r="D76" s="24" t="s">
        <v>3723</v>
      </c>
      <c r="E76" s="25">
        <v>46058.16666666666</v>
      </c>
      <c r="F76" s="25">
        <v>46059.41666666666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 t="s">
        <v>68</v>
      </c>
      <c r="B77" s="24" t="s">
        <v>3797</v>
      </c>
      <c r="C77" s="24">
        <v>30.0</v>
      </c>
      <c r="D77" s="24" t="s">
        <v>3723</v>
      </c>
      <c r="E77" s="25">
        <v>46058.16666666666</v>
      </c>
      <c r="F77" s="25">
        <v>46059.41666666666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 t="s">
        <v>68</v>
      </c>
      <c r="B78" s="24" t="s">
        <v>3798</v>
      </c>
      <c r="C78" s="24">
        <v>30.0</v>
      </c>
      <c r="D78" s="24" t="s">
        <v>3723</v>
      </c>
      <c r="E78" s="25">
        <v>46058.16666666666</v>
      </c>
      <c r="F78" s="25">
        <v>46059.41666666666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 t="s">
        <v>68</v>
      </c>
      <c r="B79" s="24" t="s">
        <v>3799</v>
      </c>
      <c r="C79" s="24">
        <v>30.0</v>
      </c>
      <c r="D79" s="24" t="s">
        <v>3723</v>
      </c>
      <c r="E79" s="25">
        <v>46058.16666666666</v>
      </c>
      <c r="F79" s="25">
        <v>46059.41666666666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 t="s">
        <v>68</v>
      </c>
      <c r="B80" s="24" t="s">
        <v>3800</v>
      </c>
      <c r="C80" s="24">
        <v>30.0</v>
      </c>
      <c r="D80" s="24" t="s">
        <v>3723</v>
      </c>
      <c r="E80" s="25">
        <v>46058.16666666666</v>
      </c>
      <c r="F80" s="25">
        <v>46059.41666666666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 t="s">
        <v>68</v>
      </c>
      <c r="B81" s="24" t="s">
        <v>3801</v>
      </c>
      <c r="C81" s="24">
        <v>30.0</v>
      </c>
      <c r="D81" s="24" t="s">
        <v>3723</v>
      </c>
      <c r="E81" s="25">
        <v>46058.16666666666</v>
      </c>
      <c r="F81" s="25">
        <v>46059.41666666666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 t="s">
        <v>68</v>
      </c>
      <c r="B82" s="24" t="s">
        <v>3802</v>
      </c>
      <c r="C82" s="24">
        <v>30.0</v>
      </c>
      <c r="D82" s="24" t="s">
        <v>3723</v>
      </c>
      <c r="E82" s="25">
        <v>46058.16666666666</v>
      </c>
      <c r="F82" s="25">
        <v>46059.41666666666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 t="s">
        <v>68</v>
      </c>
      <c r="B83" s="24" t="s">
        <v>3744</v>
      </c>
      <c r="C83" s="24">
        <v>30.0</v>
      </c>
      <c r="D83" s="24" t="s">
        <v>3723</v>
      </c>
      <c r="E83" s="25">
        <v>46058.16666666666</v>
      </c>
      <c r="F83" s="25">
        <v>46059.41666666666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 t="s">
        <v>68</v>
      </c>
      <c r="B84" s="24" t="s">
        <v>3803</v>
      </c>
      <c r="C84" s="24">
        <v>30.0</v>
      </c>
      <c r="D84" s="24" t="s">
        <v>3723</v>
      </c>
      <c r="E84" s="25">
        <v>46058.16666666666</v>
      </c>
      <c r="F84" s="25">
        <v>46059.41666666666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 t="s">
        <v>68</v>
      </c>
      <c r="B85" s="24" t="s">
        <v>3804</v>
      </c>
      <c r="C85" s="24">
        <v>30.0</v>
      </c>
      <c r="D85" s="24" t="s">
        <v>3723</v>
      </c>
      <c r="E85" s="25">
        <v>46058.16666666666</v>
      </c>
      <c r="F85" s="25">
        <v>46059.41666666666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 t="s">
        <v>68</v>
      </c>
      <c r="B86" s="24" t="s">
        <v>3805</v>
      </c>
      <c r="C86" s="24">
        <v>30.0</v>
      </c>
      <c r="D86" s="24" t="s">
        <v>3723</v>
      </c>
      <c r="E86" s="25">
        <v>46058.16666666666</v>
      </c>
      <c r="F86" s="25">
        <v>46059.41666666666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 t="s">
        <v>68</v>
      </c>
      <c r="B87" s="24" t="s">
        <v>3806</v>
      </c>
      <c r="C87" s="24">
        <v>30.0</v>
      </c>
      <c r="D87" s="24" t="s">
        <v>3723</v>
      </c>
      <c r="E87" s="25">
        <v>46058.16666666666</v>
      </c>
      <c r="F87" s="25">
        <v>46059.41666666666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 t="s">
        <v>68</v>
      </c>
      <c r="B88" s="24" t="s">
        <v>3807</v>
      </c>
      <c r="C88" s="24">
        <v>30.0</v>
      </c>
      <c r="D88" s="24" t="s">
        <v>3723</v>
      </c>
      <c r="E88" s="25">
        <v>46058.16666666666</v>
      </c>
      <c r="F88" s="25">
        <v>46059.41666666666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 t="s">
        <v>68</v>
      </c>
      <c r="B89" s="24" t="s">
        <v>3808</v>
      </c>
      <c r="C89" s="24">
        <v>30.0</v>
      </c>
      <c r="D89" s="24" t="s">
        <v>3723</v>
      </c>
      <c r="E89" s="25">
        <v>46058.16666666666</v>
      </c>
      <c r="F89" s="25">
        <v>46059.41666666666</v>
      </c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 t="s">
        <v>68</v>
      </c>
      <c r="B90" s="24" t="s">
        <v>3809</v>
      </c>
      <c r="C90" s="24">
        <v>30.0</v>
      </c>
      <c r="D90" s="24" t="s">
        <v>3723</v>
      </c>
      <c r="E90" s="25">
        <v>46058.16666666666</v>
      </c>
      <c r="F90" s="25">
        <v>46059.41666666666</v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 t="s">
        <v>68</v>
      </c>
      <c r="B91" s="24" t="s">
        <v>3810</v>
      </c>
      <c r="C91" s="24">
        <v>33.0</v>
      </c>
      <c r="D91" s="24" t="s">
        <v>3723</v>
      </c>
      <c r="E91" s="25">
        <v>46058.04166666666</v>
      </c>
      <c r="F91" s="25">
        <v>46059.41666666666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 t="s">
        <v>68</v>
      </c>
      <c r="B92" s="24" t="s">
        <v>3811</v>
      </c>
      <c r="C92" s="24">
        <v>33.0</v>
      </c>
      <c r="D92" s="24" t="s">
        <v>3723</v>
      </c>
      <c r="E92" s="25">
        <v>46058.04166666666</v>
      </c>
      <c r="F92" s="25">
        <v>46059.41666666666</v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 t="s">
        <v>68</v>
      </c>
      <c r="B93" s="24" t="s">
        <v>3812</v>
      </c>
      <c r="C93" s="24">
        <v>33.0</v>
      </c>
      <c r="D93" s="24" t="s">
        <v>3723</v>
      </c>
      <c r="E93" s="25">
        <v>46058.04166666666</v>
      </c>
      <c r="F93" s="25">
        <v>46059.41666666666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 t="s">
        <v>68</v>
      </c>
      <c r="B94" s="24" t="s">
        <v>3813</v>
      </c>
      <c r="C94" s="24">
        <v>33.0</v>
      </c>
      <c r="D94" s="24" t="s">
        <v>3723</v>
      </c>
      <c r="E94" s="25">
        <v>46058.04166666666</v>
      </c>
      <c r="F94" s="25">
        <v>46059.41666666666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10" t="s">
        <v>311</v>
      </c>
      <c r="B95" s="10" t="s">
        <v>3814</v>
      </c>
      <c r="C95" s="10">
        <v>27.0</v>
      </c>
      <c r="D95" s="10" t="s">
        <v>3723</v>
      </c>
      <c r="E95" s="21">
        <v>46057.91666666666</v>
      </c>
      <c r="F95" s="21">
        <v>46059.04166666666</v>
      </c>
    </row>
    <row r="96" ht="15.75" customHeight="1">
      <c r="A96" s="10" t="s">
        <v>311</v>
      </c>
      <c r="B96" s="10" t="s">
        <v>3815</v>
      </c>
      <c r="C96" s="10">
        <v>27.0</v>
      </c>
      <c r="D96" s="10" t="s">
        <v>3723</v>
      </c>
      <c r="E96" s="21">
        <v>46057.91666666666</v>
      </c>
      <c r="F96" s="21">
        <v>46059.04166666666</v>
      </c>
    </row>
    <row r="97" ht="15.75" customHeight="1">
      <c r="A97" s="10" t="s">
        <v>311</v>
      </c>
      <c r="B97" s="10" t="s">
        <v>3816</v>
      </c>
      <c r="C97" s="10">
        <v>27.0</v>
      </c>
      <c r="D97" s="10" t="s">
        <v>3723</v>
      </c>
      <c r="E97" s="21">
        <v>46057.91666666666</v>
      </c>
      <c r="F97" s="21">
        <v>46059.04166666666</v>
      </c>
    </row>
    <row r="98" ht="15.75" customHeight="1">
      <c r="A98" s="10" t="s">
        <v>311</v>
      </c>
      <c r="B98" s="10" t="s">
        <v>3817</v>
      </c>
      <c r="C98" s="10">
        <v>27.0</v>
      </c>
      <c r="D98" s="10" t="s">
        <v>3723</v>
      </c>
      <c r="E98" s="21">
        <v>46057.91666666666</v>
      </c>
      <c r="F98" s="21">
        <v>46059.04166666666</v>
      </c>
    </row>
    <row r="99" ht="15.75" customHeight="1">
      <c r="A99" s="10" t="s">
        <v>311</v>
      </c>
      <c r="B99" s="10" t="s">
        <v>3818</v>
      </c>
      <c r="C99" s="10">
        <v>30.0</v>
      </c>
      <c r="D99" s="10" t="s">
        <v>3723</v>
      </c>
      <c r="E99" s="21">
        <v>46057.91666666666</v>
      </c>
      <c r="F99" s="21">
        <v>46059.16666666666</v>
      </c>
    </row>
    <row r="100" ht="15.75" customHeight="1">
      <c r="A100" s="10" t="s">
        <v>311</v>
      </c>
      <c r="B100" s="10" t="s">
        <v>3819</v>
      </c>
      <c r="C100" s="10">
        <v>30.0</v>
      </c>
      <c r="D100" s="10" t="s">
        <v>3723</v>
      </c>
      <c r="E100" s="21">
        <v>46057.91666666666</v>
      </c>
      <c r="F100" s="21">
        <v>46059.16666666666</v>
      </c>
    </row>
    <row r="101" ht="15.75" customHeight="1">
      <c r="A101" s="10" t="s">
        <v>311</v>
      </c>
      <c r="B101" s="10" t="s">
        <v>3820</v>
      </c>
      <c r="C101" s="10">
        <v>30.0</v>
      </c>
      <c r="D101" s="10" t="s">
        <v>3723</v>
      </c>
      <c r="E101" s="21">
        <v>46057.91666666666</v>
      </c>
      <c r="F101" s="21">
        <v>46059.16666666666</v>
      </c>
    </row>
    <row r="102" ht="15.75" customHeight="1">
      <c r="A102" s="10" t="s">
        <v>311</v>
      </c>
      <c r="B102" s="10" t="s">
        <v>3821</v>
      </c>
      <c r="C102" s="10">
        <v>30.0</v>
      </c>
      <c r="D102" s="10" t="s">
        <v>3723</v>
      </c>
      <c r="E102" s="21">
        <v>46057.91666666666</v>
      </c>
      <c r="F102" s="21">
        <v>46059.16666666666</v>
      </c>
    </row>
    <row r="103" ht="15.75" customHeight="1">
      <c r="A103" s="10" t="s">
        <v>311</v>
      </c>
      <c r="B103" s="10" t="s">
        <v>3822</v>
      </c>
      <c r="C103" s="10">
        <v>30.0</v>
      </c>
      <c r="D103" s="10" t="s">
        <v>3723</v>
      </c>
      <c r="E103" s="21">
        <v>46057.91666666666</v>
      </c>
      <c r="F103" s="21">
        <v>46059.16666666666</v>
      </c>
    </row>
    <row r="104" ht="15.75" customHeight="1">
      <c r="A104" s="10" t="s">
        <v>311</v>
      </c>
      <c r="B104" s="10" t="s">
        <v>3823</v>
      </c>
      <c r="C104" s="10">
        <v>30.0</v>
      </c>
      <c r="D104" s="10" t="s">
        <v>3723</v>
      </c>
      <c r="E104" s="21">
        <v>46057.91666666666</v>
      </c>
      <c r="F104" s="21">
        <v>46059.16666666666</v>
      </c>
    </row>
    <row r="105" ht="15.75" customHeight="1">
      <c r="A105" s="10" t="s">
        <v>311</v>
      </c>
      <c r="B105" s="10" t="s">
        <v>3824</v>
      </c>
      <c r="C105" s="10">
        <v>30.0</v>
      </c>
      <c r="D105" s="10" t="s">
        <v>3723</v>
      </c>
      <c r="E105" s="21">
        <v>46057.91666666666</v>
      </c>
      <c r="F105" s="21">
        <v>46059.16666666666</v>
      </c>
    </row>
    <row r="106" ht="15.75" customHeight="1">
      <c r="A106" s="10" t="s">
        <v>311</v>
      </c>
      <c r="B106" s="10" t="s">
        <v>3825</v>
      </c>
      <c r="C106" s="10">
        <v>36.0</v>
      </c>
      <c r="D106" s="10" t="s">
        <v>3723</v>
      </c>
      <c r="E106" s="21">
        <v>46057.91666666666</v>
      </c>
      <c r="F106" s="21">
        <v>46059.41666666666</v>
      </c>
    </row>
    <row r="107" ht="15.75" customHeight="1">
      <c r="A107" s="10" t="s">
        <v>311</v>
      </c>
      <c r="B107" s="10" t="s">
        <v>3726</v>
      </c>
      <c r="C107" s="10">
        <v>36.0</v>
      </c>
      <c r="D107" s="10" t="s">
        <v>3723</v>
      </c>
      <c r="E107" s="21">
        <v>46057.91666666666</v>
      </c>
      <c r="F107" s="21">
        <v>46059.41666666666</v>
      </c>
    </row>
    <row r="108" ht="15.75" customHeight="1">
      <c r="A108" s="10" t="s">
        <v>311</v>
      </c>
      <c r="B108" s="10" t="s">
        <v>3826</v>
      </c>
      <c r="C108" s="10">
        <v>36.0</v>
      </c>
      <c r="D108" s="10" t="s">
        <v>3723</v>
      </c>
      <c r="E108" s="21">
        <v>46057.91666666666</v>
      </c>
      <c r="F108" s="21">
        <v>46059.41666666666</v>
      </c>
    </row>
    <row r="109" ht="15.75" customHeight="1">
      <c r="A109" s="10" t="s">
        <v>311</v>
      </c>
      <c r="B109" s="10" t="s">
        <v>3827</v>
      </c>
      <c r="C109" s="10">
        <v>36.0</v>
      </c>
      <c r="D109" s="10" t="s">
        <v>3723</v>
      </c>
      <c r="E109" s="21">
        <v>46057.91666666666</v>
      </c>
      <c r="F109" s="21">
        <v>46059.41666666666</v>
      </c>
    </row>
    <row r="110" ht="15.75" customHeight="1">
      <c r="A110" s="10" t="s">
        <v>311</v>
      </c>
      <c r="B110" s="10" t="s">
        <v>3828</v>
      </c>
      <c r="C110" s="10">
        <v>36.0</v>
      </c>
      <c r="D110" s="10" t="s">
        <v>3723</v>
      </c>
      <c r="E110" s="21">
        <v>46057.91666666666</v>
      </c>
      <c r="F110" s="21">
        <v>46059.41666666666</v>
      </c>
    </row>
    <row r="111" ht="15.75" customHeight="1">
      <c r="A111" s="10" t="s">
        <v>311</v>
      </c>
      <c r="B111" s="10" t="s">
        <v>3829</v>
      </c>
      <c r="C111" s="10">
        <v>36.0</v>
      </c>
      <c r="D111" s="10" t="s">
        <v>3723</v>
      </c>
      <c r="E111" s="21">
        <v>46057.91666666666</v>
      </c>
      <c r="F111" s="21">
        <v>46059.41666666666</v>
      </c>
    </row>
    <row r="112" ht="15.75" customHeight="1">
      <c r="A112" s="10" t="s">
        <v>311</v>
      </c>
      <c r="B112" s="10" t="s">
        <v>3830</v>
      </c>
      <c r="C112" s="10">
        <v>36.0</v>
      </c>
      <c r="D112" s="10" t="s">
        <v>3723</v>
      </c>
      <c r="E112" s="21">
        <v>46057.91666666666</v>
      </c>
      <c r="F112" s="21">
        <v>46059.41666666666</v>
      </c>
    </row>
    <row r="113" ht="15.75" customHeight="1">
      <c r="A113" s="10" t="s">
        <v>311</v>
      </c>
      <c r="B113" s="10" t="s">
        <v>3831</v>
      </c>
      <c r="C113" s="10">
        <v>36.0</v>
      </c>
      <c r="D113" s="10" t="s">
        <v>3723</v>
      </c>
      <c r="E113" s="21">
        <v>46057.91666666666</v>
      </c>
      <c r="F113" s="21">
        <v>46059.41666666666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2026-02-09T02:36:43Z</dcterms:created>
  <dc:creator>QGIS 1</dc:creator>
</cp:coreProperties>
</file>